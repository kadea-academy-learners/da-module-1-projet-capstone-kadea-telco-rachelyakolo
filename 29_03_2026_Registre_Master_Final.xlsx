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30_03_2026_Master_Final\"/>
    </mc:Choice>
  </mc:AlternateContent>
  <xr:revisionPtr revIDLastSave="0" documentId="13_ncr:1_{B93C461F-9D80-4E3F-8088-0544E2C25F71}" xr6:coauthVersionLast="47" xr6:coauthVersionMax="47" xr10:uidLastSave="{00000000-0000-0000-0000-000000000000}"/>
  <bookViews>
    <workbookView xWindow="-120" yWindow="-120" windowWidth="20730" windowHeight="11160" xr2:uid="{DFCF47EC-FCB1-4246-9512-19510E5EB42E}"/>
  </bookViews>
  <sheets>
    <sheet name="Clients_Churn_Master" sheetId="3" r:id="rId1"/>
    <sheet name="Logs_Reseau_Master" sheetId="14" r:id="rId2"/>
    <sheet name="Somme_Total_heure_Indispo" sheetId="6" r:id="rId3"/>
    <sheet name="Sous_Categorisation_Region" sheetId="7" r:id="rId4"/>
    <sheet name="Moyenne des clients impactés" sheetId="8" r:id="rId5"/>
    <sheet name="Client_Retenu_Province" sheetId="9" r:id="rId6"/>
    <sheet name="Client_Non_Retenu" sheetId="10" r:id="rId7"/>
    <sheet name="Montant_Dépense" sheetId="12" r:id="rId8"/>
    <sheet name="Registre_Maintenance_Master" sheetId="2" r:id="rId9"/>
    <sheet name="Master" sheetId="4" r:id="rId10"/>
  </sheets>
  <definedNames>
    <definedName name="_xlcn.WorksheetConnection_29_03_2026_Registre_Maintenance_Master.xlsxLog_Reseau_Master" hidden="1">Log_Reseau_Master[]</definedName>
    <definedName name="DonnéesExternes_1" localSheetId="0" hidden="1">'Clients_Churn_Master'!$A$1:$K$749</definedName>
    <definedName name="DonnéesExternes_1" localSheetId="1" hidden="1">Logs_Reseau_Master!$A$1:$E$1069</definedName>
    <definedName name="DonnéesExternes_1" localSheetId="9" hidden="1">Master!$A$1:$E$1069</definedName>
    <definedName name="DonnéesExternes_1" localSheetId="8" hidden="1">Registre_Maintenance_Master!$A$1:$G$499</definedName>
  </definedNames>
  <calcPr calcId="191029"/>
  <pivotCaches>
    <pivotCache cacheId="0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g_Reseau_Master" name="Log_Reseau_Master" connection="WorksheetConnection_29_03_2026_Registre_Maintenance_Master.xlsx!Log_Reseau_Mast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G2" i="3"/>
  <c r="G3" i="3"/>
  <c r="G4" i="3"/>
  <c r="G5" i="3"/>
  <c r="L5" i="3" s="1"/>
  <c r="M5" i="3" s="1"/>
  <c r="G6" i="3"/>
  <c r="G7" i="3"/>
  <c r="G8" i="3"/>
  <c r="G9" i="3"/>
  <c r="L9" i="3" s="1"/>
  <c r="M9" i="3" s="1"/>
  <c r="G10" i="3"/>
  <c r="G11" i="3"/>
  <c r="G12" i="3"/>
  <c r="G13" i="3"/>
  <c r="L13" i="3" s="1"/>
  <c r="M13" i="3" s="1"/>
  <c r="G14" i="3"/>
  <c r="G15" i="3"/>
  <c r="G16" i="3"/>
  <c r="G17" i="3"/>
  <c r="L17" i="3" s="1"/>
  <c r="M17" i="3" s="1"/>
  <c r="G18" i="3"/>
  <c r="G19" i="3"/>
  <c r="G20" i="3"/>
  <c r="G21" i="3"/>
  <c r="L21" i="3" s="1"/>
  <c r="M21" i="3" s="1"/>
  <c r="G22" i="3"/>
  <c r="G23" i="3"/>
  <c r="G24" i="3"/>
  <c r="G25" i="3"/>
  <c r="L25" i="3" s="1"/>
  <c r="M25" i="3" s="1"/>
  <c r="G26" i="3"/>
  <c r="G27" i="3"/>
  <c r="G28" i="3"/>
  <c r="G29" i="3"/>
  <c r="L29" i="3" s="1"/>
  <c r="M29" i="3" s="1"/>
  <c r="G30" i="3"/>
  <c r="G31" i="3"/>
  <c r="G32" i="3"/>
  <c r="G33" i="3"/>
  <c r="L33" i="3" s="1"/>
  <c r="M33" i="3" s="1"/>
  <c r="G34" i="3"/>
  <c r="G35" i="3"/>
  <c r="G36" i="3"/>
  <c r="G37" i="3"/>
  <c r="L37" i="3" s="1"/>
  <c r="M37" i="3" s="1"/>
  <c r="G38" i="3"/>
  <c r="G39" i="3"/>
  <c r="G40" i="3"/>
  <c r="G41" i="3"/>
  <c r="L41" i="3" s="1"/>
  <c r="M41" i="3" s="1"/>
  <c r="G42" i="3"/>
  <c r="G43" i="3"/>
  <c r="G44" i="3"/>
  <c r="G45" i="3"/>
  <c r="L45" i="3" s="1"/>
  <c r="M45" i="3" s="1"/>
  <c r="G46" i="3"/>
  <c r="G47" i="3"/>
  <c r="G48" i="3"/>
  <c r="G49" i="3"/>
  <c r="L49" i="3" s="1"/>
  <c r="M49" i="3" s="1"/>
  <c r="G50" i="3"/>
  <c r="G51" i="3"/>
  <c r="G52" i="3"/>
  <c r="G53" i="3"/>
  <c r="L53" i="3" s="1"/>
  <c r="G54" i="3"/>
  <c r="G55" i="3"/>
  <c r="G56" i="3"/>
  <c r="G57" i="3"/>
  <c r="L57" i="3" s="1"/>
  <c r="G58" i="3"/>
  <c r="G59" i="3"/>
  <c r="G60" i="3"/>
  <c r="G61" i="3"/>
  <c r="L61" i="3" s="1"/>
  <c r="G62" i="3"/>
  <c r="G63" i="3"/>
  <c r="G64" i="3"/>
  <c r="G65" i="3"/>
  <c r="L65" i="3" s="1"/>
  <c r="G66" i="3"/>
  <c r="G67" i="3"/>
  <c r="G68" i="3"/>
  <c r="G69" i="3"/>
  <c r="L69" i="3" s="1"/>
  <c r="M69" i="3" s="1"/>
  <c r="G70" i="3"/>
  <c r="G71" i="3"/>
  <c r="G72" i="3"/>
  <c r="G73" i="3"/>
  <c r="L73" i="3" s="1"/>
  <c r="M73" i="3" s="1"/>
  <c r="G74" i="3"/>
  <c r="G75" i="3"/>
  <c r="G76" i="3"/>
  <c r="G77" i="3"/>
  <c r="L77" i="3" s="1"/>
  <c r="M77" i="3" s="1"/>
  <c r="G78" i="3"/>
  <c r="G79" i="3"/>
  <c r="G80" i="3"/>
  <c r="G81" i="3"/>
  <c r="L81" i="3" s="1"/>
  <c r="M81" i="3" s="1"/>
  <c r="G82" i="3"/>
  <c r="G83" i="3"/>
  <c r="G84" i="3"/>
  <c r="G85" i="3"/>
  <c r="L85" i="3" s="1"/>
  <c r="M85" i="3" s="1"/>
  <c r="G86" i="3"/>
  <c r="G87" i="3"/>
  <c r="G88" i="3"/>
  <c r="G89" i="3"/>
  <c r="L89" i="3" s="1"/>
  <c r="M89" i="3" s="1"/>
  <c r="G90" i="3"/>
  <c r="G91" i="3"/>
  <c r="G92" i="3"/>
  <c r="G93" i="3"/>
  <c r="L93" i="3" s="1"/>
  <c r="M93" i="3" s="1"/>
  <c r="G94" i="3"/>
  <c r="G95" i="3"/>
  <c r="G96" i="3"/>
  <c r="G97" i="3"/>
  <c r="L97" i="3" s="1"/>
  <c r="M97" i="3" s="1"/>
  <c r="G98" i="3"/>
  <c r="G99" i="3"/>
  <c r="G100" i="3"/>
  <c r="G101" i="3"/>
  <c r="L101" i="3" s="1"/>
  <c r="M101" i="3" s="1"/>
  <c r="G102" i="3"/>
  <c r="G103" i="3"/>
  <c r="G104" i="3"/>
  <c r="G105" i="3"/>
  <c r="L105" i="3" s="1"/>
  <c r="M105" i="3" s="1"/>
  <c r="G106" i="3"/>
  <c r="G107" i="3"/>
  <c r="G108" i="3"/>
  <c r="G109" i="3"/>
  <c r="L109" i="3" s="1"/>
  <c r="M109" i="3" s="1"/>
  <c r="G110" i="3"/>
  <c r="G111" i="3"/>
  <c r="G112" i="3"/>
  <c r="G113" i="3"/>
  <c r="L113" i="3" s="1"/>
  <c r="M113" i="3" s="1"/>
  <c r="G114" i="3"/>
  <c r="G115" i="3"/>
  <c r="G116" i="3"/>
  <c r="G117" i="3"/>
  <c r="L117" i="3" s="1"/>
  <c r="G118" i="3"/>
  <c r="G119" i="3"/>
  <c r="G120" i="3"/>
  <c r="G121" i="3"/>
  <c r="L121" i="3" s="1"/>
  <c r="G122" i="3"/>
  <c r="G123" i="3"/>
  <c r="G124" i="3"/>
  <c r="G125" i="3"/>
  <c r="L125" i="3" s="1"/>
  <c r="G126" i="3"/>
  <c r="G127" i="3"/>
  <c r="G128" i="3"/>
  <c r="G129" i="3"/>
  <c r="L129" i="3" s="1"/>
  <c r="G130" i="3"/>
  <c r="G131" i="3"/>
  <c r="G132" i="3"/>
  <c r="G133" i="3"/>
  <c r="L133" i="3" s="1"/>
  <c r="M133" i="3" s="1"/>
  <c r="G134" i="3"/>
  <c r="G135" i="3"/>
  <c r="G136" i="3"/>
  <c r="G137" i="3"/>
  <c r="L137" i="3" s="1"/>
  <c r="M137" i="3" s="1"/>
  <c r="G138" i="3"/>
  <c r="G139" i="3"/>
  <c r="G140" i="3"/>
  <c r="G141" i="3"/>
  <c r="L141" i="3" s="1"/>
  <c r="M141" i="3" s="1"/>
  <c r="G142" i="3"/>
  <c r="G143" i="3"/>
  <c r="G144" i="3"/>
  <c r="G145" i="3"/>
  <c r="L145" i="3" s="1"/>
  <c r="M145" i="3" s="1"/>
  <c r="G146" i="3"/>
  <c r="G147" i="3"/>
  <c r="G148" i="3"/>
  <c r="G149" i="3"/>
  <c r="L149" i="3" s="1"/>
  <c r="M149" i="3" s="1"/>
  <c r="G150" i="3"/>
  <c r="G151" i="3"/>
  <c r="G152" i="3"/>
  <c r="G153" i="3"/>
  <c r="L153" i="3" s="1"/>
  <c r="M153" i="3" s="1"/>
  <c r="G154" i="3"/>
  <c r="G155" i="3"/>
  <c r="G156" i="3"/>
  <c r="G157" i="3"/>
  <c r="L157" i="3" s="1"/>
  <c r="M157" i="3" s="1"/>
  <c r="G158" i="3"/>
  <c r="G159" i="3"/>
  <c r="G160" i="3"/>
  <c r="G161" i="3"/>
  <c r="L161" i="3" s="1"/>
  <c r="M161" i="3" s="1"/>
  <c r="G162" i="3"/>
  <c r="G163" i="3"/>
  <c r="G164" i="3"/>
  <c r="G165" i="3"/>
  <c r="L165" i="3" s="1"/>
  <c r="M165" i="3" s="1"/>
  <c r="G166" i="3"/>
  <c r="G167" i="3"/>
  <c r="G168" i="3"/>
  <c r="G169" i="3"/>
  <c r="L169" i="3" s="1"/>
  <c r="M169" i="3" s="1"/>
  <c r="G170" i="3"/>
  <c r="G171" i="3"/>
  <c r="G172" i="3"/>
  <c r="G173" i="3"/>
  <c r="L173" i="3" s="1"/>
  <c r="M173" i="3" s="1"/>
  <c r="G174" i="3"/>
  <c r="G175" i="3"/>
  <c r="G176" i="3"/>
  <c r="G177" i="3"/>
  <c r="L177" i="3" s="1"/>
  <c r="M177" i="3" s="1"/>
  <c r="G178" i="3"/>
  <c r="G179" i="3"/>
  <c r="G180" i="3"/>
  <c r="G181" i="3"/>
  <c r="L181" i="3" s="1"/>
  <c r="G182" i="3"/>
  <c r="G183" i="3"/>
  <c r="G184" i="3"/>
  <c r="G185" i="3"/>
  <c r="L185" i="3" s="1"/>
  <c r="G186" i="3"/>
  <c r="G187" i="3"/>
  <c r="G188" i="3"/>
  <c r="G189" i="3"/>
  <c r="L189" i="3" s="1"/>
  <c r="G190" i="3"/>
  <c r="G191" i="3"/>
  <c r="G192" i="3"/>
  <c r="G193" i="3"/>
  <c r="L193" i="3" s="1"/>
  <c r="G194" i="3"/>
  <c r="G195" i="3"/>
  <c r="G196" i="3"/>
  <c r="G197" i="3"/>
  <c r="L197" i="3" s="1"/>
  <c r="M197" i="3" s="1"/>
  <c r="G198" i="3"/>
  <c r="G199" i="3"/>
  <c r="G200" i="3"/>
  <c r="G201" i="3"/>
  <c r="L201" i="3" s="1"/>
  <c r="M201" i="3" s="1"/>
  <c r="G202" i="3"/>
  <c r="G203" i="3"/>
  <c r="G204" i="3"/>
  <c r="G205" i="3"/>
  <c r="L205" i="3" s="1"/>
  <c r="M205" i="3" s="1"/>
  <c r="G206" i="3"/>
  <c r="G207" i="3"/>
  <c r="G208" i="3"/>
  <c r="G209" i="3"/>
  <c r="L209" i="3" s="1"/>
  <c r="M209" i="3" s="1"/>
  <c r="G210" i="3"/>
  <c r="G211" i="3"/>
  <c r="G212" i="3"/>
  <c r="G213" i="3"/>
  <c r="L213" i="3" s="1"/>
  <c r="M213" i="3" s="1"/>
  <c r="G214" i="3"/>
  <c r="G215" i="3"/>
  <c r="G216" i="3"/>
  <c r="G217" i="3"/>
  <c r="L217" i="3" s="1"/>
  <c r="M217" i="3" s="1"/>
  <c r="G218" i="3"/>
  <c r="G219" i="3"/>
  <c r="G220" i="3"/>
  <c r="G221" i="3"/>
  <c r="L221" i="3" s="1"/>
  <c r="M221" i="3" s="1"/>
  <c r="G222" i="3"/>
  <c r="G223" i="3"/>
  <c r="G224" i="3"/>
  <c r="G225" i="3"/>
  <c r="L225" i="3" s="1"/>
  <c r="M225" i="3" s="1"/>
  <c r="G226" i="3"/>
  <c r="G227" i="3"/>
  <c r="G228" i="3"/>
  <c r="G229" i="3"/>
  <c r="L229" i="3" s="1"/>
  <c r="M229" i="3" s="1"/>
  <c r="G230" i="3"/>
  <c r="G231" i="3"/>
  <c r="G232" i="3"/>
  <c r="G233" i="3"/>
  <c r="L233" i="3" s="1"/>
  <c r="M233" i="3" s="1"/>
  <c r="G234" i="3"/>
  <c r="G235" i="3"/>
  <c r="G236" i="3"/>
  <c r="G237" i="3"/>
  <c r="L237" i="3" s="1"/>
  <c r="M237" i="3" s="1"/>
  <c r="G238" i="3"/>
  <c r="G239" i="3"/>
  <c r="G240" i="3"/>
  <c r="G241" i="3"/>
  <c r="L241" i="3" s="1"/>
  <c r="M241" i="3" s="1"/>
  <c r="G242" i="3"/>
  <c r="G243" i="3"/>
  <c r="G244" i="3"/>
  <c r="G245" i="3"/>
  <c r="L245" i="3" s="1"/>
  <c r="G246" i="3"/>
  <c r="G247" i="3"/>
  <c r="G248" i="3"/>
  <c r="G249" i="3"/>
  <c r="L249" i="3" s="1"/>
  <c r="G250" i="3"/>
  <c r="G251" i="3"/>
  <c r="G252" i="3"/>
  <c r="G253" i="3"/>
  <c r="L253" i="3" s="1"/>
  <c r="G254" i="3"/>
  <c r="G255" i="3"/>
  <c r="G256" i="3"/>
  <c r="G257" i="3"/>
  <c r="L257" i="3" s="1"/>
  <c r="G258" i="3"/>
  <c r="G259" i="3"/>
  <c r="G260" i="3"/>
  <c r="G261" i="3"/>
  <c r="L261" i="3" s="1"/>
  <c r="M261" i="3" s="1"/>
  <c r="G262" i="3"/>
  <c r="G263" i="3"/>
  <c r="G264" i="3"/>
  <c r="G265" i="3"/>
  <c r="L265" i="3" s="1"/>
  <c r="M265" i="3" s="1"/>
  <c r="G266" i="3"/>
  <c r="G267" i="3"/>
  <c r="G268" i="3"/>
  <c r="G269" i="3"/>
  <c r="L269" i="3" s="1"/>
  <c r="M269" i="3" s="1"/>
  <c r="G270" i="3"/>
  <c r="G271" i="3"/>
  <c r="G272" i="3"/>
  <c r="G273" i="3"/>
  <c r="L273" i="3" s="1"/>
  <c r="M273" i="3" s="1"/>
  <c r="G274" i="3"/>
  <c r="G275" i="3"/>
  <c r="G276" i="3"/>
  <c r="G277" i="3"/>
  <c r="L277" i="3" s="1"/>
  <c r="M277" i="3" s="1"/>
  <c r="G278" i="3"/>
  <c r="G279" i="3"/>
  <c r="G280" i="3"/>
  <c r="G281" i="3"/>
  <c r="L281" i="3" s="1"/>
  <c r="M281" i="3" s="1"/>
  <c r="G282" i="3"/>
  <c r="G283" i="3"/>
  <c r="G284" i="3"/>
  <c r="G285" i="3"/>
  <c r="L285" i="3" s="1"/>
  <c r="M285" i="3" s="1"/>
  <c r="G286" i="3"/>
  <c r="G287" i="3"/>
  <c r="G288" i="3"/>
  <c r="G289" i="3"/>
  <c r="L289" i="3" s="1"/>
  <c r="M289" i="3" s="1"/>
  <c r="G290" i="3"/>
  <c r="G291" i="3"/>
  <c r="G292" i="3"/>
  <c r="G293" i="3"/>
  <c r="L293" i="3" s="1"/>
  <c r="M293" i="3" s="1"/>
  <c r="G294" i="3"/>
  <c r="G295" i="3"/>
  <c r="G296" i="3"/>
  <c r="G297" i="3"/>
  <c r="L297" i="3" s="1"/>
  <c r="M297" i="3" s="1"/>
  <c r="G298" i="3"/>
  <c r="G299" i="3"/>
  <c r="G300" i="3"/>
  <c r="G301" i="3"/>
  <c r="L301" i="3" s="1"/>
  <c r="M301" i="3" s="1"/>
  <c r="G302" i="3"/>
  <c r="G303" i="3"/>
  <c r="G304" i="3"/>
  <c r="G305" i="3"/>
  <c r="L305" i="3" s="1"/>
  <c r="M305" i="3" s="1"/>
  <c r="G306" i="3"/>
  <c r="G307" i="3"/>
  <c r="G308" i="3"/>
  <c r="G309" i="3"/>
  <c r="L309" i="3" s="1"/>
  <c r="G310" i="3"/>
  <c r="G311" i="3"/>
  <c r="G312" i="3"/>
  <c r="G313" i="3"/>
  <c r="L313" i="3" s="1"/>
  <c r="G314" i="3"/>
  <c r="G315" i="3"/>
  <c r="G316" i="3"/>
  <c r="G317" i="3"/>
  <c r="L317" i="3" s="1"/>
  <c r="G318" i="3"/>
  <c r="G319" i="3"/>
  <c r="G320" i="3"/>
  <c r="G321" i="3"/>
  <c r="L321" i="3" s="1"/>
  <c r="G322" i="3"/>
  <c r="G323" i="3"/>
  <c r="G324" i="3"/>
  <c r="G325" i="3"/>
  <c r="L325" i="3" s="1"/>
  <c r="M325" i="3" s="1"/>
  <c r="G326" i="3"/>
  <c r="G327" i="3"/>
  <c r="G328" i="3"/>
  <c r="G329" i="3"/>
  <c r="L329" i="3" s="1"/>
  <c r="M329" i="3" s="1"/>
  <c r="G330" i="3"/>
  <c r="G331" i="3"/>
  <c r="G332" i="3"/>
  <c r="G333" i="3"/>
  <c r="L333" i="3" s="1"/>
  <c r="M333" i="3" s="1"/>
  <c r="G334" i="3"/>
  <c r="G335" i="3"/>
  <c r="G336" i="3"/>
  <c r="G337" i="3"/>
  <c r="L337" i="3" s="1"/>
  <c r="M337" i="3" s="1"/>
  <c r="G338" i="3"/>
  <c r="G339" i="3"/>
  <c r="G340" i="3"/>
  <c r="G341" i="3"/>
  <c r="L341" i="3" s="1"/>
  <c r="M341" i="3" s="1"/>
  <c r="G342" i="3"/>
  <c r="G343" i="3"/>
  <c r="G344" i="3"/>
  <c r="G345" i="3"/>
  <c r="L345" i="3" s="1"/>
  <c r="M345" i="3" s="1"/>
  <c r="G346" i="3"/>
  <c r="G347" i="3"/>
  <c r="G348" i="3"/>
  <c r="G349" i="3"/>
  <c r="L349" i="3" s="1"/>
  <c r="G350" i="3"/>
  <c r="G351" i="3"/>
  <c r="G352" i="3"/>
  <c r="G353" i="3"/>
  <c r="L353" i="3" s="1"/>
  <c r="M353" i="3" s="1"/>
  <c r="G354" i="3"/>
  <c r="G355" i="3"/>
  <c r="G356" i="3"/>
  <c r="G357" i="3"/>
  <c r="L357" i="3" s="1"/>
  <c r="M357" i="3" s="1"/>
  <c r="G358" i="3"/>
  <c r="G359" i="3"/>
  <c r="G360" i="3"/>
  <c r="G361" i="3"/>
  <c r="L361" i="3" s="1"/>
  <c r="M361" i="3" s="1"/>
  <c r="G362" i="3"/>
  <c r="G363" i="3"/>
  <c r="G364" i="3"/>
  <c r="G365" i="3"/>
  <c r="L365" i="3" s="1"/>
  <c r="G366" i="3"/>
  <c r="G367" i="3"/>
  <c r="G368" i="3"/>
  <c r="G369" i="3"/>
  <c r="L369" i="3" s="1"/>
  <c r="M369" i="3" s="1"/>
  <c r="G370" i="3"/>
  <c r="G371" i="3"/>
  <c r="G372" i="3"/>
  <c r="G373" i="3"/>
  <c r="L373" i="3" s="1"/>
  <c r="M373" i="3" s="1"/>
  <c r="G374" i="3"/>
  <c r="G375" i="3"/>
  <c r="G376" i="3"/>
  <c r="G377" i="3"/>
  <c r="L377" i="3" s="1"/>
  <c r="M377" i="3" s="1"/>
  <c r="G378" i="3"/>
  <c r="G379" i="3"/>
  <c r="G380" i="3"/>
  <c r="G381" i="3"/>
  <c r="L381" i="3" s="1"/>
  <c r="G382" i="3"/>
  <c r="G383" i="3"/>
  <c r="G384" i="3"/>
  <c r="G385" i="3"/>
  <c r="L385" i="3" s="1"/>
  <c r="M385" i="3" s="1"/>
  <c r="G386" i="3"/>
  <c r="G387" i="3"/>
  <c r="G388" i="3"/>
  <c r="G389" i="3"/>
  <c r="L389" i="3" s="1"/>
  <c r="M389" i="3" s="1"/>
  <c r="G390" i="3"/>
  <c r="G391" i="3"/>
  <c r="G392" i="3"/>
  <c r="G393" i="3"/>
  <c r="L393" i="3" s="1"/>
  <c r="M393" i="3" s="1"/>
  <c r="G394" i="3"/>
  <c r="G395" i="3"/>
  <c r="G396" i="3"/>
  <c r="G397" i="3"/>
  <c r="L397" i="3" s="1"/>
  <c r="G398" i="3"/>
  <c r="G399" i="3"/>
  <c r="G400" i="3"/>
  <c r="G401" i="3"/>
  <c r="L401" i="3" s="1"/>
  <c r="M401" i="3" s="1"/>
  <c r="G402" i="3"/>
  <c r="G403" i="3"/>
  <c r="G404" i="3"/>
  <c r="G405" i="3"/>
  <c r="L405" i="3" s="1"/>
  <c r="M405" i="3" s="1"/>
  <c r="G406" i="3"/>
  <c r="G407" i="3"/>
  <c r="G408" i="3"/>
  <c r="G409" i="3"/>
  <c r="L409" i="3" s="1"/>
  <c r="M409" i="3" s="1"/>
  <c r="G410" i="3"/>
  <c r="G411" i="3"/>
  <c r="G412" i="3"/>
  <c r="G413" i="3"/>
  <c r="L413" i="3" s="1"/>
  <c r="G414" i="3"/>
  <c r="G415" i="3"/>
  <c r="G416" i="3"/>
  <c r="G417" i="3"/>
  <c r="L417" i="3" s="1"/>
  <c r="M417" i="3" s="1"/>
  <c r="G418" i="3"/>
  <c r="G419" i="3"/>
  <c r="G420" i="3"/>
  <c r="G421" i="3"/>
  <c r="L421" i="3" s="1"/>
  <c r="M421" i="3" s="1"/>
  <c r="G422" i="3"/>
  <c r="G423" i="3"/>
  <c r="G424" i="3"/>
  <c r="G425" i="3"/>
  <c r="L425" i="3" s="1"/>
  <c r="M425" i="3" s="1"/>
  <c r="G426" i="3"/>
  <c r="G427" i="3"/>
  <c r="G428" i="3"/>
  <c r="G429" i="3"/>
  <c r="L429" i="3" s="1"/>
  <c r="G430" i="3"/>
  <c r="G431" i="3"/>
  <c r="G432" i="3"/>
  <c r="G433" i="3"/>
  <c r="L433" i="3" s="1"/>
  <c r="M433" i="3" s="1"/>
  <c r="G434" i="3"/>
  <c r="G435" i="3"/>
  <c r="G436" i="3"/>
  <c r="G437" i="3"/>
  <c r="L437" i="3" s="1"/>
  <c r="M437" i="3" s="1"/>
  <c r="G438" i="3"/>
  <c r="G439" i="3"/>
  <c r="G440" i="3"/>
  <c r="G441" i="3"/>
  <c r="L441" i="3" s="1"/>
  <c r="M441" i="3" s="1"/>
  <c r="G442" i="3"/>
  <c r="G443" i="3"/>
  <c r="G444" i="3"/>
  <c r="G445" i="3"/>
  <c r="L445" i="3" s="1"/>
  <c r="G446" i="3"/>
  <c r="G447" i="3"/>
  <c r="G448" i="3"/>
  <c r="G449" i="3"/>
  <c r="L449" i="3" s="1"/>
  <c r="M449" i="3" s="1"/>
  <c r="G450" i="3"/>
  <c r="G451" i="3"/>
  <c r="G452" i="3"/>
  <c r="G453" i="3"/>
  <c r="L453" i="3" s="1"/>
  <c r="M453" i="3" s="1"/>
  <c r="G454" i="3"/>
  <c r="G455" i="3"/>
  <c r="G456" i="3"/>
  <c r="G457" i="3"/>
  <c r="L457" i="3" s="1"/>
  <c r="M457" i="3" s="1"/>
  <c r="G458" i="3"/>
  <c r="G459" i="3"/>
  <c r="G460" i="3"/>
  <c r="G461" i="3"/>
  <c r="L461" i="3" s="1"/>
  <c r="G462" i="3"/>
  <c r="G463" i="3"/>
  <c r="G464" i="3"/>
  <c r="G465" i="3"/>
  <c r="L465" i="3" s="1"/>
  <c r="M465" i="3" s="1"/>
  <c r="G466" i="3"/>
  <c r="G467" i="3"/>
  <c r="G468" i="3"/>
  <c r="G469" i="3"/>
  <c r="L469" i="3" s="1"/>
  <c r="M469" i="3" s="1"/>
  <c r="G470" i="3"/>
  <c r="G471" i="3"/>
  <c r="G472" i="3"/>
  <c r="G473" i="3"/>
  <c r="L473" i="3" s="1"/>
  <c r="M473" i="3" s="1"/>
  <c r="G474" i="3"/>
  <c r="G475" i="3"/>
  <c r="G476" i="3"/>
  <c r="G477" i="3"/>
  <c r="L477" i="3" s="1"/>
  <c r="G478" i="3"/>
  <c r="G479" i="3"/>
  <c r="G480" i="3"/>
  <c r="G481" i="3"/>
  <c r="L481" i="3" s="1"/>
  <c r="M481" i="3" s="1"/>
  <c r="G482" i="3"/>
  <c r="G483" i="3"/>
  <c r="G484" i="3"/>
  <c r="G485" i="3"/>
  <c r="L485" i="3" s="1"/>
  <c r="M485" i="3" s="1"/>
  <c r="G486" i="3"/>
  <c r="G487" i="3"/>
  <c r="G488" i="3"/>
  <c r="G489" i="3"/>
  <c r="L489" i="3" s="1"/>
  <c r="M489" i="3" s="1"/>
  <c r="G490" i="3"/>
  <c r="G491" i="3"/>
  <c r="G492" i="3"/>
  <c r="G493" i="3"/>
  <c r="L493" i="3" s="1"/>
  <c r="G494" i="3"/>
  <c r="G495" i="3"/>
  <c r="G496" i="3"/>
  <c r="G497" i="3"/>
  <c r="L497" i="3" s="1"/>
  <c r="M497" i="3" s="1"/>
  <c r="G498" i="3"/>
  <c r="G499" i="3"/>
  <c r="G500" i="3"/>
  <c r="G501" i="3"/>
  <c r="L501" i="3" s="1"/>
  <c r="M501" i="3" s="1"/>
  <c r="G502" i="3"/>
  <c r="G503" i="3"/>
  <c r="G504" i="3"/>
  <c r="G505" i="3"/>
  <c r="L505" i="3" s="1"/>
  <c r="M505" i="3" s="1"/>
  <c r="G506" i="3"/>
  <c r="G507" i="3"/>
  <c r="G508" i="3"/>
  <c r="G509" i="3"/>
  <c r="L509" i="3" s="1"/>
  <c r="G510" i="3"/>
  <c r="G511" i="3"/>
  <c r="G512" i="3"/>
  <c r="G513" i="3"/>
  <c r="L513" i="3" s="1"/>
  <c r="M513" i="3" s="1"/>
  <c r="G514" i="3"/>
  <c r="G515" i="3"/>
  <c r="G516" i="3"/>
  <c r="G517" i="3"/>
  <c r="L517" i="3" s="1"/>
  <c r="M517" i="3" s="1"/>
  <c r="G518" i="3"/>
  <c r="G519" i="3"/>
  <c r="G520" i="3"/>
  <c r="G521" i="3"/>
  <c r="L521" i="3" s="1"/>
  <c r="M521" i="3" s="1"/>
  <c r="G522" i="3"/>
  <c r="G523" i="3"/>
  <c r="G524" i="3"/>
  <c r="G525" i="3"/>
  <c r="L525" i="3" s="1"/>
  <c r="G526" i="3"/>
  <c r="G527" i="3"/>
  <c r="G528" i="3"/>
  <c r="G529" i="3"/>
  <c r="L529" i="3" s="1"/>
  <c r="G530" i="3"/>
  <c r="G531" i="3"/>
  <c r="G532" i="3"/>
  <c r="G533" i="3"/>
  <c r="L533" i="3" s="1"/>
  <c r="G534" i="3"/>
  <c r="G535" i="3"/>
  <c r="G536" i="3"/>
  <c r="G537" i="3"/>
  <c r="L537" i="3" s="1"/>
  <c r="G538" i="3"/>
  <c r="G539" i="3"/>
  <c r="G540" i="3"/>
  <c r="G541" i="3"/>
  <c r="L541" i="3" s="1"/>
  <c r="G542" i="3"/>
  <c r="G543" i="3"/>
  <c r="G544" i="3"/>
  <c r="G545" i="3"/>
  <c r="L545" i="3" s="1"/>
  <c r="G546" i="3"/>
  <c r="G547" i="3"/>
  <c r="G548" i="3"/>
  <c r="G549" i="3"/>
  <c r="L549" i="3" s="1"/>
  <c r="G550" i="3"/>
  <c r="G551" i="3"/>
  <c r="G552" i="3"/>
  <c r="G553" i="3"/>
  <c r="L553" i="3" s="1"/>
  <c r="G554" i="3"/>
  <c r="G555" i="3"/>
  <c r="G556" i="3"/>
  <c r="G557" i="3"/>
  <c r="L557" i="3" s="1"/>
  <c r="G558" i="3"/>
  <c r="G559" i="3"/>
  <c r="G560" i="3"/>
  <c r="G561" i="3"/>
  <c r="L561" i="3" s="1"/>
  <c r="G562" i="3"/>
  <c r="G563" i="3"/>
  <c r="G564" i="3"/>
  <c r="G565" i="3"/>
  <c r="L565" i="3" s="1"/>
  <c r="G566" i="3"/>
  <c r="G567" i="3"/>
  <c r="G568" i="3"/>
  <c r="G569" i="3"/>
  <c r="L569" i="3" s="1"/>
  <c r="G570" i="3"/>
  <c r="G571" i="3"/>
  <c r="G572" i="3"/>
  <c r="G573" i="3"/>
  <c r="L573" i="3" s="1"/>
  <c r="G574" i="3"/>
  <c r="G575" i="3"/>
  <c r="G576" i="3"/>
  <c r="G577" i="3"/>
  <c r="L577" i="3" s="1"/>
  <c r="G578" i="3"/>
  <c r="G579" i="3"/>
  <c r="G580" i="3"/>
  <c r="G581" i="3"/>
  <c r="L581" i="3" s="1"/>
  <c r="G582" i="3"/>
  <c r="G583" i="3"/>
  <c r="G584" i="3"/>
  <c r="G585" i="3"/>
  <c r="L585" i="3" s="1"/>
  <c r="G586" i="3"/>
  <c r="G587" i="3"/>
  <c r="G588" i="3"/>
  <c r="G589" i="3"/>
  <c r="L589" i="3" s="1"/>
  <c r="G590" i="3"/>
  <c r="G591" i="3"/>
  <c r="G592" i="3"/>
  <c r="G593" i="3"/>
  <c r="L593" i="3" s="1"/>
  <c r="G594" i="3"/>
  <c r="G595" i="3"/>
  <c r="G596" i="3"/>
  <c r="G597" i="3"/>
  <c r="L597" i="3" s="1"/>
  <c r="G598" i="3"/>
  <c r="G599" i="3"/>
  <c r="G600" i="3"/>
  <c r="G601" i="3"/>
  <c r="L601" i="3" s="1"/>
  <c r="G602" i="3"/>
  <c r="G603" i="3"/>
  <c r="G604" i="3"/>
  <c r="G605" i="3"/>
  <c r="L605" i="3" s="1"/>
  <c r="G606" i="3"/>
  <c r="G607" i="3"/>
  <c r="G608" i="3"/>
  <c r="G609" i="3"/>
  <c r="L609" i="3" s="1"/>
  <c r="G610" i="3"/>
  <c r="G611" i="3"/>
  <c r="G612" i="3"/>
  <c r="G613" i="3"/>
  <c r="L613" i="3" s="1"/>
  <c r="G614" i="3"/>
  <c r="G615" i="3"/>
  <c r="G616" i="3"/>
  <c r="G617" i="3"/>
  <c r="L617" i="3" s="1"/>
  <c r="G618" i="3"/>
  <c r="G619" i="3"/>
  <c r="G620" i="3"/>
  <c r="G621" i="3"/>
  <c r="L621" i="3" s="1"/>
  <c r="G622" i="3"/>
  <c r="G623" i="3"/>
  <c r="G624" i="3"/>
  <c r="G625" i="3"/>
  <c r="L625" i="3" s="1"/>
  <c r="G626" i="3"/>
  <c r="G627" i="3"/>
  <c r="G628" i="3"/>
  <c r="G629" i="3"/>
  <c r="L629" i="3" s="1"/>
  <c r="G630" i="3"/>
  <c r="G631" i="3"/>
  <c r="G632" i="3"/>
  <c r="G633" i="3"/>
  <c r="L633" i="3" s="1"/>
  <c r="G634" i="3"/>
  <c r="G635" i="3"/>
  <c r="G636" i="3"/>
  <c r="G637" i="3"/>
  <c r="L637" i="3" s="1"/>
  <c r="G638" i="3"/>
  <c r="G639" i="3"/>
  <c r="G640" i="3"/>
  <c r="G641" i="3"/>
  <c r="L641" i="3" s="1"/>
  <c r="G642" i="3"/>
  <c r="G643" i="3"/>
  <c r="G644" i="3"/>
  <c r="G645" i="3"/>
  <c r="L645" i="3" s="1"/>
  <c r="G646" i="3"/>
  <c r="G647" i="3"/>
  <c r="G648" i="3"/>
  <c r="G649" i="3"/>
  <c r="L649" i="3" s="1"/>
  <c r="G650" i="3"/>
  <c r="G651" i="3"/>
  <c r="G652" i="3"/>
  <c r="G653" i="3"/>
  <c r="L653" i="3" s="1"/>
  <c r="G654" i="3"/>
  <c r="G655" i="3"/>
  <c r="G656" i="3"/>
  <c r="G657" i="3"/>
  <c r="L657" i="3" s="1"/>
  <c r="G658" i="3"/>
  <c r="G659" i="3"/>
  <c r="G660" i="3"/>
  <c r="G661" i="3"/>
  <c r="L661" i="3" s="1"/>
  <c r="G662" i="3"/>
  <c r="G663" i="3"/>
  <c r="G664" i="3"/>
  <c r="G665" i="3"/>
  <c r="L665" i="3" s="1"/>
  <c r="G666" i="3"/>
  <c r="G667" i="3"/>
  <c r="G668" i="3"/>
  <c r="G669" i="3"/>
  <c r="L669" i="3" s="1"/>
  <c r="G670" i="3"/>
  <c r="G671" i="3"/>
  <c r="G672" i="3"/>
  <c r="G673" i="3"/>
  <c r="L673" i="3" s="1"/>
  <c r="G674" i="3"/>
  <c r="G675" i="3"/>
  <c r="G676" i="3"/>
  <c r="G677" i="3"/>
  <c r="L677" i="3" s="1"/>
  <c r="G678" i="3"/>
  <c r="G679" i="3"/>
  <c r="G680" i="3"/>
  <c r="G681" i="3"/>
  <c r="L681" i="3" s="1"/>
  <c r="G682" i="3"/>
  <c r="G683" i="3"/>
  <c r="G684" i="3"/>
  <c r="G685" i="3"/>
  <c r="L685" i="3" s="1"/>
  <c r="G686" i="3"/>
  <c r="G687" i="3"/>
  <c r="G688" i="3"/>
  <c r="G689" i="3"/>
  <c r="L689" i="3" s="1"/>
  <c r="G690" i="3"/>
  <c r="G691" i="3"/>
  <c r="G692" i="3"/>
  <c r="G693" i="3"/>
  <c r="L693" i="3" s="1"/>
  <c r="G694" i="3"/>
  <c r="G695" i="3"/>
  <c r="G696" i="3"/>
  <c r="G697" i="3"/>
  <c r="L697" i="3" s="1"/>
  <c r="G698" i="3"/>
  <c r="G699" i="3"/>
  <c r="G700" i="3"/>
  <c r="G701" i="3"/>
  <c r="L701" i="3" s="1"/>
  <c r="G702" i="3"/>
  <c r="G703" i="3"/>
  <c r="G704" i="3"/>
  <c r="G705" i="3"/>
  <c r="L705" i="3" s="1"/>
  <c r="G706" i="3"/>
  <c r="G707" i="3"/>
  <c r="G708" i="3"/>
  <c r="G709" i="3"/>
  <c r="L709" i="3" s="1"/>
  <c r="G710" i="3"/>
  <c r="G711" i="3"/>
  <c r="G712" i="3"/>
  <c r="G713" i="3"/>
  <c r="L713" i="3" s="1"/>
  <c r="G714" i="3"/>
  <c r="G715" i="3"/>
  <c r="G716" i="3"/>
  <c r="G717" i="3"/>
  <c r="L717" i="3" s="1"/>
  <c r="G718" i="3"/>
  <c r="G719" i="3"/>
  <c r="G720" i="3"/>
  <c r="G721" i="3"/>
  <c r="L721" i="3" s="1"/>
  <c r="G722" i="3"/>
  <c r="G723" i="3"/>
  <c r="G724" i="3"/>
  <c r="G725" i="3"/>
  <c r="L725" i="3" s="1"/>
  <c r="G726" i="3"/>
  <c r="G727" i="3"/>
  <c r="G728" i="3"/>
  <c r="G729" i="3"/>
  <c r="L729" i="3" s="1"/>
  <c r="G730" i="3"/>
  <c r="G731" i="3"/>
  <c r="G732" i="3"/>
  <c r="G733" i="3"/>
  <c r="L733" i="3" s="1"/>
  <c r="G734" i="3"/>
  <c r="G735" i="3"/>
  <c r="G736" i="3"/>
  <c r="G737" i="3"/>
  <c r="L737" i="3" s="1"/>
  <c r="G738" i="3"/>
  <c r="G739" i="3"/>
  <c r="G740" i="3"/>
  <c r="G741" i="3"/>
  <c r="L741" i="3" s="1"/>
  <c r="G742" i="3"/>
  <c r="G743" i="3"/>
  <c r="G744" i="3"/>
  <c r="G745" i="3"/>
  <c r="L745" i="3" s="1"/>
  <c r="G746" i="3"/>
  <c r="G747" i="3"/>
  <c r="G748" i="3"/>
  <c r="G749" i="3"/>
  <c r="L749" i="3" s="1"/>
  <c r="L2" i="3"/>
  <c r="L3" i="3"/>
  <c r="L6" i="3"/>
  <c r="L7" i="3"/>
  <c r="L8" i="3"/>
  <c r="L10" i="3"/>
  <c r="L11" i="3"/>
  <c r="L12" i="3"/>
  <c r="L14" i="3"/>
  <c r="L15" i="3"/>
  <c r="L16" i="3"/>
  <c r="L18" i="3"/>
  <c r="M18" i="3" s="1"/>
  <c r="L19" i="3"/>
  <c r="L20" i="3"/>
  <c r="L22" i="3"/>
  <c r="L23" i="3"/>
  <c r="L24" i="3"/>
  <c r="L26" i="3"/>
  <c r="L27" i="3"/>
  <c r="L28" i="3"/>
  <c r="L30" i="3"/>
  <c r="L31" i="3"/>
  <c r="L32" i="3"/>
  <c r="L34" i="3"/>
  <c r="M34" i="3" s="1"/>
  <c r="L35" i="3"/>
  <c r="L36" i="3"/>
  <c r="L38" i="3"/>
  <c r="L39" i="3"/>
  <c r="M39" i="3" s="1"/>
  <c r="L40" i="3"/>
  <c r="L42" i="3"/>
  <c r="L43" i="3"/>
  <c r="L44" i="3"/>
  <c r="L46" i="3"/>
  <c r="L47" i="3"/>
  <c r="L48" i="3"/>
  <c r="L50" i="3"/>
  <c r="M50" i="3" s="1"/>
  <c r="L51" i="3"/>
  <c r="L52" i="3"/>
  <c r="L54" i="3"/>
  <c r="L55" i="3"/>
  <c r="M55" i="3" s="1"/>
  <c r="L56" i="3"/>
  <c r="L58" i="3"/>
  <c r="L59" i="3"/>
  <c r="L60" i="3"/>
  <c r="M60" i="3" s="1"/>
  <c r="L62" i="3"/>
  <c r="L63" i="3"/>
  <c r="L64" i="3"/>
  <c r="L66" i="3"/>
  <c r="M66" i="3" s="1"/>
  <c r="L67" i="3"/>
  <c r="L68" i="3"/>
  <c r="L70" i="3"/>
  <c r="L71" i="3"/>
  <c r="M71" i="3" s="1"/>
  <c r="L72" i="3"/>
  <c r="L74" i="3"/>
  <c r="L75" i="3"/>
  <c r="L76" i="3"/>
  <c r="M76" i="3" s="1"/>
  <c r="L78" i="3"/>
  <c r="L79" i="3"/>
  <c r="L80" i="3"/>
  <c r="L82" i="3"/>
  <c r="M82" i="3" s="1"/>
  <c r="L83" i="3"/>
  <c r="L84" i="3"/>
  <c r="L86" i="3"/>
  <c r="L87" i="3"/>
  <c r="L88" i="3"/>
  <c r="L90" i="3"/>
  <c r="L91" i="3"/>
  <c r="L92" i="3"/>
  <c r="M92" i="3" s="1"/>
  <c r="L94" i="3"/>
  <c r="L95" i="3"/>
  <c r="L96" i="3"/>
  <c r="L98" i="3"/>
  <c r="M98" i="3" s="1"/>
  <c r="L99" i="3"/>
  <c r="L100" i="3"/>
  <c r="L102" i="3"/>
  <c r="L103" i="3"/>
  <c r="M103" i="3" s="1"/>
  <c r="L104" i="3"/>
  <c r="L106" i="3"/>
  <c r="L107" i="3"/>
  <c r="L108" i="3"/>
  <c r="L110" i="3"/>
  <c r="L111" i="3"/>
  <c r="L112" i="3"/>
  <c r="L114" i="3"/>
  <c r="M114" i="3" s="1"/>
  <c r="L115" i="3"/>
  <c r="L116" i="3"/>
  <c r="L118" i="3"/>
  <c r="L119" i="3"/>
  <c r="M119" i="3" s="1"/>
  <c r="L120" i="3"/>
  <c r="L122" i="3"/>
  <c r="L123" i="3"/>
  <c r="L124" i="3"/>
  <c r="M124" i="3" s="1"/>
  <c r="L126" i="3"/>
  <c r="L127" i="3"/>
  <c r="L128" i="3"/>
  <c r="L130" i="3"/>
  <c r="M130" i="3" s="1"/>
  <c r="L131" i="3"/>
  <c r="L132" i="3"/>
  <c r="L134" i="3"/>
  <c r="L135" i="3"/>
  <c r="M135" i="3" s="1"/>
  <c r="L136" i="3"/>
  <c r="L138" i="3"/>
  <c r="L139" i="3"/>
  <c r="L140" i="3"/>
  <c r="M140" i="3" s="1"/>
  <c r="L142" i="3"/>
  <c r="L143" i="3"/>
  <c r="L144" i="3"/>
  <c r="L146" i="3"/>
  <c r="M146" i="3" s="1"/>
  <c r="L147" i="3"/>
  <c r="L148" i="3"/>
  <c r="L150" i="3"/>
  <c r="L151" i="3"/>
  <c r="L152" i="3"/>
  <c r="L154" i="3"/>
  <c r="L155" i="3"/>
  <c r="L156" i="3"/>
  <c r="M156" i="3" s="1"/>
  <c r="L158" i="3"/>
  <c r="L159" i="3"/>
  <c r="L160" i="3"/>
  <c r="L162" i="3"/>
  <c r="M162" i="3" s="1"/>
  <c r="L163" i="3"/>
  <c r="L164" i="3"/>
  <c r="L166" i="3"/>
  <c r="L167" i="3"/>
  <c r="M167" i="3" s="1"/>
  <c r="L168" i="3"/>
  <c r="L170" i="3"/>
  <c r="L171" i="3"/>
  <c r="L172" i="3"/>
  <c r="L174" i="3"/>
  <c r="L175" i="3"/>
  <c r="L176" i="3"/>
  <c r="L178" i="3"/>
  <c r="M178" i="3" s="1"/>
  <c r="L179" i="3"/>
  <c r="L180" i="3"/>
  <c r="L182" i="3"/>
  <c r="L183" i="3"/>
  <c r="M183" i="3" s="1"/>
  <c r="L184" i="3"/>
  <c r="L186" i="3"/>
  <c r="L187" i="3"/>
  <c r="L188" i="3"/>
  <c r="M188" i="3" s="1"/>
  <c r="L190" i="3"/>
  <c r="L191" i="3"/>
  <c r="L192" i="3"/>
  <c r="L194" i="3"/>
  <c r="M194" i="3" s="1"/>
  <c r="L195" i="3"/>
  <c r="L196" i="3"/>
  <c r="L198" i="3"/>
  <c r="L199" i="3"/>
  <c r="M199" i="3" s="1"/>
  <c r="L200" i="3"/>
  <c r="L202" i="3"/>
  <c r="L203" i="3"/>
  <c r="L204" i="3"/>
  <c r="M204" i="3" s="1"/>
  <c r="L206" i="3"/>
  <c r="L207" i="3"/>
  <c r="L208" i="3"/>
  <c r="L210" i="3"/>
  <c r="M210" i="3" s="1"/>
  <c r="L211" i="3"/>
  <c r="L212" i="3"/>
  <c r="L214" i="3"/>
  <c r="L215" i="3"/>
  <c r="L216" i="3"/>
  <c r="L218" i="3"/>
  <c r="L219" i="3"/>
  <c r="L220" i="3"/>
  <c r="M220" i="3" s="1"/>
  <c r="L222" i="3"/>
  <c r="L223" i="3"/>
  <c r="L224" i="3"/>
  <c r="L226" i="3"/>
  <c r="M226" i="3" s="1"/>
  <c r="L227" i="3"/>
  <c r="L228" i="3"/>
  <c r="L230" i="3"/>
  <c r="L231" i="3"/>
  <c r="M231" i="3" s="1"/>
  <c r="L232" i="3"/>
  <c r="L234" i="3"/>
  <c r="L235" i="3"/>
  <c r="L236" i="3"/>
  <c r="L238" i="3"/>
  <c r="L239" i="3"/>
  <c r="L240" i="3"/>
  <c r="L242" i="3"/>
  <c r="M242" i="3" s="1"/>
  <c r="L243" i="3"/>
  <c r="L244" i="3"/>
  <c r="L246" i="3"/>
  <c r="L247" i="3"/>
  <c r="M247" i="3" s="1"/>
  <c r="L248" i="3"/>
  <c r="L250" i="3"/>
  <c r="L251" i="3"/>
  <c r="L252" i="3"/>
  <c r="M252" i="3" s="1"/>
  <c r="L254" i="3"/>
  <c r="L255" i="3"/>
  <c r="L256" i="3"/>
  <c r="L258" i="3"/>
  <c r="M258" i="3" s="1"/>
  <c r="L259" i="3"/>
  <c r="L260" i="3"/>
  <c r="L262" i="3"/>
  <c r="L263" i="3"/>
  <c r="M263" i="3" s="1"/>
  <c r="L264" i="3"/>
  <c r="L266" i="3"/>
  <c r="L267" i="3"/>
  <c r="L268" i="3"/>
  <c r="M268" i="3" s="1"/>
  <c r="L270" i="3"/>
  <c r="L271" i="3"/>
  <c r="L272" i="3"/>
  <c r="L274" i="3"/>
  <c r="M274" i="3" s="1"/>
  <c r="L275" i="3"/>
  <c r="L276" i="3"/>
  <c r="L278" i="3"/>
  <c r="L279" i="3"/>
  <c r="L280" i="3"/>
  <c r="L282" i="3"/>
  <c r="L283" i="3"/>
  <c r="L284" i="3"/>
  <c r="M284" i="3" s="1"/>
  <c r="L286" i="3"/>
  <c r="L287" i="3"/>
  <c r="L288" i="3"/>
  <c r="L290" i="3"/>
  <c r="M290" i="3" s="1"/>
  <c r="L291" i="3"/>
  <c r="L292" i="3"/>
  <c r="L294" i="3"/>
  <c r="L295" i="3"/>
  <c r="M295" i="3" s="1"/>
  <c r="L296" i="3"/>
  <c r="L298" i="3"/>
  <c r="L299" i="3"/>
  <c r="L300" i="3"/>
  <c r="L302" i="3"/>
  <c r="L303" i="3"/>
  <c r="L304" i="3"/>
  <c r="L306" i="3"/>
  <c r="M306" i="3" s="1"/>
  <c r="L307" i="3"/>
  <c r="L308" i="3"/>
  <c r="L310" i="3"/>
  <c r="L311" i="3"/>
  <c r="M311" i="3" s="1"/>
  <c r="L312" i="3"/>
  <c r="L314" i="3"/>
  <c r="L315" i="3"/>
  <c r="L316" i="3"/>
  <c r="M316" i="3" s="1"/>
  <c r="L318" i="3"/>
  <c r="L319" i="3"/>
  <c r="L320" i="3"/>
  <c r="L322" i="3"/>
  <c r="M322" i="3" s="1"/>
  <c r="L323" i="3"/>
  <c r="L324" i="3"/>
  <c r="L326" i="3"/>
  <c r="L327" i="3"/>
  <c r="M327" i="3" s="1"/>
  <c r="L328" i="3"/>
  <c r="L330" i="3"/>
  <c r="L331" i="3"/>
  <c r="L332" i="3"/>
  <c r="M332" i="3" s="1"/>
  <c r="L334" i="3"/>
  <c r="L335" i="3"/>
  <c r="L336" i="3"/>
  <c r="L338" i="3"/>
  <c r="M338" i="3" s="1"/>
  <c r="L339" i="3"/>
  <c r="L340" i="3"/>
  <c r="L342" i="3"/>
  <c r="M342" i="3" s="1"/>
  <c r="L343" i="3"/>
  <c r="L344" i="3"/>
  <c r="L346" i="3"/>
  <c r="M346" i="3" s="1"/>
  <c r="L347" i="3"/>
  <c r="L348" i="3"/>
  <c r="L350" i="3"/>
  <c r="M350" i="3" s="1"/>
  <c r="L351" i="3"/>
  <c r="L352" i="3"/>
  <c r="L354" i="3"/>
  <c r="M354" i="3" s="1"/>
  <c r="L355" i="3"/>
  <c r="L356" i="3"/>
  <c r="L358" i="3"/>
  <c r="M358" i="3" s="1"/>
  <c r="L359" i="3"/>
  <c r="L360" i="3"/>
  <c r="L362" i="3"/>
  <c r="M362" i="3" s="1"/>
  <c r="L363" i="3"/>
  <c r="L364" i="3"/>
  <c r="L366" i="3"/>
  <c r="M366" i="3" s="1"/>
  <c r="L367" i="3"/>
  <c r="L368" i="3"/>
  <c r="L370" i="3"/>
  <c r="M370" i="3" s="1"/>
  <c r="L371" i="3"/>
  <c r="L372" i="3"/>
  <c r="L374" i="3"/>
  <c r="M374" i="3" s="1"/>
  <c r="L375" i="3"/>
  <c r="L376" i="3"/>
  <c r="L378" i="3"/>
  <c r="M378" i="3" s="1"/>
  <c r="L379" i="3"/>
  <c r="L380" i="3"/>
  <c r="L382" i="3"/>
  <c r="M382" i="3" s="1"/>
  <c r="L383" i="3"/>
  <c r="L384" i="3"/>
  <c r="L386" i="3"/>
  <c r="M386" i="3" s="1"/>
  <c r="L387" i="3"/>
  <c r="L388" i="3"/>
  <c r="L390" i="3"/>
  <c r="M390" i="3" s="1"/>
  <c r="L391" i="3"/>
  <c r="L392" i="3"/>
  <c r="L394" i="3"/>
  <c r="M394" i="3" s="1"/>
  <c r="L395" i="3"/>
  <c r="L396" i="3"/>
  <c r="L398" i="3"/>
  <c r="M398" i="3" s="1"/>
  <c r="L399" i="3"/>
  <c r="L400" i="3"/>
  <c r="L402" i="3"/>
  <c r="M402" i="3" s="1"/>
  <c r="L403" i="3"/>
  <c r="L404" i="3"/>
  <c r="L406" i="3"/>
  <c r="M406" i="3" s="1"/>
  <c r="L407" i="3"/>
  <c r="L408" i="3"/>
  <c r="L410" i="3"/>
  <c r="M410" i="3" s="1"/>
  <c r="L411" i="3"/>
  <c r="L412" i="3"/>
  <c r="L414" i="3"/>
  <c r="M414" i="3" s="1"/>
  <c r="L415" i="3"/>
  <c r="L416" i="3"/>
  <c r="L418" i="3"/>
  <c r="M418" i="3" s="1"/>
  <c r="L419" i="3"/>
  <c r="L420" i="3"/>
  <c r="L422" i="3"/>
  <c r="M422" i="3" s="1"/>
  <c r="L423" i="3"/>
  <c r="L424" i="3"/>
  <c r="L426" i="3"/>
  <c r="M426" i="3" s="1"/>
  <c r="L427" i="3"/>
  <c r="L428" i="3"/>
  <c r="M428" i="3" s="1"/>
  <c r="L430" i="3"/>
  <c r="M430" i="3" s="1"/>
  <c r="L431" i="3"/>
  <c r="L432" i="3"/>
  <c r="L434" i="3"/>
  <c r="M434" i="3" s="1"/>
  <c r="L435" i="3"/>
  <c r="L436" i="3"/>
  <c r="L438" i="3"/>
  <c r="M438" i="3" s="1"/>
  <c r="L439" i="3"/>
  <c r="L440" i="3"/>
  <c r="L442" i="3"/>
  <c r="M442" i="3" s="1"/>
  <c r="L443" i="3"/>
  <c r="L444" i="3"/>
  <c r="M444" i="3" s="1"/>
  <c r="L446" i="3"/>
  <c r="M446" i="3" s="1"/>
  <c r="L447" i="3"/>
  <c r="L448" i="3"/>
  <c r="L450" i="3"/>
  <c r="M450" i="3" s="1"/>
  <c r="L451" i="3"/>
  <c r="L452" i="3"/>
  <c r="L454" i="3"/>
  <c r="M454" i="3" s="1"/>
  <c r="L455" i="3"/>
  <c r="L456" i="3"/>
  <c r="L458" i="3"/>
  <c r="M458" i="3" s="1"/>
  <c r="L459" i="3"/>
  <c r="L460" i="3"/>
  <c r="M460" i="3" s="1"/>
  <c r="L462" i="3"/>
  <c r="M462" i="3" s="1"/>
  <c r="L463" i="3"/>
  <c r="L464" i="3"/>
  <c r="L466" i="3"/>
  <c r="M466" i="3" s="1"/>
  <c r="L467" i="3"/>
  <c r="L468" i="3"/>
  <c r="L470" i="3"/>
  <c r="M470" i="3" s="1"/>
  <c r="L471" i="3"/>
  <c r="M471" i="3" s="1"/>
  <c r="L472" i="3"/>
  <c r="L474" i="3"/>
  <c r="M474" i="3" s="1"/>
  <c r="L475" i="3"/>
  <c r="L476" i="3"/>
  <c r="M476" i="3" s="1"/>
  <c r="L478" i="3"/>
  <c r="M478" i="3" s="1"/>
  <c r="L479" i="3"/>
  <c r="L480" i="3"/>
  <c r="L482" i="3"/>
  <c r="M482" i="3" s="1"/>
  <c r="L483" i="3"/>
  <c r="L484" i="3"/>
  <c r="L486" i="3"/>
  <c r="M486" i="3" s="1"/>
  <c r="L487" i="3"/>
  <c r="M487" i="3" s="1"/>
  <c r="L488" i="3"/>
  <c r="L490" i="3"/>
  <c r="M490" i="3" s="1"/>
  <c r="L491" i="3"/>
  <c r="L492" i="3"/>
  <c r="M492" i="3" s="1"/>
  <c r="L494" i="3"/>
  <c r="M494" i="3" s="1"/>
  <c r="L495" i="3"/>
  <c r="L496" i="3"/>
  <c r="L498" i="3"/>
  <c r="M498" i="3" s="1"/>
  <c r="L499" i="3"/>
  <c r="L500" i="3"/>
  <c r="L502" i="3"/>
  <c r="M502" i="3" s="1"/>
  <c r="L503" i="3"/>
  <c r="M503" i="3" s="1"/>
  <c r="L504" i="3"/>
  <c r="L506" i="3"/>
  <c r="M506" i="3" s="1"/>
  <c r="L507" i="3"/>
  <c r="L508" i="3"/>
  <c r="M508" i="3" s="1"/>
  <c r="L510" i="3"/>
  <c r="M510" i="3" s="1"/>
  <c r="L511" i="3"/>
  <c r="L512" i="3"/>
  <c r="L514" i="3"/>
  <c r="M514" i="3" s="1"/>
  <c r="L515" i="3"/>
  <c r="L516" i="3"/>
  <c r="L518" i="3"/>
  <c r="M518" i="3" s="1"/>
  <c r="L519" i="3"/>
  <c r="M519" i="3" s="1"/>
  <c r="L520" i="3"/>
  <c r="L522" i="3"/>
  <c r="M522" i="3" s="1"/>
  <c r="L523" i="3"/>
  <c r="L524" i="3"/>
  <c r="M524" i="3" s="1"/>
  <c r="L526" i="3"/>
  <c r="L527" i="3"/>
  <c r="L528" i="3"/>
  <c r="L530" i="3"/>
  <c r="M530" i="3" s="1"/>
  <c r="L531" i="3"/>
  <c r="L532" i="3"/>
  <c r="L534" i="3"/>
  <c r="L535" i="3"/>
  <c r="M535" i="3" s="1"/>
  <c r="L536" i="3"/>
  <c r="L538" i="3"/>
  <c r="L539" i="3"/>
  <c r="L540" i="3"/>
  <c r="M540" i="3" s="1"/>
  <c r="L542" i="3"/>
  <c r="L543" i="3"/>
  <c r="L544" i="3"/>
  <c r="L546" i="3"/>
  <c r="M546" i="3" s="1"/>
  <c r="L547" i="3"/>
  <c r="L548" i="3"/>
  <c r="L550" i="3"/>
  <c r="L551" i="3"/>
  <c r="M551" i="3" s="1"/>
  <c r="L552" i="3"/>
  <c r="L554" i="3"/>
  <c r="L555" i="3"/>
  <c r="L556" i="3"/>
  <c r="M556" i="3" s="1"/>
  <c r="L558" i="3"/>
  <c r="L559" i="3"/>
  <c r="L560" i="3"/>
  <c r="L562" i="3"/>
  <c r="M562" i="3" s="1"/>
  <c r="L563" i="3"/>
  <c r="L564" i="3"/>
  <c r="L566" i="3"/>
  <c r="L567" i="3"/>
  <c r="M567" i="3" s="1"/>
  <c r="L568" i="3"/>
  <c r="L570" i="3"/>
  <c r="L571" i="3"/>
  <c r="L572" i="3"/>
  <c r="M572" i="3" s="1"/>
  <c r="L574" i="3"/>
  <c r="L575" i="3"/>
  <c r="L576" i="3"/>
  <c r="L578" i="3"/>
  <c r="M578" i="3" s="1"/>
  <c r="L579" i="3"/>
  <c r="L580" i="3"/>
  <c r="L582" i="3"/>
  <c r="L583" i="3"/>
  <c r="M583" i="3" s="1"/>
  <c r="L584" i="3"/>
  <c r="L586" i="3"/>
  <c r="L587" i="3"/>
  <c r="L588" i="3"/>
  <c r="M588" i="3" s="1"/>
  <c r="L590" i="3"/>
  <c r="L591" i="3"/>
  <c r="L592" i="3"/>
  <c r="L594" i="3"/>
  <c r="M594" i="3" s="1"/>
  <c r="L595" i="3"/>
  <c r="L596" i="3"/>
  <c r="L598" i="3"/>
  <c r="L599" i="3"/>
  <c r="M599" i="3" s="1"/>
  <c r="L600" i="3"/>
  <c r="L602" i="3"/>
  <c r="L603" i="3"/>
  <c r="L604" i="3"/>
  <c r="M604" i="3" s="1"/>
  <c r="L606" i="3"/>
  <c r="L607" i="3"/>
  <c r="L608" i="3"/>
  <c r="L610" i="3"/>
  <c r="M610" i="3" s="1"/>
  <c r="L611" i="3"/>
  <c r="L612" i="3"/>
  <c r="L614" i="3"/>
  <c r="L615" i="3"/>
  <c r="M615" i="3" s="1"/>
  <c r="L616" i="3"/>
  <c r="L618" i="3"/>
  <c r="L619" i="3"/>
  <c r="L620" i="3"/>
  <c r="M620" i="3" s="1"/>
  <c r="L622" i="3"/>
  <c r="L623" i="3"/>
  <c r="L624" i="3"/>
  <c r="L626" i="3"/>
  <c r="M626" i="3" s="1"/>
  <c r="L627" i="3"/>
  <c r="L628" i="3"/>
  <c r="L630" i="3"/>
  <c r="L631" i="3"/>
  <c r="M631" i="3" s="1"/>
  <c r="L632" i="3"/>
  <c r="L634" i="3"/>
  <c r="L635" i="3"/>
  <c r="L636" i="3"/>
  <c r="M636" i="3" s="1"/>
  <c r="L638" i="3"/>
  <c r="L639" i="3"/>
  <c r="L640" i="3"/>
  <c r="L642" i="3"/>
  <c r="M642" i="3" s="1"/>
  <c r="L643" i="3"/>
  <c r="L644" i="3"/>
  <c r="L646" i="3"/>
  <c r="L647" i="3"/>
  <c r="M647" i="3" s="1"/>
  <c r="L648" i="3"/>
  <c r="L650" i="3"/>
  <c r="L651" i="3"/>
  <c r="L652" i="3"/>
  <c r="M652" i="3" s="1"/>
  <c r="L654" i="3"/>
  <c r="L655" i="3"/>
  <c r="L656" i="3"/>
  <c r="L658" i="3"/>
  <c r="M658" i="3" s="1"/>
  <c r="L659" i="3"/>
  <c r="L660" i="3"/>
  <c r="L662" i="3"/>
  <c r="L663" i="3"/>
  <c r="M663" i="3" s="1"/>
  <c r="L664" i="3"/>
  <c r="L666" i="3"/>
  <c r="L667" i="3"/>
  <c r="L668" i="3"/>
  <c r="M668" i="3" s="1"/>
  <c r="L670" i="3"/>
  <c r="L671" i="3"/>
  <c r="L672" i="3"/>
  <c r="L674" i="3"/>
  <c r="M674" i="3" s="1"/>
  <c r="L675" i="3"/>
  <c r="L676" i="3"/>
  <c r="L678" i="3"/>
  <c r="L679" i="3"/>
  <c r="M679" i="3" s="1"/>
  <c r="L680" i="3"/>
  <c r="L682" i="3"/>
  <c r="L683" i="3"/>
  <c r="L684" i="3"/>
  <c r="M684" i="3" s="1"/>
  <c r="L686" i="3"/>
  <c r="L687" i="3"/>
  <c r="L688" i="3"/>
  <c r="L690" i="3"/>
  <c r="M690" i="3" s="1"/>
  <c r="L691" i="3"/>
  <c r="L692" i="3"/>
  <c r="L694" i="3"/>
  <c r="L695" i="3"/>
  <c r="M695" i="3" s="1"/>
  <c r="L696" i="3"/>
  <c r="L698" i="3"/>
  <c r="L699" i="3"/>
  <c r="L700" i="3"/>
  <c r="M700" i="3" s="1"/>
  <c r="L702" i="3"/>
  <c r="L703" i="3"/>
  <c r="L704" i="3"/>
  <c r="L706" i="3"/>
  <c r="M706" i="3" s="1"/>
  <c r="L707" i="3"/>
  <c r="L708" i="3"/>
  <c r="L710" i="3"/>
  <c r="L711" i="3"/>
  <c r="M711" i="3" s="1"/>
  <c r="L712" i="3"/>
  <c r="L714" i="3"/>
  <c r="L715" i="3"/>
  <c r="L716" i="3"/>
  <c r="M716" i="3" s="1"/>
  <c r="L718" i="3"/>
  <c r="L719" i="3"/>
  <c r="L720" i="3"/>
  <c r="L722" i="3"/>
  <c r="M722" i="3" s="1"/>
  <c r="L723" i="3"/>
  <c r="L724" i="3"/>
  <c r="L726" i="3"/>
  <c r="L727" i="3"/>
  <c r="M727" i="3" s="1"/>
  <c r="L728" i="3"/>
  <c r="L730" i="3"/>
  <c r="L731" i="3"/>
  <c r="L732" i="3"/>
  <c r="M732" i="3" s="1"/>
  <c r="L734" i="3"/>
  <c r="L735" i="3"/>
  <c r="L736" i="3"/>
  <c r="L738" i="3"/>
  <c r="M738" i="3" s="1"/>
  <c r="L739" i="3"/>
  <c r="L740" i="3"/>
  <c r="L742" i="3"/>
  <c r="L743" i="3"/>
  <c r="M743" i="3" s="1"/>
  <c r="L744" i="3"/>
  <c r="L746" i="3"/>
  <c r="L747" i="3"/>
  <c r="L748" i="3"/>
  <c r="M748" i="3" s="1"/>
  <c r="M2" i="3"/>
  <c r="M3" i="3"/>
  <c r="M6" i="3"/>
  <c r="M7" i="3"/>
  <c r="M8" i="3"/>
  <c r="M10" i="3"/>
  <c r="M11" i="3"/>
  <c r="M12" i="3"/>
  <c r="M14" i="3"/>
  <c r="M15" i="3"/>
  <c r="M16" i="3"/>
  <c r="M19" i="3"/>
  <c r="M20" i="3"/>
  <c r="M22" i="3"/>
  <c r="M23" i="3"/>
  <c r="M24" i="3"/>
  <c r="M26" i="3"/>
  <c r="M27" i="3"/>
  <c r="M28" i="3"/>
  <c r="M30" i="3"/>
  <c r="M31" i="3"/>
  <c r="M32" i="3"/>
  <c r="M35" i="3"/>
  <c r="M36" i="3"/>
  <c r="M38" i="3"/>
  <c r="M40" i="3"/>
  <c r="M42" i="3"/>
  <c r="M43" i="3"/>
  <c r="M44" i="3"/>
  <c r="M46" i="3"/>
  <c r="M47" i="3"/>
  <c r="M48" i="3"/>
  <c r="M51" i="3"/>
  <c r="M52" i="3"/>
  <c r="M53" i="3"/>
  <c r="M54" i="3"/>
  <c r="M56" i="3"/>
  <c r="M57" i="3"/>
  <c r="M58" i="3"/>
  <c r="M59" i="3"/>
  <c r="M61" i="3"/>
  <c r="M62" i="3"/>
  <c r="M63" i="3"/>
  <c r="M64" i="3"/>
  <c r="M65" i="3"/>
  <c r="M67" i="3"/>
  <c r="M68" i="3"/>
  <c r="M70" i="3"/>
  <c r="M72" i="3"/>
  <c r="M74" i="3"/>
  <c r="M75" i="3"/>
  <c r="M78" i="3"/>
  <c r="M79" i="3"/>
  <c r="M80" i="3"/>
  <c r="M83" i="3"/>
  <c r="M84" i="3"/>
  <c r="M86" i="3"/>
  <c r="M87" i="3"/>
  <c r="M88" i="3"/>
  <c r="M90" i="3"/>
  <c r="M91" i="3"/>
  <c r="M94" i="3"/>
  <c r="M95" i="3"/>
  <c r="M96" i="3"/>
  <c r="M99" i="3"/>
  <c r="M100" i="3"/>
  <c r="M102" i="3"/>
  <c r="M104" i="3"/>
  <c r="M106" i="3"/>
  <c r="M107" i="3"/>
  <c r="M108" i="3"/>
  <c r="M110" i="3"/>
  <c r="M111" i="3"/>
  <c r="M112" i="3"/>
  <c r="M115" i="3"/>
  <c r="M116" i="3"/>
  <c r="M117" i="3"/>
  <c r="M118" i="3"/>
  <c r="M120" i="3"/>
  <c r="M121" i="3"/>
  <c r="M122" i="3"/>
  <c r="M123" i="3"/>
  <c r="M125" i="3"/>
  <c r="M126" i="3"/>
  <c r="M127" i="3"/>
  <c r="M128" i="3"/>
  <c r="M129" i="3"/>
  <c r="M131" i="3"/>
  <c r="M132" i="3"/>
  <c r="M134" i="3"/>
  <c r="M136" i="3"/>
  <c r="M138" i="3"/>
  <c r="M139" i="3"/>
  <c r="M142" i="3"/>
  <c r="M143" i="3"/>
  <c r="M144" i="3"/>
  <c r="M147" i="3"/>
  <c r="M148" i="3"/>
  <c r="M150" i="3"/>
  <c r="M151" i="3"/>
  <c r="M152" i="3"/>
  <c r="M154" i="3"/>
  <c r="M155" i="3"/>
  <c r="M158" i="3"/>
  <c r="M159" i="3"/>
  <c r="M160" i="3"/>
  <c r="M163" i="3"/>
  <c r="M164" i="3"/>
  <c r="M166" i="3"/>
  <c r="M168" i="3"/>
  <c r="M170" i="3"/>
  <c r="M171" i="3"/>
  <c r="M172" i="3"/>
  <c r="M174" i="3"/>
  <c r="M175" i="3"/>
  <c r="M176" i="3"/>
  <c r="M179" i="3"/>
  <c r="M180" i="3"/>
  <c r="M181" i="3"/>
  <c r="M182" i="3"/>
  <c r="M184" i="3"/>
  <c r="M185" i="3"/>
  <c r="M186" i="3"/>
  <c r="M187" i="3"/>
  <c r="M189" i="3"/>
  <c r="M190" i="3"/>
  <c r="M191" i="3"/>
  <c r="M192" i="3"/>
  <c r="M193" i="3"/>
  <c r="M195" i="3"/>
  <c r="M196" i="3"/>
  <c r="M198" i="3"/>
  <c r="M200" i="3"/>
  <c r="M202" i="3"/>
  <c r="M203" i="3"/>
  <c r="M206" i="3"/>
  <c r="M207" i="3"/>
  <c r="M208" i="3"/>
  <c r="M211" i="3"/>
  <c r="M212" i="3"/>
  <c r="M214" i="3"/>
  <c r="M215" i="3"/>
  <c r="M216" i="3"/>
  <c r="M218" i="3"/>
  <c r="M219" i="3"/>
  <c r="M222" i="3"/>
  <c r="M223" i="3"/>
  <c r="M224" i="3"/>
  <c r="M227" i="3"/>
  <c r="M228" i="3"/>
  <c r="M230" i="3"/>
  <c r="M232" i="3"/>
  <c r="M234" i="3"/>
  <c r="M235" i="3"/>
  <c r="M236" i="3"/>
  <c r="M238" i="3"/>
  <c r="M239" i="3"/>
  <c r="M240" i="3"/>
  <c r="M243" i="3"/>
  <c r="M244" i="3"/>
  <c r="M245" i="3"/>
  <c r="M246" i="3"/>
  <c r="M248" i="3"/>
  <c r="M249" i="3"/>
  <c r="M250" i="3"/>
  <c r="M251" i="3"/>
  <c r="M253" i="3"/>
  <c r="M254" i="3"/>
  <c r="M255" i="3"/>
  <c r="M256" i="3"/>
  <c r="M257" i="3"/>
  <c r="M259" i="3"/>
  <c r="M260" i="3"/>
  <c r="M262" i="3"/>
  <c r="M264" i="3"/>
  <c r="M266" i="3"/>
  <c r="M267" i="3"/>
  <c r="M270" i="3"/>
  <c r="M271" i="3"/>
  <c r="M272" i="3"/>
  <c r="M275" i="3"/>
  <c r="M276" i="3"/>
  <c r="M278" i="3"/>
  <c r="M279" i="3"/>
  <c r="M280" i="3"/>
  <c r="M282" i="3"/>
  <c r="M283" i="3"/>
  <c r="M286" i="3"/>
  <c r="M287" i="3"/>
  <c r="M288" i="3"/>
  <c r="M291" i="3"/>
  <c r="M292" i="3"/>
  <c r="M294" i="3"/>
  <c r="M296" i="3"/>
  <c r="M298" i="3"/>
  <c r="M299" i="3"/>
  <c r="M300" i="3"/>
  <c r="M302" i="3"/>
  <c r="M303" i="3"/>
  <c r="M304" i="3"/>
  <c r="M307" i="3"/>
  <c r="M308" i="3"/>
  <c r="M309" i="3"/>
  <c r="M310" i="3"/>
  <c r="M312" i="3"/>
  <c r="M313" i="3"/>
  <c r="M314" i="3"/>
  <c r="M315" i="3"/>
  <c r="M317" i="3"/>
  <c r="M318" i="3"/>
  <c r="M319" i="3"/>
  <c r="M320" i="3"/>
  <c r="M321" i="3"/>
  <c r="M323" i="3"/>
  <c r="M324" i="3"/>
  <c r="M326" i="3"/>
  <c r="M328" i="3"/>
  <c r="M330" i="3"/>
  <c r="M331" i="3"/>
  <c r="M334" i="3"/>
  <c r="M335" i="3"/>
  <c r="M336" i="3"/>
  <c r="M339" i="3"/>
  <c r="M340" i="3"/>
  <c r="M343" i="3"/>
  <c r="M344" i="3"/>
  <c r="M347" i="3"/>
  <c r="M348" i="3"/>
  <c r="M349" i="3"/>
  <c r="M351" i="3"/>
  <c r="M352" i="3"/>
  <c r="M355" i="3"/>
  <c r="M356" i="3"/>
  <c r="M359" i="3"/>
  <c r="M360" i="3"/>
  <c r="M363" i="3"/>
  <c r="M364" i="3"/>
  <c r="M365" i="3"/>
  <c r="M367" i="3"/>
  <c r="M368" i="3"/>
  <c r="M371" i="3"/>
  <c r="M372" i="3"/>
  <c r="M375" i="3"/>
  <c r="M376" i="3"/>
  <c r="M379" i="3"/>
  <c r="M380" i="3"/>
  <c r="M381" i="3"/>
  <c r="M383" i="3"/>
  <c r="M384" i="3"/>
  <c r="M387" i="3"/>
  <c r="M388" i="3"/>
  <c r="M391" i="3"/>
  <c r="M392" i="3"/>
  <c r="M395" i="3"/>
  <c r="M396" i="3"/>
  <c r="M397" i="3"/>
  <c r="M399" i="3"/>
  <c r="M400" i="3"/>
  <c r="M403" i="3"/>
  <c r="M404" i="3"/>
  <c r="M407" i="3"/>
  <c r="M408" i="3"/>
  <c r="M411" i="3"/>
  <c r="M412" i="3"/>
  <c r="M413" i="3"/>
  <c r="M415" i="3"/>
  <c r="M416" i="3"/>
  <c r="M419" i="3"/>
  <c r="M420" i="3"/>
  <c r="M423" i="3"/>
  <c r="M424" i="3"/>
  <c r="M427" i="3"/>
  <c r="M429" i="3"/>
  <c r="M431" i="3"/>
  <c r="M432" i="3"/>
  <c r="M435" i="3"/>
  <c r="M436" i="3"/>
  <c r="M439" i="3"/>
  <c r="M440" i="3"/>
  <c r="M443" i="3"/>
  <c r="M445" i="3"/>
  <c r="M447" i="3"/>
  <c r="M448" i="3"/>
  <c r="M451" i="3"/>
  <c r="M452" i="3"/>
  <c r="M455" i="3"/>
  <c r="M456" i="3"/>
  <c r="M459" i="3"/>
  <c r="M461" i="3"/>
  <c r="M463" i="3"/>
  <c r="M464" i="3"/>
  <c r="M467" i="3"/>
  <c r="M468" i="3"/>
  <c r="M472" i="3"/>
  <c r="M475" i="3"/>
  <c r="M477" i="3"/>
  <c r="M479" i="3"/>
  <c r="M480" i="3"/>
  <c r="M483" i="3"/>
  <c r="M484" i="3"/>
  <c r="M488" i="3"/>
  <c r="M491" i="3"/>
  <c r="M493" i="3"/>
  <c r="M495" i="3"/>
  <c r="M496" i="3"/>
  <c r="M499" i="3"/>
  <c r="M500" i="3"/>
  <c r="M504" i="3"/>
  <c r="M507" i="3"/>
  <c r="M509" i="3"/>
  <c r="M511" i="3"/>
  <c r="M512" i="3"/>
  <c r="M515" i="3"/>
  <c r="M516" i="3"/>
  <c r="M520" i="3"/>
  <c r="M523" i="3"/>
  <c r="M525" i="3"/>
  <c r="M526" i="3"/>
  <c r="M527" i="3"/>
  <c r="M528" i="3"/>
  <c r="M529" i="3"/>
  <c r="M531" i="3"/>
  <c r="M532" i="3"/>
  <c r="M533" i="3"/>
  <c r="M534" i="3"/>
  <c r="M536" i="3"/>
  <c r="M537" i="3"/>
  <c r="M538" i="3"/>
  <c r="M539" i="3"/>
  <c r="M541" i="3"/>
  <c r="M542" i="3"/>
  <c r="M543" i="3"/>
  <c r="M544" i="3"/>
  <c r="M545" i="3"/>
  <c r="M547" i="3"/>
  <c r="M548" i="3"/>
  <c r="M549" i="3"/>
  <c r="M550" i="3"/>
  <c r="M552" i="3"/>
  <c r="M553" i="3"/>
  <c r="M554" i="3"/>
  <c r="M555" i="3"/>
  <c r="M557" i="3"/>
  <c r="M558" i="3"/>
  <c r="M559" i="3"/>
  <c r="M560" i="3"/>
  <c r="M561" i="3"/>
  <c r="M563" i="3"/>
  <c r="M564" i="3"/>
  <c r="M565" i="3"/>
  <c r="M566" i="3"/>
  <c r="M568" i="3"/>
  <c r="M569" i="3"/>
  <c r="M570" i="3"/>
  <c r="M571" i="3"/>
  <c r="M573" i="3"/>
  <c r="M574" i="3"/>
  <c r="M575" i="3"/>
  <c r="M576" i="3"/>
  <c r="M577" i="3"/>
  <c r="M579" i="3"/>
  <c r="M580" i="3"/>
  <c r="M581" i="3"/>
  <c r="M582" i="3"/>
  <c r="M584" i="3"/>
  <c r="M585" i="3"/>
  <c r="M586" i="3"/>
  <c r="M587" i="3"/>
  <c r="M589" i="3"/>
  <c r="M590" i="3"/>
  <c r="M591" i="3"/>
  <c r="M592" i="3"/>
  <c r="M593" i="3"/>
  <c r="M595" i="3"/>
  <c r="M596" i="3"/>
  <c r="M597" i="3"/>
  <c r="M598" i="3"/>
  <c r="M600" i="3"/>
  <c r="M601" i="3"/>
  <c r="M602" i="3"/>
  <c r="M603" i="3"/>
  <c r="M605" i="3"/>
  <c r="M606" i="3"/>
  <c r="M607" i="3"/>
  <c r="M608" i="3"/>
  <c r="M609" i="3"/>
  <c r="M611" i="3"/>
  <c r="M612" i="3"/>
  <c r="M613" i="3"/>
  <c r="M614" i="3"/>
  <c r="M616" i="3"/>
  <c r="M617" i="3"/>
  <c r="M618" i="3"/>
  <c r="M619" i="3"/>
  <c r="M621" i="3"/>
  <c r="M622" i="3"/>
  <c r="M623" i="3"/>
  <c r="M624" i="3"/>
  <c r="M625" i="3"/>
  <c r="M627" i="3"/>
  <c r="M628" i="3"/>
  <c r="M629" i="3"/>
  <c r="M630" i="3"/>
  <c r="M632" i="3"/>
  <c r="M633" i="3"/>
  <c r="M634" i="3"/>
  <c r="M635" i="3"/>
  <c r="M637" i="3"/>
  <c r="M638" i="3"/>
  <c r="M639" i="3"/>
  <c r="M640" i="3"/>
  <c r="M641" i="3"/>
  <c r="M643" i="3"/>
  <c r="M644" i="3"/>
  <c r="M645" i="3"/>
  <c r="M646" i="3"/>
  <c r="M648" i="3"/>
  <c r="M649" i="3"/>
  <c r="M650" i="3"/>
  <c r="M651" i="3"/>
  <c r="M653" i="3"/>
  <c r="M654" i="3"/>
  <c r="M655" i="3"/>
  <c r="M656" i="3"/>
  <c r="M657" i="3"/>
  <c r="M659" i="3"/>
  <c r="M660" i="3"/>
  <c r="M661" i="3"/>
  <c r="M662" i="3"/>
  <c r="M664" i="3"/>
  <c r="M665" i="3"/>
  <c r="M666" i="3"/>
  <c r="M667" i="3"/>
  <c r="M669" i="3"/>
  <c r="M670" i="3"/>
  <c r="M671" i="3"/>
  <c r="M672" i="3"/>
  <c r="M673" i="3"/>
  <c r="M675" i="3"/>
  <c r="M676" i="3"/>
  <c r="M677" i="3"/>
  <c r="M678" i="3"/>
  <c r="M680" i="3"/>
  <c r="M681" i="3"/>
  <c r="M682" i="3"/>
  <c r="M683" i="3"/>
  <c r="M685" i="3"/>
  <c r="M686" i="3"/>
  <c r="M687" i="3"/>
  <c r="M688" i="3"/>
  <c r="M689" i="3"/>
  <c r="M691" i="3"/>
  <c r="M692" i="3"/>
  <c r="M693" i="3"/>
  <c r="M694" i="3"/>
  <c r="M696" i="3"/>
  <c r="M697" i="3"/>
  <c r="M698" i="3"/>
  <c r="M699" i="3"/>
  <c r="M701" i="3"/>
  <c r="M702" i="3"/>
  <c r="M703" i="3"/>
  <c r="M704" i="3"/>
  <c r="M705" i="3"/>
  <c r="M707" i="3"/>
  <c r="M708" i="3"/>
  <c r="M709" i="3"/>
  <c r="M710" i="3"/>
  <c r="M712" i="3"/>
  <c r="M713" i="3"/>
  <c r="M714" i="3"/>
  <c r="M715" i="3"/>
  <c r="M717" i="3"/>
  <c r="M718" i="3"/>
  <c r="M719" i="3"/>
  <c r="M720" i="3"/>
  <c r="M721" i="3"/>
  <c r="M723" i="3"/>
  <c r="M724" i="3"/>
  <c r="M725" i="3"/>
  <c r="M726" i="3"/>
  <c r="M728" i="3"/>
  <c r="M729" i="3"/>
  <c r="M730" i="3"/>
  <c r="M731" i="3"/>
  <c r="M733" i="3"/>
  <c r="M734" i="3"/>
  <c r="M735" i="3"/>
  <c r="M736" i="3"/>
  <c r="M737" i="3"/>
  <c r="M739" i="3"/>
  <c r="M740" i="3"/>
  <c r="M741" i="3"/>
  <c r="M742" i="3"/>
  <c r="M744" i="3"/>
  <c r="M745" i="3"/>
  <c r="M746" i="3"/>
  <c r="M747" i="3"/>
  <c r="M749" i="3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L4" i="3" l="1"/>
  <c r="M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F1520E-7917-4D74-AC77-BB73D89EDAB1}" keepAlive="1" name="Requête - 29_03_2026_Registre_Maintenance_V2" description="Connexion à la requête « 29_03_2026_Registre_Maintenance_V2 » dans le classeur." type="5" refreshedVersion="8" background="1" saveData="1">
    <dbPr connection="Provider=Microsoft.Mashup.OleDb.1;Data Source=$Workbook$;Location=29_03_2026_Registre_Maintenance_V2;Extended Properties=&quot;&quot;" command="SELECT * FROM [29_03_2026_Registre_Maintenance_V2]"/>
  </connection>
  <connection id="2" xr16:uid="{975141C7-3C56-475B-827C-2A2B2A0D0961}" keepAlive="1" name="Requête - Clients_Churn_Master" description="Connexion à la requête « Clients_Churn_Master » dans le classeur." type="5" refreshedVersion="8" background="1" saveData="1">
    <dbPr connection="Provider=Microsoft.Mashup.OleDb.1;Data Source=$Workbook$;Location=Clients_Churn_Master;Extended Properties=&quot;&quot;" command="SELECT * FROM [Clients_Churn_Master]"/>
  </connection>
  <connection id="3" xr16:uid="{D1C6D59D-B4E3-4F60-BC2A-91140BCD414D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4" xr16:uid="{69AF2563-4919-40D9-91A4-B67315A4D4C9}" keepAlive="1" name="Requête - Log_Reseau_Master" description="Connexion à la requête « Log_Reseau_Master » dans le classeur." type="5" refreshedVersion="8" background="1" saveData="1">
    <dbPr connection="Provider=Microsoft.Mashup.OleDb.1;Data Source=$Workbook$;Location=Log_Reseau_Master;Extended Properties=&quot;&quot;" command="SELECT * FROM [Log_Reseau_Master]"/>
  </connection>
  <connection id="5" xr16:uid="{98083F45-7430-4F1B-A5CE-37C376B0B13D}" keepAlive="1" name="Requête - Logs_Reseau_Master" description="Connexion à la requête « Logs_Reseau_Master » dans le classeur." type="5" refreshedVersion="8" background="1" saveData="1">
    <dbPr connection="Provider=Microsoft.Mashup.OleDb.1;Data Source=$Workbook$;Location=Logs_Reseau_Master;Extended Properties=&quot;&quot;" command="SELECT * FROM [Logs_Reseau_Master]"/>
  </connection>
  <connection id="6" xr16:uid="{F8742179-690C-44D8-B553-2A60A6FCD807}" keepAlive="1" name="Requête - Logs_Reseau_Master (2)" description="Connexion à la requête « Logs_Reseau_Master (2) » dans le classeur." type="5" refreshedVersion="8" background="1" saveData="1">
    <dbPr connection="Provider=Microsoft.Mashup.OleDb.1;Data Source=$Workbook$;Location=&quot;Logs_Reseau_Master (2)&quot;;Extended Properties=&quot;&quot;" command="SELECT * FROM [Logs_Reseau_Master (2)]"/>
  </connection>
  <connection id="7" xr16:uid="{6010C5BF-8DBC-4C7A-9973-1BB8ED561854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8" xr16:uid="{DF709946-47FA-4F5E-9C95-A52F17F56267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9" xr16:uid="{7984277F-567A-40F8-875B-D3847522AFD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0" xr16:uid="{6066FE58-BA38-48B6-86D7-0369E88D2E50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FFBCD8D5-3A20-4736-A577-16545D88A032}" name="WorksheetConnection_29_03_2026_Registre_Maintenance_Master.xlsx!Log_Reseau_Master" type="102" refreshedVersion="8" minRefreshableVersion="5">
    <extLst>
      <ext xmlns:x15="http://schemas.microsoft.com/office/spreadsheetml/2010/11/main" uri="{DE250136-89BD-433C-8126-D09CA5730AF9}">
        <x15:connection id="Log_Reseau_Master" autoDelete="1">
          <x15:rangePr sourceName="_xlcn.WorksheetConnection_29_03_2026_Registre_Maintenance_Master.xlsxLog_Reseau_Master"/>
        </x15:connection>
      </ext>
    </extLst>
  </connection>
</connections>
</file>

<file path=xl/sharedStrings.xml><?xml version="1.0" encoding="utf-8"?>
<sst xmlns="http://schemas.openxmlformats.org/spreadsheetml/2006/main" count="11162" uniqueCount="1703">
  <si>
    <t>Source.Name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</si>
  <si>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</si>
  <si>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</si>
  <si>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</si>
  <si>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</si>
  <si>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</si>
  <si>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</si>
  <si>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</si>
  <si>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ANT-0622</t>
  </si>
  <si>
    <t>Haut-Uele</t>
  </si>
  <si>
    <t>5G</t>
  </si>
  <si>
    <t>Ericsson</t>
  </si>
  <si>
    <t>ANT-0084</t>
  </si>
  <si>
    <t>Kwilu</t>
  </si>
  <si>
    <t>4G</t>
  </si>
  <si>
    <t>Huawei</t>
  </si>
  <si>
    <t>ANT-0862</t>
  </si>
  <si>
    <t>Tanganyika</t>
  </si>
  <si>
    <t>3G</t>
  </si>
  <si>
    <t>ZTE</t>
  </si>
  <si>
    <t>ANT-0288</t>
  </si>
  <si>
    <t>Tshopo</t>
  </si>
  <si>
    <t>ANT-0880</t>
  </si>
  <si>
    <t>ANT-0847</t>
  </si>
  <si>
    <t>Maniema</t>
  </si>
  <si>
    <t>ANT-0144</t>
  </si>
  <si>
    <t>ANT-0913</t>
  </si>
  <si>
    <t>Kinshasa</t>
  </si>
  <si>
    <t>ANT-0552</t>
  </si>
  <si>
    <t>ANT-0202</t>
  </si>
  <si>
    <t>Tshuapa</t>
  </si>
  <si>
    <t>ANT-0270</t>
  </si>
  <si>
    <t>Kasai-Central</t>
  </si>
  <si>
    <t>ANT-0752</t>
  </si>
  <si>
    <t>Nord-Kivu</t>
  </si>
  <si>
    <t>Nokia</t>
  </si>
  <si>
    <t>ANT-0908</t>
  </si>
  <si>
    <t>Nord-Ubangi</t>
  </si>
  <si>
    <t>ANT-0642</t>
  </si>
  <si>
    <t>ANT-0079</t>
  </si>
  <si>
    <t>ANT-0745</t>
  </si>
  <si>
    <t>Sud-Kivu</t>
  </si>
  <si>
    <t>ANT-0078</t>
  </si>
  <si>
    <t>Sud-Ubangi</t>
  </si>
  <si>
    <t>ANT-0914</t>
  </si>
  <si>
    <t>Lomami</t>
  </si>
  <si>
    <t>ANT-0020</t>
  </si>
  <si>
    <t>Kasai</t>
  </si>
  <si>
    <t>ANT-0870</t>
  </si>
  <si>
    <t>Equateur</t>
  </si>
  <si>
    <t>ANT-0520</t>
  </si>
  <si>
    <t>ANT-0647</t>
  </si>
  <si>
    <t>Kasai-Oriental</t>
  </si>
  <si>
    <t>ANT-0032</t>
  </si>
  <si>
    <t>ANT-0833</t>
  </si>
  <si>
    <t>Bas-Uele</t>
  </si>
  <si>
    <t>ANT-0596</t>
  </si>
  <si>
    <t>ANT-0593</t>
  </si>
  <si>
    <t>ANT-0415</t>
  </si>
  <si>
    <t>ANT-0788</t>
  </si>
  <si>
    <t>ANT-0605</t>
  </si>
  <si>
    <t>ANT-0218</t>
  </si>
  <si>
    <t>Ituri</t>
  </si>
  <si>
    <t>ANT-0929</t>
  </si>
  <si>
    <t>ANT-0038</t>
  </si>
  <si>
    <t>ANT-0565</t>
  </si>
  <si>
    <t>ANT-0267</t>
  </si>
  <si>
    <t>Lualaba</t>
  </si>
  <si>
    <t>ANT-0557</t>
  </si>
  <si>
    <t>ANT-0916</t>
  </si>
  <si>
    <t>ANT-0553</t>
  </si>
  <si>
    <t>ANT-0484</t>
  </si>
  <si>
    <t>ANT-0670</t>
  </si>
  <si>
    <t>ANT-0794</t>
  </si>
  <si>
    <t>ANT-0153</t>
  </si>
  <si>
    <t>ANT-0375</t>
  </si>
  <si>
    <t>Mai-Ndombe</t>
  </si>
  <si>
    <t>ANT-0402</t>
  </si>
  <si>
    <t>ANT-0229</t>
  </si>
  <si>
    <t>ANT-0993</t>
  </si>
  <si>
    <t>ANT-0791</t>
  </si>
  <si>
    <t>ANT-0604</t>
  </si>
  <si>
    <t>Haut-Lomami</t>
  </si>
  <si>
    <t>ANT-0751</t>
  </si>
  <si>
    <t>ANT-0878</t>
  </si>
  <si>
    <t>Haut-Katanga</t>
  </si>
  <si>
    <t>ANT-0298</t>
  </si>
  <si>
    <t>Registre_Maintenance_Part_02.xlsx</t>
  </si>
  <si>
    <t>ANT-0138</t>
  </si>
  <si>
    <t>ANT-0476</t>
  </si>
  <si>
    <t>ANT-0514</t>
  </si>
  <si>
    <t>ANT-0523</t>
  </si>
  <si>
    <t>ANT-0093</t>
  </si>
  <si>
    <t>Kongo-Central</t>
  </si>
  <si>
    <t>ANT-0407</t>
  </si>
  <si>
    <t>ANT-0373</t>
  </si>
  <si>
    <t>Kwango</t>
  </si>
  <si>
    <t>ANT-0515</t>
  </si>
  <si>
    <t>ANT-0011</t>
  </si>
  <si>
    <t>ANT-0679</t>
  </si>
  <si>
    <t>ANT-0245</t>
  </si>
  <si>
    <t>ANT-0869</t>
  </si>
  <si>
    <t>ANT-0826</t>
  </si>
  <si>
    <t>ANT-0629</t>
  </si>
  <si>
    <t>ANT-0701</t>
  </si>
  <si>
    <t>ANT-0170</t>
  </si>
  <si>
    <t>ANT-0776</t>
  </si>
  <si>
    <t>ANT-0527</t>
  </si>
  <si>
    <t>ANT-0994</t>
  </si>
  <si>
    <t>ANT-0457</t>
  </si>
  <si>
    <t>ANT-0164</t>
  </si>
  <si>
    <t>ANT-0184</t>
  </si>
  <si>
    <t>ANT-0580</t>
  </si>
  <si>
    <t>ANT-0928</t>
  </si>
  <si>
    <t>ANT-0676</t>
  </si>
  <si>
    <t>ANT-0894</t>
  </si>
  <si>
    <t>ANT-0150</t>
  </si>
  <si>
    <t>ANT-0754</t>
  </si>
  <si>
    <t>ANT-0750</t>
  </si>
  <si>
    <t>ANT-0496</t>
  </si>
  <si>
    <t>ANT-0368</t>
  </si>
  <si>
    <t>ANT-0042</t>
  </si>
  <si>
    <t>ANT-0225</t>
  </si>
  <si>
    <t>ANT-0780</t>
  </si>
  <si>
    <t>ANT-0500</t>
  </si>
  <si>
    <t>ANT-0238</t>
  </si>
  <si>
    <t>ANT-0065</t>
  </si>
  <si>
    <t>ANT-0271</t>
  </si>
  <si>
    <t>ANT-0379</t>
  </si>
  <si>
    <t>ANT-0240</t>
  </si>
  <si>
    <t>ANT-0044</t>
  </si>
  <si>
    <t>ANT-0685</t>
  </si>
  <si>
    <t>ANT-0212</t>
  </si>
  <si>
    <t>Sankuru</t>
  </si>
  <si>
    <t>ANT-0531</t>
  </si>
  <si>
    <t>ANT-0811</t>
  </si>
  <si>
    <t>ANT-0370</t>
  </si>
  <si>
    <t>Mongala</t>
  </si>
  <si>
    <t>ANT-0398</t>
  </si>
  <si>
    <t>ANT-0481</t>
  </si>
  <si>
    <t>ANT-0466</t>
  </si>
  <si>
    <t>ANT-0048</t>
  </si>
  <si>
    <t>Registre_Maintenance_Part_03.xlsx</t>
  </si>
  <si>
    <t>ANT-0041</t>
  </si>
  <si>
    <t>ANT-0665</t>
  </si>
  <si>
    <t>ANT-0332</t>
  </si>
  <si>
    <t>ANT-0106</t>
  </si>
  <si>
    <t>ANT-0721</t>
  </si>
  <si>
    <t>ANT-0534</t>
  </si>
  <si>
    <t>ANT-0649</t>
  </si>
  <si>
    <t>ANT-0850</t>
  </si>
  <si>
    <t>ANT-0281</t>
  </si>
  <si>
    <t>ANT-0855</t>
  </si>
  <si>
    <t>ANT-0760</t>
  </si>
  <si>
    <t>ANT-0990</t>
  </si>
  <si>
    <t>ANT-0975</t>
  </si>
  <si>
    <t>ANT-0558</t>
  </si>
  <si>
    <t>ANT-0584</t>
  </si>
  <si>
    <t>ANT-0179</t>
  </si>
  <si>
    <t>ANT-0386</t>
  </si>
  <si>
    <t>ANT-0962</t>
  </si>
  <si>
    <t>ANT-0388</t>
  </si>
  <si>
    <t>ANT-0959</t>
  </si>
  <si>
    <t>ANT-0602</t>
  </si>
  <si>
    <t>ANT-0883</t>
  </si>
  <si>
    <t>ANT-0856</t>
  </si>
  <si>
    <t>ANT-0080</t>
  </si>
  <si>
    <t>ANT-0530</t>
  </si>
  <si>
    <t>ANT-0258</t>
  </si>
  <si>
    <t>ANT-0884</t>
  </si>
  <si>
    <t>ANT-0957</t>
  </si>
  <si>
    <t>ANT-0529</t>
  </si>
  <si>
    <t>ANT-0416</t>
  </si>
  <si>
    <t>ANT-0362</t>
  </si>
  <si>
    <t>ANT-0837</t>
  </si>
  <si>
    <t>ANT-0354</t>
  </si>
  <si>
    <t>ANT-0499</t>
  </si>
  <si>
    <t>ANT-0812</t>
  </si>
  <si>
    <t>ANT-0494</t>
  </si>
  <si>
    <t>ANT-0619</t>
  </si>
  <si>
    <t>ANT-0007</t>
  </si>
  <si>
    <t>ANT-0948</t>
  </si>
  <si>
    <t>ANT-0143</t>
  </si>
  <si>
    <t>ANT-0451</t>
  </si>
  <si>
    <t>ANT-0935</t>
  </si>
  <si>
    <t>ANT-0236</t>
  </si>
  <si>
    <t>ANT-0986</t>
  </si>
  <si>
    <t>ANT-0933</t>
  </si>
  <si>
    <t>ANT-0659</t>
  </si>
  <si>
    <t>ANT-0997</t>
  </si>
  <si>
    <t>ANT-0217</t>
  </si>
  <si>
    <t>ANT-0154</t>
  </si>
  <si>
    <t>ANT-0192</t>
  </si>
  <si>
    <t>Registre_Maintenance_Part_04.xlsx</t>
  </si>
  <si>
    <t>ANT-0162</t>
  </si>
  <si>
    <t>ANT-0371</t>
  </si>
  <si>
    <t>ANT-0617</t>
  </si>
  <si>
    <t>ANT-0735</t>
  </si>
  <si>
    <t>ANT-0939</t>
  </si>
  <si>
    <t>ANT-0122</t>
  </si>
  <si>
    <t>ANT-0677</t>
  </si>
  <si>
    <t>ANT-0858</t>
  </si>
  <si>
    <t>ANT-0425</t>
  </si>
  <si>
    <t>ANT-0831</t>
  </si>
  <si>
    <t>ANT-0339</t>
  </si>
  <si>
    <t>ANT-0738</t>
  </si>
  <si>
    <t>ANT-0117</t>
  </si>
  <si>
    <t>ANT-0865</t>
  </si>
  <si>
    <t>ANT-0692</t>
  </si>
  <si>
    <t>ANT-0491</t>
  </si>
  <si>
    <t>ANT-0835</t>
  </si>
  <si>
    <t>ANT-0216</t>
  </si>
  <si>
    <t>ANT-0972</t>
  </si>
  <si>
    <t>ANT-0166</t>
  </si>
  <si>
    <t>ANT-0663</t>
  </si>
  <si>
    <t>ANT-0421</t>
  </si>
  <si>
    <t>ANT-0023</t>
  </si>
  <si>
    <t>ANT-0250</t>
  </si>
  <si>
    <t>ANT-0045</t>
  </si>
  <si>
    <t>ANT-0131</t>
  </si>
  <si>
    <t>ANT-0588</t>
  </si>
  <si>
    <t>ANT-0607</t>
  </si>
  <si>
    <t>ANT-0165</t>
  </si>
  <si>
    <t>ANT-0950</t>
  </si>
  <si>
    <t>ANT-0645</t>
  </si>
  <si>
    <t>ANT-0525</t>
  </si>
  <si>
    <t>ANT-0900</t>
  </si>
  <si>
    <t>ANT-0587</t>
  </si>
  <si>
    <t>ANT-0151</t>
  </si>
  <si>
    <t>ANT-0058</t>
  </si>
  <si>
    <t>ANT-0171</t>
  </si>
  <si>
    <t>ANT-0265</t>
  </si>
  <si>
    <t>ANT-0185</t>
  </si>
  <si>
    <t>ANT-0876</t>
  </si>
  <si>
    <t>ANT-0871</t>
  </si>
  <si>
    <t>ANT-0614</t>
  </si>
  <si>
    <t>ANT-0578</t>
  </si>
  <si>
    <t>ANT-0653</t>
  </si>
  <si>
    <t>ANT-0982</t>
  </si>
  <si>
    <t>ANT-0737</t>
  </si>
  <si>
    <t>ANT-0746</t>
  </si>
  <si>
    <t>ANT-0678</t>
  </si>
  <si>
    <t>ANT-0291</t>
  </si>
  <si>
    <t>ANT-0088</t>
  </si>
  <si>
    <t>Registre_Maintenance_Part_05.xlsx</t>
  </si>
  <si>
    <t xml:space="preserve">ANT-0222 </t>
  </si>
  <si>
    <t>ANT-0460</t>
  </si>
  <si>
    <t>ANT-1000</t>
  </si>
  <si>
    <t>ANT-0483</t>
  </si>
  <si>
    <t>ANT-0846</t>
  </si>
  <si>
    <t>ANT-0175</t>
  </si>
  <si>
    <t>ANT-0918</t>
  </si>
  <si>
    <t>ANT-0829</t>
  </si>
  <si>
    <t>ANT-0616</t>
  </si>
  <si>
    <t>ANT-0147</t>
  </si>
  <si>
    <t>ANT-0597</t>
  </si>
  <si>
    <t>ANT-0786</t>
  </si>
  <si>
    <t>ANT-0187</t>
  </si>
  <si>
    <t>ANT-0639</t>
  </si>
  <si>
    <t>ANT-0926</t>
  </si>
  <si>
    <t>ANT-0524</t>
  </si>
  <si>
    <t>ANT-0956</t>
  </si>
  <si>
    <t>ANT-0172</t>
  </si>
  <si>
    <t>ANT-0742</t>
  </si>
  <si>
    <t>ANT-0703</t>
  </si>
  <si>
    <t>ANT-0351</t>
  </si>
  <si>
    <t>ANT-0465</t>
  </si>
  <si>
    <t>ANT-0611</t>
  </si>
  <si>
    <t>ANT-0832</t>
  </si>
  <si>
    <t>ANT-0071</t>
  </si>
  <si>
    <t>ANT-0843</t>
  </si>
  <si>
    <t>ANT-0882</t>
  </si>
  <si>
    <t>ANT-0395</t>
  </si>
  <si>
    <t>ANT-0136</t>
  </si>
  <si>
    <t>ANT-0112</t>
  </si>
  <si>
    <t>ANT-0017</t>
  </si>
  <si>
    <t>ANT-0208</t>
  </si>
  <si>
    <t>ANT-0536</t>
  </si>
  <si>
    <t>ANT-0517</t>
  </si>
  <si>
    <t>ANT-0936</t>
  </si>
  <si>
    <t>ANT-0430</t>
  </si>
  <si>
    <t>ANT-0852</t>
  </si>
  <si>
    <t>ANT-0621</t>
  </si>
  <si>
    <t>ANT-0099</t>
  </si>
  <si>
    <t>ANT-0182</t>
  </si>
  <si>
    <t>ANT-0488</t>
  </si>
  <si>
    <t>ANT-0630</t>
  </si>
  <si>
    <t>ANT-0040</t>
  </si>
  <si>
    <t>ANT-0545</t>
  </si>
  <si>
    <t>ANT-0516</t>
  </si>
  <si>
    <t>ANT-0121</t>
  </si>
  <si>
    <t>ANT-0096</t>
  </si>
  <si>
    <t>ANT-0796</t>
  </si>
  <si>
    <t>ANT-0789</t>
  </si>
  <si>
    <t>Registre_Maintenance_Part_06.xlsx</t>
  </si>
  <si>
    <t>ANT-0134</t>
  </si>
  <si>
    <t>ANT-0618</t>
  </si>
  <si>
    <t>ANT-0964</t>
  </si>
  <si>
    <t>ANT-0002</t>
  </si>
  <si>
    <t>ANT-0695</t>
  </si>
  <si>
    <t>ANT-0899</t>
  </si>
  <si>
    <t>ANT-0442</t>
  </si>
  <si>
    <t>ANT-0535</t>
  </si>
  <si>
    <t>ANT-0431</t>
  </si>
  <si>
    <t>ANT-0380</t>
  </si>
  <si>
    <t>ANT-0938</t>
  </si>
  <si>
    <t>ANT-0715</t>
  </si>
  <si>
    <t>ANT-0543</t>
  </si>
  <si>
    <t>ANT-0440</t>
  </si>
  <si>
    <t>ANT-0235</t>
  </si>
  <si>
    <t>ANT-0989</t>
  </si>
  <si>
    <t>ANT-0391</t>
  </si>
  <si>
    <t>ANT-0359</t>
  </si>
  <si>
    <t>ANT-0954</t>
  </si>
  <si>
    <t>ANT-0714</t>
  </si>
  <si>
    <t>ANT-0590</t>
  </si>
  <si>
    <t>ANT-0101</t>
  </si>
  <si>
    <t>ANT-0436</t>
  </si>
  <si>
    <t>ANT-0821</t>
  </si>
  <si>
    <t>ANT-0261</t>
  </si>
  <si>
    <t>ANT-0489</t>
  </si>
  <si>
    <t>ANT-0239</t>
  </si>
  <si>
    <t>ANT-0086</t>
  </si>
  <si>
    <t>ANT-0802</t>
  </si>
  <si>
    <t>ANT-0613</t>
  </si>
  <si>
    <t>ANT-0966</t>
  </si>
  <si>
    <t>ANT-0419</t>
  </si>
  <si>
    <t>ANT-0264</t>
  </si>
  <si>
    <t>ANT-0194</t>
  </si>
  <si>
    <t>ANT-0006</t>
  </si>
  <si>
    <t>ANT-0008</t>
  </si>
  <si>
    <t>ANT-0592</t>
  </si>
  <si>
    <t>ANT-0768</t>
  </si>
  <si>
    <t>ANT-0923</t>
  </si>
  <si>
    <t>ANT-0533</t>
  </si>
  <si>
    <t xml:space="preserve">ANT-0739 </t>
  </si>
  <si>
    <t>ANT-0385</t>
  </si>
  <si>
    <t>ANT-0671</t>
  </si>
  <si>
    <t>ANT-0211</t>
  </si>
  <si>
    <t>ANT-0705</t>
  </si>
  <si>
    <t>ANT-0324</t>
  </si>
  <si>
    <t>ANT-0719</t>
  </si>
  <si>
    <t>ANT-0849</t>
  </si>
  <si>
    <t>ANT-0110</t>
  </si>
  <si>
    <t>ANT-0159</t>
  </si>
  <si>
    <t>Registre_Maintenance_Part_07.xlsx</t>
  </si>
  <si>
    <t>ANT-0437</t>
  </si>
  <si>
    <t>ANT-0668</t>
  </si>
  <si>
    <t>ANT-0600</t>
  </si>
  <si>
    <t>ANT-0260</t>
  </si>
  <si>
    <t>ANT-0268</t>
  </si>
  <si>
    <t>ANT-0549</t>
  </si>
  <si>
    <t>ANT-0434</t>
  </si>
  <si>
    <t>ANT-0579</t>
  </si>
  <si>
    <t>ANT-0881</t>
  </si>
  <si>
    <t>ANT-0627</t>
  </si>
  <si>
    <t>ANT-0283</t>
  </si>
  <si>
    <t>ANT-0945</t>
  </si>
  <si>
    <t>ANT-0209</t>
  </si>
  <si>
    <t>ANT-0424</t>
  </si>
  <si>
    <t>ANT-0566</t>
  </si>
  <si>
    <t>ANT-0571</t>
  </si>
  <si>
    <t>ANT-0495</t>
  </si>
  <si>
    <t>ANT-0970</t>
  </si>
  <si>
    <t>ANT-0741</t>
  </si>
  <si>
    <t>ANT-0573</t>
  </si>
  <si>
    <t>ANT-0569</t>
  </si>
  <si>
    <t>ANT-0921</t>
  </si>
  <si>
    <t>ANT-0697</t>
  </si>
  <si>
    <t>ANT-0315</t>
  </si>
  <si>
    <t>ANT-0731</t>
  </si>
  <si>
    <t>ANT-0353</t>
  </si>
  <si>
    <t>ANT-0408</t>
  </si>
  <si>
    <t>ANT-0142</t>
  </si>
  <si>
    <t>ANT-0845</t>
  </si>
  <si>
    <t>ANT-0775</t>
  </si>
  <si>
    <t>ANT-0458</t>
  </si>
  <si>
    <t>ANT-0841</t>
  </si>
  <si>
    <t>ANT-0103</t>
  </si>
  <si>
    <t>ANT-0220</t>
  </si>
  <si>
    <t>ANT-0521</t>
  </si>
  <si>
    <t>ANT-0411</t>
  </si>
  <si>
    <t>ANT-0347</t>
  </si>
  <si>
    <t>ANT-0564</t>
  </si>
  <si>
    <t>ANT-0937</t>
  </si>
  <si>
    <t>ANT-0054</t>
  </si>
  <si>
    <t>ANT-0822</t>
  </si>
  <si>
    <t>ANT-0399</t>
  </si>
  <si>
    <t>ANT-0652</t>
  </si>
  <si>
    <t>ANT-0716</t>
  </si>
  <si>
    <t>ANT-0094</t>
  </si>
  <si>
    <t>ANT-0149</t>
  </si>
  <si>
    <t>ANT-0797</t>
  </si>
  <si>
    <t>ANT-0758</t>
  </si>
  <si>
    <t>ANT-0446</t>
  </si>
  <si>
    <t>ANT-0091</t>
  </si>
  <si>
    <t>Registre_Maintenance_Part_08.xlsx</t>
  </si>
  <si>
    <t>ANT-0066</t>
  </si>
  <si>
    <t>ANT-0889</t>
  </si>
  <si>
    <t>ANT-0228</t>
  </si>
  <si>
    <t>ANT-0682</t>
  </si>
  <si>
    <t>ANT-0082</t>
  </si>
  <si>
    <t>ANT-0624</t>
  </si>
  <si>
    <t>ANT-0039</t>
  </si>
  <si>
    <t>ANT-0394</t>
  </si>
  <si>
    <t>ANT-0985</t>
  </si>
  <si>
    <t>ANT-0662</t>
  </si>
  <si>
    <t>ANT-0895</t>
  </si>
  <si>
    <t>ANT-0294</t>
  </si>
  <si>
    <t>ANT-0612</t>
  </si>
  <si>
    <t>ANT-0059</t>
  </si>
  <si>
    <t>ANT-0180</t>
  </si>
  <si>
    <t>ANT-0507</t>
  </si>
  <si>
    <t>ANT-0450</t>
  </si>
  <si>
    <t>ANT-0942</t>
  </si>
  <si>
    <t>ANT-0207</t>
  </si>
  <si>
    <t>ANT-0907</t>
  </si>
  <si>
    <t>ANT-0293</t>
  </si>
  <si>
    <t>ANT-0200</t>
  </si>
  <si>
    <t>ANT-0035</t>
  </si>
  <si>
    <t>ANT-0809</t>
  </si>
  <si>
    <t>ANT-0947</t>
  </si>
  <si>
    <t>ANT-0872</t>
  </si>
  <si>
    <t>ANT-0915</t>
  </si>
  <si>
    <t>ANT-0174</t>
  </si>
  <si>
    <t>ANT-0037</t>
  </si>
  <si>
    <t>ANT-0369</t>
  </si>
  <si>
    <t>ANT-0940</t>
  </si>
  <si>
    <t>ANT-0001</t>
  </si>
  <si>
    <t>ANT-0893</t>
  </si>
  <si>
    <t xml:space="preserve">ANT-0089 </t>
  </si>
  <si>
    <t>ANT-0690</t>
  </si>
  <si>
    <t>ANT-0410</t>
  </si>
  <si>
    <t>ANT-0981</t>
  </si>
  <si>
    <t>ANT-0405</t>
  </si>
  <si>
    <t>ANT-0810</t>
  </si>
  <si>
    <t>ANT-0601</t>
  </si>
  <si>
    <t>ANT-0206</t>
  </si>
  <si>
    <t>ANT-0631</t>
  </si>
  <si>
    <t>ANT-0016</t>
  </si>
  <si>
    <t>ANT-0934</t>
  </si>
  <si>
    <t>ANT-0946</t>
  </si>
  <si>
    <t>ANT-0563</t>
  </si>
  <si>
    <t>ANT-0292</t>
  </si>
  <si>
    <t>ANT-0681</t>
  </si>
  <si>
    <t>ANT-0790</t>
  </si>
  <si>
    <t>ANT-0357</t>
  </si>
  <si>
    <t>Registre_Maintenance_Part_09.xlsx</t>
  </si>
  <si>
    <t>ANT-0356</t>
  </si>
  <si>
    <t>ANT-0284</t>
  </si>
  <si>
    <t>ANT-0232</t>
  </si>
  <si>
    <t>ANT-0641</t>
  </si>
  <si>
    <t>ANT-0902</t>
  </si>
  <si>
    <t>ANT-0414</t>
  </si>
  <si>
    <t>ANT-0589</t>
  </si>
  <si>
    <t>ANT-0005</t>
  </si>
  <si>
    <t>ANT-0696</t>
  </si>
  <si>
    <t>ANT-0636</t>
  </si>
  <si>
    <t>ANT-0417</t>
  </si>
  <si>
    <t>ANT-0519</t>
  </si>
  <si>
    <t>ANT-0702</t>
  </si>
  <si>
    <t>ANT-0603</t>
  </si>
  <si>
    <t>ANT-0075</t>
  </si>
  <si>
    <t>ANT-0755</t>
  </si>
  <si>
    <t>ANT-0302</t>
  </si>
  <si>
    <t>ANT-0349</t>
  </si>
  <si>
    <t>ANT-0120</t>
  </si>
  <si>
    <t>ANT-0526</t>
  </si>
  <si>
    <t>ANT-0718</t>
  </si>
  <si>
    <t>ANT-0551</t>
  </si>
  <si>
    <t>ANT-0257</t>
  </si>
  <si>
    <t>ANT-0454</t>
  </si>
  <si>
    <t>ANT-0387</t>
  </si>
  <si>
    <t>ANT-0941</t>
  </si>
  <si>
    <t>ANT-0827</t>
  </si>
  <si>
    <t>ANT-0348</t>
  </si>
  <si>
    <t>ANT-0470</t>
  </si>
  <si>
    <t>ANT-0472</t>
  </si>
  <si>
    <t>ANT-0029</t>
  </si>
  <si>
    <t>ANT-0995</t>
  </si>
  <si>
    <t>ANT-0582</t>
  </si>
  <si>
    <t>ANT-0813</t>
  </si>
  <si>
    <t>ANT-0070</t>
  </si>
  <si>
    <t>ANT-0392</t>
  </si>
  <si>
    <t>ANT-0226</t>
  </si>
  <si>
    <t>ANT-0708</t>
  </si>
  <si>
    <t>ANT-0706</t>
  </si>
  <si>
    <t>ANT-0423</t>
  </si>
  <si>
    <t>ANT-0691</t>
  </si>
  <si>
    <t>ANT-0625</t>
  </si>
  <si>
    <t>ANT-0804</t>
  </si>
  <si>
    <t>ANT-0010</t>
  </si>
  <si>
    <t>ANT-0925</t>
  </si>
  <si>
    <t>ANT-0255</t>
  </si>
  <si>
    <t>ANT-0295</t>
  </si>
  <si>
    <t>ANT-0753</t>
  </si>
  <si>
    <t>ANT-0409</t>
  </si>
  <si>
    <t>ANT-0917</t>
  </si>
  <si>
    <t>Registre_Maintenance_Part_10.xlsx</t>
  </si>
  <si>
    <t>ANT-0984</t>
  </si>
  <si>
    <t>ANT-0183</t>
  </si>
  <si>
    <t>ANT-0890</t>
  </si>
  <si>
    <t>ANT-0322</t>
  </si>
  <si>
    <t>ANT-0363</t>
  </si>
  <si>
    <t>ANT-0224</t>
  </si>
  <si>
    <t>ANT-0276</t>
  </si>
  <si>
    <t>ANT-0188</t>
  </si>
  <si>
    <t>ANT-0195</t>
  </si>
  <si>
    <t>ANT-0511</t>
  </si>
  <si>
    <t>ANT-0205</t>
  </si>
  <si>
    <t>ANT-0241</t>
  </si>
  <si>
    <t>ANT-0248</t>
  </si>
  <si>
    <t>ANT-0272</t>
  </si>
  <si>
    <t>ANT-0988</t>
  </si>
  <si>
    <t>ANT-0736</t>
  </si>
  <si>
    <t>ANT-0769</t>
  </si>
  <si>
    <t>ANT-0256</t>
  </si>
  <si>
    <t>ANT-0365</t>
  </si>
  <si>
    <t>ANT-0824</t>
  </si>
  <si>
    <t>ANT-0123</t>
  </si>
  <si>
    <t>ANT-0081</t>
  </si>
  <si>
    <t>ANT-0505</t>
  </si>
  <si>
    <t>ANT-0863</t>
  </si>
  <si>
    <t>ANT-0910</t>
  </si>
  <si>
    <t>ANT-0680</t>
  </si>
  <si>
    <t>ANT-0381</t>
  </si>
  <si>
    <t>ANT-0323</t>
  </si>
  <si>
    <t>ANT-0952</t>
  </si>
  <si>
    <t>ANT-0282</t>
  </si>
  <si>
    <t>ANT-0503</t>
  </si>
  <si>
    <t>ANT-0839</t>
  </si>
  <si>
    <t>ANT-0287</t>
  </si>
  <si>
    <t>ANT-0674</t>
  </si>
  <si>
    <t>ANT-0648</t>
  </si>
  <si>
    <t>ANT-0132</t>
  </si>
  <si>
    <t>ANT-0056</t>
  </si>
  <si>
    <t>ANT-0694</t>
  </si>
  <si>
    <t>ANT-0620</t>
  </si>
  <si>
    <t>ANT-0482</t>
  </si>
  <si>
    <t>ANT-0277</t>
  </si>
  <si>
    <t>ANT-0770</t>
  </si>
  <si>
    <t>ANT-0875</t>
  </si>
  <si>
    <t>ANT-0178</t>
  </si>
  <si>
    <t>ANT-0991</t>
  </si>
  <si>
    <t>ANT-0441</t>
  </si>
  <si>
    <t>ANT-0352</t>
  </si>
  <si>
    <t>ANT-0904</t>
  </si>
  <si>
    <t>ANT-0090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</si>
  <si>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</si>
  <si>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</si>
  <si>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</si>
  <si>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</si>
  <si>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</si>
  <si>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</si>
  <si>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</si>
  <si>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CLI-00007</t>
  </si>
  <si>
    <t>Bloqué 5Go</t>
  </si>
  <si>
    <t>CLI-00009</t>
  </si>
  <si>
    <t>Pro Monde</t>
  </si>
  <si>
    <t>CLI-00011</t>
  </si>
  <si>
    <t>Illimité 50Go</t>
  </si>
  <si>
    <t>CLI-00012</t>
  </si>
  <si>
    <t>CLI-00017</t>
  </si>
  <si>
    <t>CLI-00022</t>
  </si>
  <si>
    <t>Premium 5G 150Go</t>
  </si>
  <si>
    <t>CLI-00028</t>
  </si>
  <si>
    <t>CLI-00029</t>
  </si>
  <si>
    <t>CLI-00033</t>
  </si>
  <si>
    <t>CLI-00034</t>
  </si>
  <si>
    <t>CLI-00037</t>
  </si>
  <si>
    <t>CLI-00039</t>
  </si>
  <si>
    <t>CLI-00041</t>
  </si>
  <si>
    <t>CLI-00043</t>
  </si>
  <si>
    <t>CLI-00044</t>
  </si>
  <si>
    <t>CLI-00045</t>
  </si>
  <si>
    <t>CLI-00048</t>
  </si>
  <si>
    <t>CLI-00054</t>
  </si>
  <si>
    <t>CLI-00055</t>
  </si>
  <si>
    <t>CLI-00057</t>
  </si>
  <si>
    <t>CLI-00059</t>
  </si>
  <si>
    <t>CLI-00060</t>
  </si>
  <si>
    <t>CLI-00070</t>
  </si>
  <si>
    <t>CLI-00072</t>
  </si>
  <si>
    <t>CLI-00074</t>
  </si>
  <si>
    <t>CLI-00076</t>
  </si>
  <si>
    <t>CLI-00083</t>
  </si>
  <si>
    <t>CLI-00084</t>
  </si>
  <si>
    <t>CLI-00085</t>
  </si>
  <si>
    <t>CLI-00087</t>
  </si>
  <si>
    <t>CLI-00090</t>
  </si>
  <si>
    <t>CLI-00091</t>
  </si>
  <si>
    <t>CLI-00093</t>
  </si>
  <si>
    <t>CLI-00094</t>
  </si>
  <si>
    <t>CLI-00098</t>
  </si>
  <si>
    <t>CLI-00100</t>
  </si>
  <si>
    <t>CLI-00102</t>
  </si>
  <si>
    <t>CLI-00105</t>
  </si>
  <si>
    <t>CLI-00107</t>
  </si>
  <si>
    <t>CLI-00109</t>
  </si>
  <si>
    <t>CLI-00112</t>
  </si>
  <si>
    <t>CLI-00114</t>
  </si>
  <si>
    <t>CLI-00115</t>
  </si>
  <si>
    <t>CLI-00121</t>
  </si>
  <si>
    <t>CLI-00125</t>
  </si>
  <si>
    <t>CLI-00131</t>
  </si>
  <si>
    <t>CLI-00136</t>
  </si>
  <si>
    <t>CLI-00145</t>
  </si>
  <si>
    <t>CLI-00150</t>
  </si>
  <si>
    <t>CLI-00157</t>
  </si>
  <si>
    <t>CLI-00158</t>
  </si>
  <si>
    <t>CLI-00161</t>
  </si>
  <si>
    <t>CLI-00163</t>
  </si>
  <si>
    <t>CLI-00165</t>
  </si>
  <si>
    <t>CLI-00167</t>
  </si>
  <si>
    <t>CLI-00168</t>
  </si>
  <si>
    <t>CLI-00169</t>
  </si>
  <si>
    <t>CLI-00171</t>
  </si>
  <si>
    <t>CLI-00172</t>
  </si>
  <si>
    <t>CLI-00173</t>
  </si>
  <si>
    <t>CLI-00176</t>
  </si>
  <si>
    <t>CLI-00177</t>
  </si>
  <si>
    <t>CLI-00180</t>
  </si>
  <si>
    <t>CLI-00183</t>
  </si>
  <si>
    <t>CLI-00184</t>
  </si>
  <si>
    <t>CLI-00185</t>
  </si>
  <si>
    <t>CLI-00190</t>
  </si>
  <si>
    <t>CLI-00191</t>
  </si>
  <si>
    <t>CLI-00192</t>
  </si>
  <si>
    <t>CLI-00194</t>
  </si>
  <si>
    <t>CLI-00196</t>
  </si>
  <si>
    <t>CLI-00197</t>
  </si>
  <si>
    <t>CLI-00206</t>
  </si>
  <si>
    <t>CLI-00211</t>
  </si>
  <si>
    <t>CLI-00218</t>
  </si>
  <si>
    <t>CLI-00219</t>
  </si>
  <si>
    <t>CLI-00221</t>
  </si>
  <si>
    <t>CLI-00227</t>
  </si>
  <si>
    <t>CLI-00230</t>
  </si>
  <si>
    <t>CLI-00231</t>
  </si>
  <si>
    <t>CLI-00232</t>
  </si>
  <si>
    <t>CLI-00234</t>
  </si>
  <si>
    <t>CLI-00238</t>
  </si>
  <si>
    <t>CLI-00239</t>
  </si>
  <si>
    <t>CLI-00240</t>
  </si>
  <si>
    <t>CLI-00241</t>
  </si>
  <si>
    <t>CLI-00243</t>
  </si>
  <si>
    <t>CLI-00247</t>
  </si>
  <si>
    <t>CLI-00248</t>
  </si>
  <si>
    <t>CLI-00250</t>
  </si>
  <si>
    <t>CLI-00251</t>
  </si>
  <si>
    <t>CLI-00254</t>
  </si>
  <si>
    <t>CLI-00257</t>
  </si>
  <si>
    <t>CLI-00262</t>
  </si>
  <si>
    <t>CLI-00265</t>
  </si>
  <si>
    <t>CLI-00267</t>
  </si>
  <si>
    <t>CLI-00269</t>
  </si>
  <si>
    <t>CLI-00271</t>
  </si>
  <si>
    <t>CLI-00273</t>
  </si>
  <si>
    <t>CLI-00274</t>
  </si>
  <si>
    <t>CLI-00277</t>
  </si>
  <si>
    <t>CLI-00279</t>
  </si>
  <si>
    <t>CLI-00280</t>
  </si>
  <si>
    <t>CLI-00288</t>
  </si>
  <si>
    <t>CLI-00291</t>
  </si>
  <si>
    <t>CLI-00296</t>
  </si>
  <si>
    <t>CLI-00297</t>
  </si>
  <si>
    <t>CLI-00298</t>
  </si>
  <si>
    <t>CLI-00299</t>
  </si>
  <si>
    <t>CLI-00304</t>
  </si>
  <si>
    <t>CLI-00305</t>
  </si>
  <si>
    <t>CLI-00306</t>
  </si>
  <si>
    <t>CLI-00310</t>
  </si>
  <si>
    <t>CLI-00313</t>
  </si>
  <si>
    <t>CLI-00315</t>
  </si>
  <si>
    <t>CLI-00316</t>
  </si>
  <si>
    <t>CLI-00318</t>
  </si>
  <si>
    <t>CLI-00324</t>
  </si>
  <si>
    <t>CLI-00327</t>
  </si>
  <si>
    <t>CLI-00329</t>
  </si>
  <si>
    <t>CLI-00331</t>
  </si>
  <si>
    <t>CLI-00334</t>
  </si>
  <si>
    <t>CLI-00335</t>
  </si>
  <si>
    <t>CLI-00338</t>
  </si>
  <si>
    <t>CLI-00341</t>
  </si>
  <si>
    <t>CLI-00345</t>
  </si>
  <si>
    <t>CLI-00346</t>
  </si>
  <si>
    <t>CLI-00348</t>
  </si>
  <si>
    <t>CLI-00349</t>
  </si>
  <si>
    <t>CLI-00352</t>
  </si>
  <si>
    <t>CLI-00356</t>
  </si>
  <si>
    <t>CLI-00359</t>
  </si>
  <si>
    <t>CLI-00361</t>
  </si>
  <si>
    <t>CLI-00365</t>
  </si>
  <si>
    <t>CLI-00368</t>
  </si>
  <si>
    <t>CLI-00370</t>
  </si>
  <si>
    <t>CLI-00373</t>
  </si>
  <si>
    <t>CLI-00374</t>
  </si>
  <si>
    <t>CLI-00376</t>
  </si>
  <si>
    <t>CLI-00377</t>
  </si>
  <si>
    <t>CLI-00380</t>
  </si>
  <si>
    <t>CLI-00382</t>
  </si>
  <si>
    <t>CLI-00384</t>
  </si>
  <si>
    <t>CLI-00386</t>
  </si>
  <si>
    <t>CLI-00387</t>
  </si>
  <si>
    <t>CLI-00388</t>
  </si>
  <si>
    <t>CLI-00391</t>
  </si>
  <si>
    <t>CLI-00394</t>
  </si>
  <si>
    <t>CLI-00407</t>
  </si>
  <si>
    <t>CLI-00410</t>
  </si>
  <si>
    <t>CLI-00413</t>
  </si>
  <si>
    <t>CLI-00414</t>
  </si>
  <si>
    <t>CLI-00417</t>
  </si>
  <si>
    <t>CLI-00418</t>
  </si>
  <si>
    <t>CLI-00424</t>
  </si>
  <si>
    <t>CLI-00427</t>
  </si>
  <si>
    <t>CLI-00429</t>
  </si>
  <si>
    <t>CLI-00431</t>
  </si>
  <si>
    <t>CLI-00433</t>
  </si>
  <si>
    <t>CLI-00435</t>
  </si>
  <si>
    <t>CLI-00439</t>
  </si>
  <si>
    <t>CLI-00442</t>
  </si>
  <si>
    <t>CLI-00447</t>
  </si>
  <si>
    <t>CLI-00450</t>
  </si>
  <si>
    <t>CLI-00460</t>
  </si>
  <si>
    <t>CLI-00469</t>
  </si>
  <si>
    <t>CLI-00471</t>
  </si>
  <si>
    <t>CLI-00475</t>
  </si>
  <si>
    <t>CLI-00476</t>
  </si>
  <si>
    <t>CLI-00481</t>
  </si>
  <si>
    <t>CLI-00483</t>
  </si>
  <si>
    <t>CLI-00484</t>
  </si>
  <si>
    <t>CLI-00485</t>
  </si>
  <si>
    <t>CLI-00488</t>
  </si>
  <si>
    <t>CLI-00491</t>
  </si>
  <si>
    <t>CLI-00492</t>
  </si>
  <si>
    <t>CLI-00496</t>
  </si>
  <si>
    <t>CLI-00497</t>
  </si>
  <si>
    <t>CLI-00505</t>
  </si>
  <si>
    <t>CLI-00509</t>
  </si>
  <si>
    <t>CLI-00510</t>
  </si>
  <si>
    <t>CLI-00512</t>
  </si>
  <si>
    <t>CLI-00516</t>
  </si>
  <si>
    <t>CLI-00519</t>
  </si>
  <si>
    <t>CLI-00520</t>
  </si>
  <si>
    <t>CLI-00521</t>
  </si>
  <si>
    <t>CLI-00522</t>
  </si>
  <si>
    <t>CLI-00523</t>
  </si>
  <si>
    <t>CLI-00524</t>
  </si>
  <si>
    <t>CLI-00525</t>
  </si>
  <si>
    <t>CLI-00530</t>
  </si>
  <si>
    <t>CLI-00532</t>
  </si>
  <si>
    <t>CLI-00533</t>
  </si>
  <si>
    <t>CLI-00534</t>
  </si>
  <si>
    <t>CLI-00535</t>
  </si>
  <si>
    <t>CLI-00537</t>
  </si>
  <si>
    <t>CLI-00540</t>
  </si>
  <si>
    <t>CLI-00541</t>
  </si>
  <si>
    <t>CLI-00543</t>
  </si>
  <si>
    <t>CLI-00546</t>
  </si>
  <si>
    <t>CLI-00549</t>
  </si>
  <si>
    <t>CLI-00550</t>
  </si>
  <si>
    <t>CLI-00552</t>
  </si>
  <si>
    <t>CLI-00559</t>
  </si>
  <si>
    <t>CLI-00562</t>
  </si>
  <si>
    <t>CLI-00563</t>
  </si>
  <si>
    <t>CLI-00569</t>
  </si>
  <si>
    <t>CLI-00576</t>
  </si>
  <si>
    <t>CLI-00578</t>
  </si>
  <si>
    <t>CLI-00580</t>
  </si>
  <si>
    <t>CLI-00582</t>
  </si>
  <si>
    <t>CLI-00583</t>
  </si>
  <si>
    <t>CLI-00584</t>
  </si>
  <si>
    <t>CLI-00590</t>
  </si>
  <si>
    <t>CLI-00595</t>
  </si>
  <si>
    <t>CLI-00596</t>
  </si>
  <si>
    <t>CLI-00601</t>
  </si>
  <si>
    <t>CLI-00604</t>
  </si>
  <si>
    <t>CLI-00606</t>
  </si>
  <si>
    <t>CLI-00610</t>
  </si>
  <si>
    <t>CLI-00611</t>
  </si>
  <si>
    <t>CLI-00612</t>
  </si>
  <si>
    <t>CLI-00616</t>
  </si>
  <si>
    <t>CLI-00617</t>
  </si>
  <si>
    <t>CLI-00620</t>
  </si>
  <si>
    <t>CLI-00621</t>
  </si>
  <si>
    <t>CLI-00626</t>
  </si>
  <si>
    <t>CLI-00632</t>
  </si>
  <si>
    <t>CLI-00634</t>
  </si>
  <si>
    <t>CLI-00636</t>
  </si>
  <si>
    <t>CLI-00642</t>
  </si>
  <si>
    <t>CLI-00643</t>
  </si>
  <si>
    <t>CLI-00647</t>
  </si>
  <si>
    <t>CLI-00649</t>
  </si>
  <si>
    <t>CLI-00650</t>
  </si>
  <si>
    <t>CLI-00655</t>
  </si>
  <si>
    <t>CLI-00662</t>
  </si>
  <si>
    <t>CLI-00663</t>
  </si>
  <si>
    <t>CLI-00666</t>
  </si>
  <si>
    <t>CLI-00670</t>
  </si>
  <si>
    <t>CLI-00671</t>
  </si>
  <si>
    <t>CLI-00674</t>
  </si>
  <si>
    <t>CLI-00675</t>
  </si>
  <si>
    <t>CLI-00682</t>
  </si>
  <si>
    <t>CLI-00684</t>
  </si>
  <si>
    <t>CLI-00695</t>
  </si>
  <si>
    <t>CLI-00700</t>
  </si>
  <si>
    <t>CLI-00705</t>
  </si>
  <si>
    <t>CLI-00711</t>
  </si>
  <si>
    <t>CLI-00716</t>
  </si>
  <si>
    <t>CLI-00721</t>
  </si>
  <si>
    <t>CLI-00726</t>
  </si>
  <si>
    <t>CLI-00728</t>
  </si>
  <si>
    <t>CLI-00731</t>
  </si>
  <si>
    <t>CLI-00736</t>
  </si>
  <si>
    <t>CLI-00739</t>
  </si>
  <si>
    <t>CLI-00744</t>
  </si>
  <si>
    <t>CLI-00745</t>
  </si>
  <si>
    <t>CLI-00753</t>
  </si>
  <si>
    <t>CLI-00754</t>
  </si>
  <si>
    <t>CLI-00755</t>
  </si>
  <si>
    <t>CLI-00758</t>
  </si>
  <si>
    <t>CLI-00760</t>
  </si>
  <si>
    <t>CLI-00766</t>
  </si>
  <si>
    <t>CLI-00768</t>
  </si>
  <si>
    <t>CLI-00773</t>
  </si>
  <si>
    <t>CLI-00781</t>
  </si>
  <si>
    <t>CLI-00782</t>
  </si>
  <si>
    <t>CLI-00783</t>
  </si>
  <si>
    <t>CLI-00786</t>
  </si>
  <si>
    <t>CLI-00788</t>
  </si>
  <si>
    <t>CLI-00795</t>
  </si>
  <si>
    <t>CLI-00796</t>
  </si>
  <si>
    <t>CLI-00799</t>
  </si>
  <si>
    <t>CLI-00800</t>
  </si>
  <si>
    <t>CLI-00803</t>
  </si>
  <si>
    <t>CLI-00805</t>
  </si>
  <si>
    <t>CLI-00806</t>
  </si>
  <si>
    <t>CLI-00808</t>
  </si>
  <si>
    <t>CLI-00809</t>
  </si>
  <si>
    <t>CLI-00813</t>
  </si>
  <si>
    <t>CLI-00815</t>
  </si>
  <si>
    <t>CLI-00817</t>
  </si>
  <si>
    <t>CLI-00819</t>
  </si>
  <si>
    <t>CLI-00821</t>
  </si>
  <si>
    <t>CLI-00822</t>
  </si>
  <si>
    <t>CLI-00825</t>
  </si>
  <si>
    <t>CLI-00830</t>
  </si>
  <si>
    <t>CLI-00833</t>
  </si>
  <si>
    <t>CLI-00834</t>
  </si>
  <si>
    <t>CLI-00837</t>
  </si>
  <si>
    <t>CLI-00841</t>
  </si>
  <si>
    <t>CLI-00846</t>
  </si>
  <si>
    <t>CLI-00849</t>
  </si>
  <si>
    <t>CLI-00852</t>
  </si>
  <si>
    <t>CLI-00853</t>
  </si>
  <si>
    <t>CLI-00855</t>
  </si>
  <si>
    <t>CLI-00857</t>
  </si>
  <si>
    <t>CLI-00862</t>
  </si>
  <si>
    <t>CLI-00865</t>
  </si>
  <si>
    <t>CLI-00866</t>
  </si>
  <si>
    <t>CLI-00867</t>
  </si>
  <si>
    <t>CLI-00868</t>
  </si>
  <si>
    <t>CLI-00871</t>
  </si>
  <si>
    <t>CLI-00873</t>
  </si>
  <si>
    <t>CLI-00876</t>
  </si>
  <si>
    <t>CLI-00879</t>
  </si>
  <si>
    <t>CLI-00881</t>
  </si>
  <si>
    <t>CLI-00884</t>
  </si>
  <si>
    <t>CLI-00885</t>
  </si>
  <si>
    <t>CLI-00886</t>
  </si>
  <si>
    <t>CLI-00887</t>
  </si>
  <si>
    <t>CLI-00889</t>
  </si>
  <si>
    <t>CLI-00890</t>
  </si>
  <si>
    <t>CLI-00892</t>
  </si>
  <si>
    <t>CLI-00893</t>
  </si>
  <si>
    <t>CLI-00894</t>
  </si>
  <si>
    <t>CLI-00896</t>
  </si>
  <si>
    <t>CLI-00898</t>
  </si>
  <si>
    <t>CLI-00899</t>
  </si>
  <si>
    <t>CLI-00901</t>
  </si>
  <si>
    <t>CLI-00902</t>
  </si>
  <si>
    <t>CLI-00905</t>
  </si>
  <si>
    <t>CLI-00907</t>
  </si>
  <si>
    <t>CLI-00909</t>
  </si>
  <si>
    <t>CLI-00912</t>
  </si>
  <si>
    <t>CLI-00913</t>
  </si>
  <si>
    <t>CLI-00919</t>
  </si>
  <si>
    <t>CLI-00921</t>
  </si>
  <si>
    <t>CLI-00922</t>
  </si>
  <si>
    <t>CLI-00924</t>
  </si>
  <si>
    <t>CLI-00925</t>
  </si>
  <si>
    <t>CLI-00928</t>
  </si>
  <si>
    <t>CLI-00929</t>
  </si>
  <si>
    <t>CLI-00930</t>
  </si>
  <si>
    <t>CLI-00932</t>
  </si>
  <si>
    <t>CLI-00938</t>
  </si>
  <si>
    <t>CLI-00939</t>
  </si>
  <si>
    <t>CLI-00943</t>
  </si>
  <si>
    <t>CLI-00948</t>
  </si>
  <si>
    <t>CLI-00950</t>
  </si>
  <si>
    <t>CLI-00952</t>
  </si>
  <si>
    <t>CLI-00957</t>
  </si>
  <si>
    <t>CLI-00959</t>
  </si>
  <si>
    <t>CLI-00960</t>
  </si>
  <si>
    <t>CLI-00961</t>
  </si>
  <si>
    <t>CLI-00962</t>
  </si>
  <si>
    <t>CLI-00964</t>
  </si>
  <si>
    <t>CLI-00965</t>
  </si>
  <si>
    <t>CLI-00966</t>
  </si>
  <si>
    <t>CLI-00970</t>
  </si>
  <si>
    <t>CLI-00971</t>
  </si>
  <si>
    <t>CLI-00973</t>
  </si>
  <si>
    <t>CLI-00974</t>
  </si>
  <si>
    <t>CLI-00976</t>
  </si>
  <si>
    <t>CLI-00978</t>
  </si>
  <si>
    <t>CLI-00979</t>
  </si>
  <si>
    <t>CLI-00980</t>
  </si>
  <si>
    <t>CLI-00983</t>
  </si>
  <si>
    <t>CLI-00986</t>
  </si>
  <si>
    <t>CLI-00994</t>
  </si>
  <si>
    <t>CLI-00996</t>
  </si>
  <si>
    <t>CLI-00997</t>
  </si>
  <si>
    <t>CLI-00999</t>
  </si>
  <si>
    <t>CLI-01000</t>
  </si>
  <si>
    <t>CLI-01003</t>
  </si>
  <si>
    <t>CLI-01005</t>
  </si>
  <si>
    <t>CLI-01006</t>
  </si>
  <si>
    <t>CLI-01007</t>
  </si>
  <si>
    <t>CLI-01010</t>
  </si>
  <si>
    <t>CLI-01013</t>
  </si>
  <si>
    <t>CLI-01014</t>
  </si>
  <si>
    <t>CLI-01015</t>
  </si>
  <si>
    <t>CLI-01016</t>
  </si>
  <si>
    <t>CLI-01017</t>
  </si>
  <si>
    <t>CLI-01021</t>
  </si>
  <si>
    <t>CLI-01023</t>
  </si>
  <si>
    <t>CLI-01025</t>
  </si>
  <si>
    <t>CLI-01032</t>
  </si>
  <si>
    <t>CLI-01034</t>
  </si>
  <si>
    <t>CLI-01037</t>
  </si>
  <si>
    <t>CLI-01040</t>
  </si>
  <si>
    <t>CLI-01042</t>
  </si>
  <si>
    <t>CLI-01046</t>
  </si>
  <si>
    <t>CLI-01050</t>
  </si>
  <si>
    <t>CLI-01052</t>
  </si>
  <si>
    <t>CLI-01058</t>
  </si>
  <si>
    <t>CLI-01059</t>
  </si>
  <si>
    <t>CLI-01069</t>
  </si>
  <si>
    <t>CLI-01072</t>
  </si>
  <si>
    <t>CLI-01075</t>
  </si>
  <si>
    <t>CLI-01076</t>
  </si>
  <si>
    <t>CLI-01077</t>
  </si>
  <si>
    <t>CLI-01078</t>
  </si>
  <si>
    <t>CLI-01080</t>
  </si>
  <si>
    <t>CLI-01082</t>
  </si>
  <si>
    <t>CLI-01087</t>
  </si>
  <si>
    <t>CLI-01093</t>
  </si>
  <si>
    <t>CLI-01095</t>
  </si>
  <si>
    <t>CLI-01096</t>
  </si>
  <si>
    <t>CLI-01104</t>
  </si>
  <si>
    <t>CLI-01118</t>
  </si>
  <si>
    <t>CLI-01121</t>
  </si>
  <si>
    <t>CLI-01122</t>
  </si>
  <si>
    <t>CLI-01128</t>
  </si>
  <si>
    <t>CLI-01129</t>
  </si>
  <si>
    <t>CLI-01134</t>
  </si>
  <si>
    <t>CLI-01136</t>
  </si>
  <si>
    <t>CLI-01139</t>
  </si>
  <si>
    <t>CLI-01141</t>
  </si>
  <si>
    <t>CLI-01144</t>
  </si>
  <si>
    <t>CLI-01146</t>
  </si>
  <si>
    <t>CLI-01147</t>
  </si>
  <si>
    <t>CLI-01149</t>
  </si>
  <si>
    <t>CLI-01154</t>
  </si>
  <si>
    <t>CLI-01162</t>
  </si>
  <si>
    <t>CLI-01165</t>
  </si>
  <si>
    <t>CLI-01166</t>
  </si>
  <si>
    <t>CLI-01167</t>
  </si>
  <si>
    <t>CLI-01169</t>
  </si>
  <si>
    <t>CLI-01170</t>
  </si>
  <si>
    <t>CLI-01180</t>
  </si>
  <si>
    <t>CLI-01181</t>
  </si>
  <si>
    <t>CLI-01186</t>
  </si>
  <si>
    <t>CLI-01189</t>
  </si>
  <si>
    <t>CLI-01194</t>
  </si>
  <si>
    <t>CLI-01196</t>
  </si>
  <si>
    <t>CLI-01197</t>
  </si>
  <si>
    <t>CLI-01199</t>
  </si>
  <si>
    <t>CLI-01200</t>
  </si>
  <si>
    <t>CLI-01203</t>
  </si>
  <si>
    <t>CLI-01204</t>
  </si>
  <si>
    <t>CLI-01208</t>
  </si>
  <si>
    <t>CLI-01210</t>
  </si>
  <si>
    <t>CLI-01211</t>
  </si>
  <si>
    <t>CLI-01215</t>
  </si>
  <si>
    <t>CLI-01217</t>
  </si>
  <si>
    <t>CLI-01221</t>
  </si>
  <si>
    <t>CLI-01224</t>
  </si>
  <si>
    <t>CLI-01226</t>
  </si>
  <si>
    <t>CLI-01229</t>
  </si>
  <si>
    <t>CLI-01230</t>
  </si>
  <si>
    <t>CLI-01233</t>
  </si>
  <si>
    <t>CLI-01234</t>
  </si>
  <si>
    <t>CLI-01236</t>
  </si>
  <si>
    <t>CLI-01238</t>
  </si>
  <si>
    <t>CLI-01241</t>
  </si>
  <si>
    <t>CLI-01242</t>
  </si>
  <si>
    <t>CLI-01253</t>
  </si>
  <si>
    <t>CLI-01254</t>
  </si>
  <si>
    <t>CLI-01256</t>
  </si>
  <si>
    <t>CLI-01258</t>
  </si>
  <si>
    <t>CLI-01264</t>
  </si>
  <si>
    <t>CLI-01266</t>
  </si>
  <si>
    <t>CLI-01267</t>
  </si>
  <si>
    <t>CLI-01270</t>
  </si>
  <si>
    <t>CLI-01275</t>
  </si>
  <si>
    <t>CLI-01278</t>
  </si>
  <si>
    <t>CLI-01283</t>
  </si>
  <si>
    <t>CLI-01284</t>
  </si>
  <si>
    <t>CLI-01287</t>
  </si>
  <si>
    <t>CLI-01290</t>
  </si>
  <si>
    <t>CLI-01291</t>
  </si>
  <si>
    <t>CLI-01292</t>
  </si>
  <si>
    <t>CLI-01294</t>
  </si>
  <si>
    <t>CLI-01304</t>
  </si>
  <si>
    <t>CLI-01309</t>
  </si>
  <si>
    <t>CLI-01313</t>
  </si>
  <si>
    <t>CLI-01314</t>
  </si>
  <si>
    <t>CLI-01319</t>
  </si>
  <si>
    <t>CLI-01320</t>
  </si>
  <si>
    <t>CLI-01322</t>
  </si>
  <si>
    <t>CLI-01325</t>
  </si>
  <si>
    <t>CLI-01326</t>
  </si>
  <si>
    <t>CLI-01327</t>
  </si>
  <si>
    <t>CLI-01329</t>
  </si>
  <si>
    <t>CLI-01330</t>
  </si>
  <si>
    <t>CLI-01339</t>
  </si>
  <si>
    <t>CLI-01340</t>
  </si>
  <si>
    <t>CLI-01344</t>
  </si>
  <si>
    <t>CLI-01347</t>
  </si>
  <si>
    <t>CLI-01348</t>
  </si>
  <si>
    <t>CLI-01349</t>
  </si>
  <si>
    <t>CLI-01351</t>
  </si>
  <si>
    <t>CLI-01354</t>
  </si>
  <si>
    <t>CLI-01355</t>
  </si>
  <si>
    <t>CLI-01357</t>
  </si>
  <si>
    <t>CLI-01359</t>
  </si>
  <si>
    <t>CLI-01360</t>
  </si>
  <si>
    <t>CLI-01361</t>
  </si>
  <si>
    <t>CLI-01363</t>
  </si>
  <si>
    <t>CLI-01373</t>
  </si>
  <si>
    <t>CLI-01374</t>
  </si>
  <si>
    <t>CLI-01375</t>
  </si>
  <si>
    <t>CLI-01376</t>
  </si>
  <si>
    <t>CLI-01380</t>
  </si>
  <si>
    <t>CLI-01386</t>
  </si>
  <si>
    <t>CLI-01387</t>
  </si>
  <si>
    <t>CLI-01394</t>
  </si>
  <si>
    <t>CLI-01396</t>
  </si>
  <si>
    <t>CLI-01399</t>
  </si>
  <si>
    <t>CLI-01402</t>
  </si>
  <si>
    <t>CLI-01403</t>
  </si>
  <si>
    <t>CLI-01404</t>
  </si>
  <si>
    <t>CLI-01405</t>
  </si>
  <si>
    <t>CLI-01406</t>
  </si>
  <si>
    <t>CLI-01407</t>
  </si>
  <si>
    <t>CLI-01408</t>
  </si>
  <si>
    <t>CLI-01410</t>
  </si>
  <si>
    <t>CLI-01415</t>
  </si>
  <si>
    <t>CLI-01419</t>
  </si>
  <si>
    <t>CLI-01420</t>
  </si>
  <si>
    <t>CLI-01424</t>
  </si>
  <si>
    <t>CLI-01431</t>
  </si>
  <si>
    <t>CLI-01432</t>
  </si>
  <si>
    <t>CLI-01433</t>
  </si>
  <si>
    <t>CLI-01435</t>
  </si>
  <si>
    <t>CLI-01436</t>
  </si>
  <si>
    <t>CLI-01437</t>
  </si>
  <si>
    <t>CLI-01438</t>
  </si>
  <si>
    <t>CLI-01442</t>
  </si>
  <si>
    <t>CLI-01446</t>
  </si>
  <si>
    <t>CLI-01450</t>
  </si>
  <si>
    <t>CLI-01451</t>
  </si>
  <si>
    <t>CLI-01453</t>
  </si>
  <si>
    <t>CLI-01454</t>
  </si>
  <si>
    <t>CLI-01455</t>
  </si>
  <si>
    <t>CLI-01461</t>
  </si>
  <si>
    <t>CLI-01462</t>
  </si>
  <si>
    <t>CLI-01463</t>
  </si>
  <si>
    <t>CLI-01466</t>
  </si>
  <si>
    <t>CLI-01470</t>
  </si>
  <si>
    <t>CLI-01472</t>
  </si>
  <si>
    <t>CLI-01473</t>
  </si>
  <si>
    <t>CLI-01475</t>
  </si>
  <si>
    <t>CLI-01479</t>
  </si>
  <si>
    <t>CLI-01480</t>
  </si>
  <si>
    <t>CLI-01484</t>
  </si>
  <si>
    <t>CLI-01485</t>
  </si>
  <si>
    <t>CLI-01488</t>
  </si>
  <si>
    <t>CLI-01489</t>
  </si>
  <si>
    <t>CLI-01494</t>
  </si>
  <si>
    <t>CLI-01496</t>
  </si>
  <si>
    <t>CLI-01499</t>
  </si>
  <si>
    <t>CLI-01503</t>
  </si>
  <si>
    <t>CLI-01505</t>
  </si>
  <si>
    <t>CLI-01506</t>
  </si>
  <si>
    <t>CLI-01507</t>
  </si>
  <si>
    <t>CLI-01508</t>
  </si>
  <si>
    <t>CLI-01510</t>
  </si>
  <si>
    <t>CLI-01511</t>
  </si>
  <si>
    <t>CLI-01515</t>
  </si>
  <si>
    <t>CLI-01520</t>
  </si>
  <si>
    <t>CLI-01524</t>
  </si>
  <si>
    <t>CLI-01529</t>
  </si>
  <si>
    <t>CLI-01530</t>
  </si>
  <si>
    <t>CLI-01532</t>
  </si>
  <si>
    <t>CLI-01533</t>
  </si>
  <si>
    <t>CLI-01535</t>
  </si>
  <si>
    <t>CLI-01536</t>
  </si>
  <si>
    <t>CLI-01542</t>
  </si>
  <si>
    <t>CLI-01543</t>
  </si>
  <si>
    <t>CLI-01544</t>
  </si>
  <si>
    <t>CLI-01549</t>
  </si>
  <si>
    <t>CLI-01550</t>
  </si>
  <si>
    <t>CLI-01555</t>
  </si>
  <si>
    <t>CLI-01560</t>
  </si>
  <si>
    <t>CLI-01561</t>
  </si>
  <si>
    <t>CLI-01563</t>
  </si>
  <si>
    <t>CLI-01565</t>
  </si>
  <si>
    <t>CLI-01566</t>
  </si>
  <si>
    <t>CLI-01568</t>
  </si>
  <si>
    <t>CLI-01571</t>
  </si>
  <si>
    <t>CLI-01573</t>
  </si>
  <si>
    <t>CLI-01578</t>
  </si>
  <si>
    <t>CLI-01584</t>
  </si>
  <si>
    <t>CLI-01588</t>
  </si>
  <si>
    <t>CLI-01589</t>
  </si>
  <si>
    <t>CLI-01591</t>
  </si>
  <si>
    <t>CLI-01595</t>
  </si>
  <si>
    <t>CLI-01597</t>
  </si>
  <si>
    <t>CLI-01598</t>
  </si>
  <si>
    <t>CLI-01600</t>
  </si>
  <si>
    <t>CLI-01602</t>
  </si>
  <si>
    <t>CLI-01603</t>
  </si>
  <si>
    <t>CLI-01604</t>
  </si>
  <si>
    <t>CLI-01606</t>
  </si>
  <si>
    <t>CLI-01607</t>
  </si>
  <si>
    <t>CLI-01616</t>
  </si>
  <si>
    <t>CLI-01617</t>
  </si>
  <si>
    <t>CLI-01618</t>
  </si>
  <si>
    <t>CLI-01619</t>
  </si>
  <si>
    <t>CLI-01621</t>
  </si>
  <si>
    <t>CLI-01622</t>
  </si>
  <si>
    <t>CLI-01623</t>
  </si>
  <si>
    <t>CLI-01624</t>
  </si>
  <si>
    <t>CLI-01626</t>
  </si>
  <si>
    <t>CLI-01629</t>
  </si>
  <si>
    <t>CLI-01630</t>
  </si>
  <si>
    <t>CLI-01637</t>
  </si>
  <si>
    <t>CLI-01638</t>
  </si>
  <si>
    <t>CLI-01646</t>
  </si>
  <si>
    <t>CLI-01651</t>
  </si>
  <si>
    <t>CLI-01653</t>
  </si>
  <si>
    <t>CLI-01654</t>
  </si>
  <si>
    <t>CLI-01658</t>
  </si>
  <si>
    <t>CLI-01662</t>
  </si>
  <si>
    <t>CLI-01664</t>
  </si>
  <si>
    <t>CLI-01666</t>
  </si>
  <si>
    <t>CLI-01668</t>
  </si>
  <si>
    <t>CLI-01669</t>
  </si>
  <si>
    <t>CLI-01680</t>
  </si>
  <si>
    <t>CLI-01682</t>
  </si>
  <si>
    <t>CLI-01683</t>
  </si>
  <si>
    <t>CLI-01685</t>
  </si>
  <si>
    <t>CLI-01686</t>
  </si>
  <si>
    <t>CLI-01687</t>
  </si>
  <si>
    <t>CLI-01688</t>
  </si>
  <si>
    <t>CLI-01689</t>
  </si>
  <si>
    <t>CLI-01694</t>
  </si>
  <si>
    <t>CLI-01695</t>
  </si>
  <si>
    <t>CLI-01697</t>
  </si>
  <si>
    <t>CLI-01698</t>
  </si>
  <si>
    <t>CLI-01701</t>
  </si>
  <si>
    <t>CLI-01702</t>
  </si>
  <si>
    <t>CLI-01704</t>
  </si>
  <si>
    <t>CLI-01705</t>
  </si>
  <si>
    <t>CLI-01706</t>
  </si>
  <si>
    <t>CLI-01709</t>
  </si>
  <si>
    <t>CLI-01714</t>
  </si>
  <si>
    <t>CLI-01719</t>
  </si>
  <si>
    <t>CLI-01720</t>
  </si>
  <si>
    <t>CLI-01721</t>
  </si>
  <si>
    <t>CLI-01722</t>
  </si>
  <si>
    <t>CLI-01723</t>
  </si>
  <si>
    <t>CLI-01724</t>
  </si>
  <si>
    <t>CLI-01726</t>
  </si>
  <si>
    <t>CLI-01728</t>
  </si>
  <si>
    <t>CLI-01729</t>
  </si>
  <si>
    <t>CLI-01731</t>
  </si>
  <si>
    <t>CLI-01732</t>
  </si>
  <si>
    <t>CLI-01735</t>
  </si>
  <si>
    <t>CLI-01736</t>
  </si>
  <si>
    <t>CLI-01739</t>
  </si>
  <si>
    <t>CLI-01740</t>
  </si>
  <si>
    <t>CLI-01741</t>
  </si>
  <si>
    <t>CLI-01746</t>
  </si>
  <si>
    <t>CLI-01749</t>
  </si>
  <si>
    <t>CLI-01757</t>
  </si>
  <si>
    <t>CLI-01759</t>
  </si>
  <si>
    <t>CLI-01761</t>
  </si>
  <si>
    <t>CLI-01765</t>
  </si>
  <si>
    <t>CLI-01766</t>
  </si>
  <si>
    <t>CLI-01768</t>
  </si>
  <si>
    <t>CLI-01773</t>
  </si>
  <si>
    <t>CLI-01775</t>
  </si>
  <si>
    <t>CLI-01776</t>
  </si>
  <si>
    <t>CLI-01780</t>
  </si>
  <si>
    <t>CLI-01782</t>
  </si>
  <si>
    <t>CLI-01783</t>
  </si>
  <si>
    <t>CLI-01788</t>
  </si>
  <si>
    <t>CLI-01793</t>
  </si>
  <si>
    <t>CLI-01794</t>
  </si>
  <si>
    <t>CLI-01796</t>
  </si>
  <si>
    <t>CLI-01797</t>
  </si>
  <si>
    <t>CLI-01802</t>
  </si>
  <si>
    <t>CLI-01804</t>
  </si>
  <si>
    <t>CLI-01812</t>
  </si>
  <si>
    <t>CLI-01814</t>
  </si>
  <si>
    <t>CLI-01816</t>
  </si>
  <si>
    <t>CLI-01818</t>
  </si>
  <si>
    <t>CLI-01820</t>
  </si>
  <si>
    <t>CLI-01821</t>
  </si>
  <si>
    <t>CLI-01822</t>
  </si>
  <si>
    <t>CLI-01823</t>
  </si>
  <si>
    <t>CLI-01824</t>
  </si>
  <si>
    <t>CLI-01830</t>
  </si>
  <si>
    <t>CLI-01832</t>
  </si>
  <si>
    <t>CLI-01835</t>
  </si>
  <si>
    <t>CLI-01836</t>
  </si>
  <si>
    <t>CLI-01837</t>
  </si>
  <si>
    <t>CLI-01839</t>
  </si>
  <si>
    <t>CLI-01843</t>
  </si>
  <si>
    <t>CLI-01844</t>
  </si>
  <si>
    <t>CLI-01845</t>
  </si>
  <si>
    <t>CLI-01846</t>
  </si>
  <si>
    <t>CLI-01847</t>
  </si>
  <si>
    <t>CLI-01848</t>
  </si>
  <si>
    <t>CLI-01850</t>
  </si>
  <si>
    <t>CLI-01851</t>
  </si>
  <si>
    <t>CLI-01852</t>
  </si>
  <si>
    <t>CLI-01854</t>
  </si>
  <si>
    <t>CLI-01855</t>
  </si>
  <si>
    <t>CLI-01858</t>
  </si>
  <si>
    <t>CLI-01860</t>
  </si>
  <si>
    <t>CLI-01861</t>
  </si>
  <si>
    <t>CLI-01868</t>
  </si>
  <si>
    <t>CLI-01871</t>
  </si>
  <si>
    <t>CLI-01873</t>
  </si>
  <si>
    <t>CLI-01876</t>
  </si>
  <si>
    <t>CLI-01877</t>
  </si>
  <si>
    <t>CLI-01880</t>
  </si>
  <si>
    <t>CLI-01885</t>
  </si>
  <si>
    <t>CLI-01888</t>
  </si>
  <si>
    <t>CLI-01890</t>
  </si>
  <si>
    <t>CLI-01891</t>
  </si>
  <si>
    <t>CLI-01893</t>
  </si>
  <si>
    <t>CLI-01906</t>
  </si>
  <si>
    <t>CLI-01908</t>
  </si>
  <si>
    <t>CLI-01911</t>
  </si>
  <si>
    <t>CLI-01916</t>
  </si>
  <si>
    <t>CLI-01917</t>
  </si>
  <si>
    <t>CLI-01920</t>
  </si>
  <si>
    <t>CLI-01923</t>
  </si>
  <si>
    <t>CLI-01926</t>
  </si>
  <si>
    <t>CLI-01927</t>
  </si>
  <si>
    <t>CLI-01929</t>
  </si>
  <si>
    <t>CLI-01931</t>
  </si>
  <si>
    <t>CLI-01932</t>
  </si>
  <si>
    <t>CLI-01933</t>
  </si>
  <si>
    <t>CLI-01938</t>
  </si>
  <si>
    <t>CLI-01940</t>
  </si>
  <si>
    <t>CLI-01949</t>
  </si>
  <si>
    <t>CLI-01950</t>
  </si>
  <si>
    <t>CLI-01957</t>
  </si>
  <si>
    <t>CLI-01959</t>
  </si>
  <si>
    <t>CLI-01960</t>
  </si>
  <si>
    <t>CLI-01964</t>
  </si>
  <si>
    <t>CLI-01966</t>
  </si>
  <si>
    <t>CLI-01967</t>
  </si>
  <si>
    <t>CLI-01969</t>
  </si>
  <si>
    <t>CLI-01970</t>
  </si>
  <si>
    <t>CLI-01971</t>
  </si>
  <si>
    <t>CLI-01972</t>
  </si>
  <si>
    <t>CLI-01973</t>
  </si>
  <si>
    <t>CLI-01974</t>
  </si>
  <si>
    <t>CLI-01975</t>
  </si>
  <si>
    <t>CLI-01977</t>
  </si>
  <si>
    <t>CLI-01979</t>
  </si>
  <si>
    <t>CLI-01981</t>
  </si>
  <si>
    <t>CLI-01982</t>
  </si>
  <si>
    <t>CLI-01986</t>
  </si>
  <si>
    <t>CLI-01988</t>
  </si>
  <si>
    <t>CLI-01990</t>
  </si>
  <si>
    <t>CLI-01992</t>
  </si>
  <si>
    <t>CLI-01995</t>
  </si>
  <si>
    <t>CLI-01998</t>
  </si>
  <si>
    <t>CLI-01999</t>
  </si>
  <si>
    <t>Date_Heure_Panne</t>
  </si>
  <si>
    <t>Cell_ID</t>
  </si>
  <si>
    <t>Duree_Panne_Min</t>
  </si>
  <si>
    <t>Statut_Resolution</t>
  </si>
  <si>
    <t>Logs_Reseau_Part_19.xlsx</t>
  </si>
  <si>
    <t>Non Résolu</t>
  </si>
  <si>
    <t>Logs_Reseau_Part_23.xlsx</t>
  </si>
  <si>
    <t>Résolu</t>
  </si>
  <si>
    <t>Logs_Reseau_Part_01.xlsx</t>
  </si>
  <si>
    <t>Logs_Reseau_Part_05.xlsx</t>
  </si>
  <si>
    <t>ANT-0004</t>
  </si>
  <si>
    <t>Logs_Reseau_Part_13.xlsx</t>
  </si>
  <si>
    <t>Logs_Reseau_Part_02.xlsx</t>
  </si>
  <si>
    <t>Logs_Reseau_Part_12.xlsx</t>
  </si>
  <si>
    <t>En Cours</t>
  </si>
  <si>
    <t>Logs_Reseau_Part_24.xlsx</t>
  </si>
  <si>
    <t>Logs_Reseau_Part_14.xlsx</t>
  </si>
  <si>
    <t>Logs_Reseau_Part_21.xlsx</t>
  </si>
  <si>
    <t>Logs_Reseau_Part_22.xlsx</t>
  </si>
  <si>
    <t>Logs_Reseau_Part_04.xlsx</t>
  </si>
  <si>
    <t>Logs_Reseau_Part_17.xlsx</t>
  </si>
  <si>
    <t>ANT-0013</t>
  </si>
  <si>
    <t>ANT-0018</t>
  </si>
  <si>
    <t>ANT-0019</t>
  </si>
  <si>
    <t>ANT-0021</t>
  </si>
  <si>
    <t>Logs_Reseau_Part_08.xlsx</t>
  </si>
  <si>
    <t>ANT-0022</t>
  </si>
  <si>
    <t>Logs_Reseau_Part_11.xlsx</t>
  </si>
  <si>
    <t>ANT-0024</t>
  </si>
  <si>
    <t>Logs_Reseau_Part_15.xlsx</t>
  </si>
  <si>
    <t>ANT-0028</t>
  </si>
  <si>
    <t>ANT-0030</t>
  </si>
  <si>
    <t>Logs_Reseau_Part_10.xlsx</t>
  </si>
  <si>
    <t>ANT-0033</t>
  </si>
  <si>
    <t>Logs_Reseau_Part_16.xlsx</t>
  </si>
  <si>
    <t>ANT-0034</t>
  </si>
  <si>
    <t>Logs_Reseau_Part_06.xlsx</t>
  </si>
  <si>
    <t>Logs_Reseau_Part_20.xlsx</t>
  </si>
  <si>
    <t>ANT-0036</t>
  </si>
  <si>
    <t>ANT-0043</t>
  </si>
  <si>
    <t>Logs_Reseau_Part_18.xlsx</t>
  </si>
  <si>
    <t>ANT-0046</t>
  </si>
  <si>
    <t>ANT-0050</t>
  </si>
  <si>
    <t>ANT-0052</t>
  </si>
  <si>
    <t>ANT-0053</t>
  </si>
  <si>
    <t>Logs_Reseau_Part_09.xlsx</t>
  </si>
  <si>
    <t>Logs_Reseau_Part_25.xlsx</t>
  </si>
  <si>
    <t>ANT-0060</t>
  </si>
  <si>
    <t>ANT-0061</t>
  </si>
  <si>
    <t>ANT-0062</t>
  </si>
  <si>
    <t>ANT-0063</t>
  </si>
  <si>
    <t>ANT-0064</t>
  </si>
  <si>
    <t>Logs_Reseau_Part_07.xlsx</t>
  </si>
  <si>
    <t>ANT-0068</t>
  </si>
  <si>
    <t>ANT-0069</t>
  </si>
  <si>
    <t>ANT-0073</t>
  </si>
  <si>
    <t>ANT-0076</t>
  </si>
  <si>
    <t>ANT-0077</t>
  </si>
  <si>
    <t>Logs_Reseau_Part_03.xlsx</t>
  </si>
  <si>
    <t>ANT-0083</t>
  </si>
  <si>
    <t>ANT-0087</t>
  </si>
  <si>
    <t>ANT-0092</t>
  </si>
  <si>
    <t>ANT-0095</t>
  </si>
  <si>
    <t>ANT-0098</t>
  </si>
  <si>
    <t>ANT-0100</t>
  </si>
  <si>
    <t>ANT-0102</t>
  </si>
  <si>
    <t>ANT-0104</t>
  </si>
  <si>
    <t>ANT-0105</t>
  </si>
  <si>
    <t>ANT-0108</t>
  </si>
  <si>
    <t>ANT-0109</t>
  </si>
  <si>
    <t>ANT-0111</t>
  </si>
  <si>
    <t>ANT-0115</t>
  </si>
  <si>
    <t>ANT-0116</t>
  </si>
  <si>
    <t>ANT-0118</t>
  </si>
  <si>
    <t>ANT-0119</t>
  </si>
  <si>
    <t>ANT-0125</t>
  </si>
  <si>
    <t>ANT-0126</t>
  </si>
  <si>
    <t>ANT-0127</t>
  </si>
  <si>
    <t>ANT-0128</t>
  </si>
  <si>
    <t>ANT-0130</t>
  </si>
  <si>
    <t>ANT-0135</t>
  </si>
  <si>
    <t>ANT-0137</t>
  </si>
  <si>
    <t>ANT-0141</t>
  </si>
  <si>
    <t>ANT-0145</t>
  </si>
  <si>
    <t>ANT-0146</t>
  </si>
  <si>
    <t>ANT-0152</t>
  </si>
  <si>
    <t>ANT-0155</t>
  </si>
  <si>
    <t>ANT-0157</t>
  </si>
  <si>
    <t>ANT-0158</t>
  </si>
  <si>
    <t>ANT-0163</t>
  </si>
  <si>
    <t>ANT-0169</t>
  </si>
  <si>
    <t>ANT-0173</t>
  </si>
  <si>
    <t>ANT-0176</t>
  </si>
  <si>
    <t>ANT-0186</t>
  </si>
  <si>
    <t>ANT-0189</t>
  </si>
  <si>
    <t>ANT-0193</t>
  </si>
  <si>
    <t>ANT-0196</t>
  </si>
  <si>
    <t>ANT-0197</t>
  </si>
  <si>
    <t>ANT-0199</t>
  </si>
  <si>
    <t>ANT-0203</t>
  </si>
  <si>
    <t>ANT-0204</t>
  </si>
  <si>
    <t>ANT-0215</t>
  </si>
  <si>
    <t>ANT-0221</t>
  </si>
  <si>
    <t>ANT-0227</t>
  </si>
  <si>
    <t>ANT-0231</t>
  </si>
  <si>
    <t>ANT-0233</t>
  </si>
  <si>
    <t>ANT-0242</t>
  </si>
  <si>
    <t>ANT-0243</t>
  </si>
  <si>
    <t>ANT-0244</t>
  </si>
  <si>
    <t>ANT-0246</t>
  </si>
  <si>
    <t>ANT-0247</t>
  </si>
  <si>
    <t>ANT-0254</t>
  </si>
  <si>
    <t>ANT-0259</t>
  </si>
  <si>
    <t>ANT-0262</t>
  </si>
  <si>
    <t>ANT-0266</t>
  </si>
  <si>
    <t>ANT-0269</t>
  </si>
  <si>
    <t>ANT-0274</t>
  </si>
  <si>
    <t>ANT-0275</t>
  </si>
  <si>
    <t>ANT-0280</t>
  </si>
  <si>
    <t>ANT-0289</t>
  </si>
  <si>
    <t>ANT-0290</t>
  </si>
  <si>
    <t>ANT-0296</t>
  </si>
  <si>
    <t>ANT-0299</t>
  </si>
  <si>
    <t>ANT-0303</t>
  </si>
  <si>
    <t>ANT-0305</t>
  </si>
  <si>
    <t>ANT-0306</t>
  </si>
  <si>
    <t>ANT-0307</t>
  </si>
  <si>
    <t>ANT-0308</t>
  </si>
  <si>
    <t>ANT-0309</t>
  </si>
  <si>
    <t>ANT-0311</t>
  </si>
  <si>
    <t>ANT-0312</t>
  </si>
  <si>
    <t>ANT-0314</t>
  </si>
  <si>
    <t>ANT-0316</t>
  </si>
  <si>
    <t>ANT-0317</t>
  </si>
  <si>
    <t>ANT-0318</t>
  </si>
  <si>
    <t>ANT-0321</t>
  </si>
  <si>
    <t>ANT-0325</t>
  </si>
  <si>
    <t>ANT-0326</t>
  </si>
  <si>
    <t>ANT-0329</t>
  </si>
  <si>
    <t>ANT-0330</t>
  </si>
  <si>
    <t>ANT-0331</t>
  </si>
  <si>
    <t>ANT-0333</t>
  </si>
  <si>
    <t>ANT-0334</t>
  </si>
  <si>
    <t>ANT-0335</t>
  </si>
  <si>
    <t>ANT-0336</t>
  </si>
  <si>
    <t>ANT-0340</t>
  </si>
  <si>
    <t>ANT-0342</t>
  </si>
  <si>
    <t>ANT-0345</t>
  </si>
  <si>
    <t>ANT-0350</t>
  </si>
  <si>
    <t>ANT-0355</t>
  </si>
  <si>
    <t>ANT-0360</t>
  </si>
  <si>
    <t>ANT-0361</t>
  </si>
  <si>
    <t>ANT-0366</t>
  </si>
  <si>
    <t>ANT-0367</t>
  </si>
  <si>
    <t>ANT-0372</t>
  </si>
  <si>
    <t>ANT-0374</t>
  </si>
  <si>
    <t>ANT-0376</t>
  </si>
  <si>
    <t>ANT-0377</t>
  </si>
  <si>
    <t>ANT-0378</t>
  </si>
  <si>
    <t>ANT-0382</t>
  </si>
  <si>
    <t>ANT-0383</t>
  </si>
  <si>
    <t>ANT-0384</t>
  </si>
  <si>
    <t>ANT-0389</t>
  </si>
  <si>
    <t>ANT-0390</t>
  </si>
  <si>
    <t>ANT-0396</t>
  </si>
  <si>
    <t>ANT-0397</t>
  </si>
  <si>
    <t>ANT-0403</t>
  </si>
  <si>
    <t>ANT-0404</t>
  </si>
  <si>
    <t>ANT-0406</t>
  </si>
  <si>
    <t>ANT-0422</t>
  </si>
  <si>
    <t>ANT-0426</t>
  </si>
  <si>
    <t>ANT-0427</t>
  </si>
  <si>
    <t>ANT-0428</t>
  </si>
  <si>
    <t>ANT-0429</t>
  </si>
  <si>
    <t>ANT-0435</t>
  </si>
  <si>
    <t>ANT-0438</t>
  </si>
  <si>
    <t>ANT-0439</t>
  </si>
  <si>
    <t>ANT-0447</t>
  </si>
  <si>
    <t>ANT-0448</t>
  </si>
  <si>
    <t>ANT-0449</t>
  </si>
  <si>
    <t>ANT-0452</t>
  </si>
  <si>
    <t>ANT-0453</t>
  </si>
  <si>
    <t>ANT-0455</t>
  </si>
  <si>
    <t>ANT-0459</t>
  </si>
  <si>
    <t>ANT-0461</t>
  </si>
  <si>
    <t>ANT-0468</t>
  </si>
  <si>
    <t>ANT-0469</t>
  </si>
  <si>
    <t>ANT-0471</t>
  </si>
  <si>
    <t>ANT-0473</t>
  </si>
  <si>
    <t>ANT-0474</t>
  </si>
  <si>
    <t>ANT-0475</t>
  </si>
  <si>
    <t>ANT-0478</t>
  </si>
  <si>
    <t>ANT-0479</t>
  </si>
  <si>
    <t>ANT-0485</t>
  </si>
  <si>
    <t>ANT-0486</t>
  </si>
  <si>
    <t>ANT-0487</t>
  </si>
  <si>
    <t>ANT-0490</t>
  </si>
  <si>
    <t>ANT-0493</t>
  </si>
  <si>
    <t>ANT-0497</t>
  </si>
  <si>
    <t>ANT-0501</t>
  </si>
  <si>
    <t>ANT-0504</t>
  </si>
  <si>
    <t>ANT-0508</t>
  </si>
  <si>
    <t>ANT-0510</t>
  </si>
  <si>
    <t>ANT-0512</t>
  </si>
  <si>
    <t>ANT-0513</t>
  </si>
  <si>
    <t>ANT-0518</t>
  </si>
  <si>
    <t>ANT-0522</t>
  </si>
  <si>
    <t>ANT-0528</t>
  </si>
  <si>
    <t>ANT-0537</t>
  </si>
  <si>
    <t>ANT-0539</t>
  </si>
  <si>
    <t>ANT-0540</t>
  </si>
  <si>
    <t>ANT-0541</t>
  </si>
  <si>
    <t>ANT-0542</t>
  </si>
  <si>
    <t>ANT-0544</t>
  </si>
  <si>
    <t>ANT-0548</t>
  </si>
  <si>
    <t>ANT-0555</t>
  </si>
  <si>
    <t>ANT-0556</t>
  </si>
  <si>
    <t>ANT-0559</t>
  </si>
  <si>
    <t>ANT-0560</t>
  </si>
  <si>
    <t>ANT-0561</t>
  </si>
  <si>
    <t>ANT-0562</t>
  </si>
  <si>
    <t>ANT-0567</t>
  </si>
  <si>
    <t>ANT-0568</t>
  </si>
  <si>
    <t>ANT-0570</t>
  </si>
  <si>
    <t>ANT-0574</t>
  </si>
  <si>
    <t>ANT-0575</t>
  </si>
  <si>
    <t>ANT-0576</t>
  </si>
  <si>
    <t>ANT-0577</t>
  </si>
  <si>
    <t>ANT-0581</t>
  </si>
  <si>
    <t>ANT-0585</t>
  </si>
  <si>
    <t>ANT-0586</t>
  </si>
  <si>
    <t>ANT-0594</t>
  </si>
  <si>
    <t>ANT-0595</t>
  </si>
  <si>
    <t>ANT-0598</t>
  </si>
  <si>
    <t>ANT-0599</t>
  </si>
  <si>
    <t>ANT-0606</t>
  </si>
  <si>
    <t>ANT-0609</t>
  </si>
  <si>
    <t>ANT-0610</t>
  </si>
  <si>
    <t>ANT-0615</t>
  </si>
  <si>
    <t>ANT-0623</t>
  </si>
  <si>
    <t>ANT-0628</t>
  </si>
  <si>
    <t>ANT-0633</t>
  </si>
  <si>
    <t>ANT-0634</t>
  </si>
  <si>
    <t>ANT-0635</t>
  </si>
  <si>
    <t>ANT-0638</t>
  </si>
  <si>
    <t>ANT-0640</t>
  </si>
  <si>
    <t>ANT-0643</t>
  </si>
  <si>
    <t>ANT-0644</t>
  </si>
  <si>
    <t>ANT-0646</t>
  </si>
  <si>
    <t>ANT-0650</t>
  </si>
  <si>
    <t>ANT-0654</t>
  </si>
  <si>
    <t>ANT-0655</t>
  </si>
  <si>
    <t>ANT-0656</t>
  </si>
  <si>
    <t>ANT-0657</t>
  </si>
  <si>
    <t>ANT-0661</t>
  </si>
  <si>
    <t>ANT-0667</t>
  </si>
  <si>
    <t>ANT-0669</t>
  </si>
  <si>
    <t>ANT-0672</t>
  </si>
  <si>
    <t>ANT-0675</t>
  </si>
  <si>
    <t>ANT-0684</t>
  </si>
  <si>
    <t>ANT-0686</t>
  </si>
  <si>
    <t>ANT-0688</t>
  </si>
  <si>
    <t>ANT-0698</t>
  </si>
  <si>
    <t>ANT-0699</t>
  </si>
  <si>
    <t>ANT-0704</t>
  </si>
  <si>
    <t>ANT-0707</t>
  </si>
  <si>
    <t>ANT-0709</t>
  </si>
  <si>
    <t>ANT-0710</t>
  </si>
  <si>
    <t>ANT-0712</t>
  </si>
  <si>
    <t>ANT-0723</t>
  </si>
  <si>
    <t>ANT-0725</t>
  </si>
  <si>
    <t>ANT-0726</t>
  </si>
  <si>
    <t>ANT-0727</t>
  </si>
  <si>
    <t>ANT-0729</t>
  </si>
  <si>
    <t>ANT-0730</t>
  </si>
  <si>
    <t>ANT-0732</t>
  </si>
  <si>
    <t>ANT-0739</t>
  </si>
  <si>
    <t>ANT-0740</t>
  </si>
  <si>
    <t>ANT-0743</t>
  </si>
  <si>
    <t>ANT-0744</t>
  </si>
  <si>
    <t>ANT-0756</t>
  </si>
  <si>
    <t>ANT-0757</t>
  </si>
  <si>
    <t>ANT-0761</t>
  </si>
  <si>
    <t>ANT-0762</t>
  </si>
  <si>
    <t>ANT-0764</t>
  </si>
  <si>
    <t>ANT-0766</t>
  </si>
  <si>
    <t>ANT-0771</t>
  </si>
  <si>
    <t>ANT-0774</t>
  </si>
  <si>
    <t>ANT-0777</t>
  </si>
  <si>
    <t>ANT-0779</t>
  </si>
  <si>
    <t>ANT-0781</t>
  </si>
  <si>
    <t>ANT-0782</t>
  </si>
  <si>
    <t>ANT-0784</t>
  </si>
  <si>
    <t>ANT-0785</t>
  </si>
  <si>
    <t>ANT-0787</t>
  </si>
  <si>
    <t>ANT-0792</t>
  </si>
  <si>
    <t>ANT-0793</t>
  </si>
  <si>
    <t>ANT-0798</t>
  </si>
  <si>
    <t>ANT-0800</t>
  </si>
  <si>
    <t>ANT-0801</t>
  </si>
  <si>
    <t>ANT-0803</t>
  </si>
  <si>
    <t>ANT-0805</t>
  </si>
  <si>
    <t>ANT-0806</t>
  </si>
  <si>
    <t>ANT-0808</t>
  </si>
  <si>
    <t>ANT-0815</t>
  </si>
  <si>
    <t>ANT-0817</t>
  </si>
  <si>
    <t>ANT-0819</t>
  </si>
  <si>
    <t>ANT-0820</t>
  </si>
  <si>
    <t>ANT-0825</t>
  </si>
  <si>
    <t>ANT-0828</t>
  </si>
  <si>
    <t>ANT-0830</t>
  </si>
  <si>
    <t>ANT-0834</t>
  </si>
  <si>
    <t>ANT-0840</t>
  </si>
  <si>
    <t>ANT-0844</t>
  </si>
  <si>
    <t>ANT-0848</t>
  </si>
  <si>
    <t>ANT-0851</t>
  </si>
  <si>
    <t>ANT-0857</t>
  </si>
  <si>
    <t>ANT-0859</t>
  </si>
  <si>
    <t>ANT-0860</t>
  </si>
  <si>
    <t>ANT-0861</t>
  </si>
  <si>
    <t>ANT-0864</t>
  </si>
  <si>
    <t>ANT-0866</t>
  </si>
  <si>
    <t>ANT-0867</t>
  </si>
  <si>
    <t>ANT-0868</t>
  </si>
  <si>
    <t>ANT-0873</t>
  </si>
  <si>
    <t>ANT-0874</t>
  </si>
  <si>
    <t>ANT-0885</t>
  </si>
  <si>
    <t>ANT-0886</t>
  </si>
  <si>
    <t>ANT-0887</t>
  </si>
  <si>
    <t>ANT-0888</t>
  </si>
  <si>
    <t>ANT-0891</t>
  </si>
  <si>
    <t>ANT-0892</t>
  </si>
  <si>
    <t>ANT-0896</t>
  </si>
  <si>
    <t>ANT-0897</t>
  </si>
  <si>
    <t>ANT-0898</t>
  </si>
  <si>
    <t>ANT-0901</t>
  </si>
  <si>
    <t>ANT-0903</t>
  </si>
  <si>
    <t>ANT-0905</t>
  </si>
  <si>
    <t>ANT-0911</t>
  </si>
  <si>
    <t>ANT-0912</t>
  </si>
  <si>
    <t>ANT-0919</t>
  </si>
  <si>
    <t>ANT-0920</t>
  </si>
  <si>
    <t>ANT-0922</t>
  </si>
  <si>
    <t>ANT-0924</t>
  </si>
  <si>
    <t>ANT-0927</t>
  </si>
  <si>
    <t>ANT-0930</t>
  </si>
  <si>
    <t>ANT-0932</t>
  </si>
  <si>
    <t>ANT-0944</t>
  </si>
  <si>
    <t>ANT-0951</t>
  </si>
  <si>
    <t>ANT-0955</t>
  </si>
  <si>
    <t>ANT-0958</t>
  </si>
  <si>
    <t>ANT-0960</t>
  </si>
  <si>
    <t>ANT-0963</t>
  </si>
  <si>
    <t>ANT-0967</t>
  </si>
  <si>
    <t>ANT-0968</t>
  </si>
  <si>
    <t>ANT-0969</t>
  </si>
  <si>
    <t>ANT-0971</t>
  </si>
  <si>
    <t>ANT-0973</t>
  </si>
  <si>
    <t>ANT-0974</t>
  </si>
  <si>
    <t>ANT-0976</t>
  </si>
  <si>
    <t>ANT-0977</t>
  </si>
  <si>
    <t>ANT-0978</t>
  </si>
  <si>
    <t>ANT-0980</t>
  </si>
  <si>
    <t>ANT-0983</t>
  </si>
  <si>
    <t>ANT-0987</t>
  </si>
  <si>
    <t>ANT-0996</t>
  </si>
  <si>
    <t>ANT-0998</t>
  </si>
  <si>
    <t>Étiquettes de lignes</t>
  </si>
  <si>
    <t>Total général</t>
  </si>
  <si>
    <t>Duree_Panne_Heure</t>
  </si>
  <si>
    <t>Somme de Duree_Panne_Heure</t>
  </si>
  <si>
    <t>Nombre de Statut_Resolution</t>
  </si>
  <si>
    <t>Moyenne des clients impactés</t>
  </si>
  <si>
    <t>Remise</t>
  </si>
  <si>
    <t>Anciennte_Anne</t>
  </si>
  <si>
    <t>Type_Client</t>
  </si>
  <si>
    <t>Montant remise</t>
  </si>
  <si>
    <t>Duree_Cumulee_Panne_Heure</t>
  </si>
  <si>
    <t>Nombre de ID_Client</t>
  </si>
  <si>
    <t>Somme de Montant remise</t>
  </si>
  <si>
    <t>(Plusieurs éléments)</t>
  </si>
  <si>
    <t>Clients_Churn_Part_05.xlsx</t>
  </si>
  <si>
    <t>Clients_Churn_Part_10.xlsx</t>
  </si>
  <si>
    <t>Clients_Churn_Part_08.xlsx</t>
  </si>
  <si>
    <t>Clients_Churn_Part_03.xlsx</t>
  </si>
  <si>
    <t>Clients_Churn_Part_07.xlsx</t>
  </si>
  <si>
    <t>Clients_Churn_Part_13.xlsx</t>
  </si>
  <si>
    <t>Clients_Churn_Part_06.xlsx</t>
  </si>
  <si>
    <t>Clients_Churn_Part_14.xlsx</t>
  </si>
  <si>
    <t>Clients_Churn_Part_15.xlsx</t>
  </si>
  <si>
    <t>Clients_Churn_Part_01.xlsx</t>
  </si>
  <si>
    <t>Clients_Churn_Part_04.xlsx</t>
  </si>
  <si>
    <t>Clients_Churn_Part_09.xlsx</t>
  </si>
  <si>
    <t>Clients_Churn_Part_12.xlsx</t>
  </si>
  <si>
    <t>Clients_Churn_Part_11.xlsx</t>
  </si>
  <si>
    <t>Clients_Churn_Part_02.xlsx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</si>
</sst>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[h]:mm:ss\ "/>
    <numFmt numFmtId="166" formatCode="[$$-409]#,##0"/>
    <numFmt numFmtId="167" formatCode="[$$-409]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1" applyFont="1"/>
  </cellXfs>
  <cellStyles count="2">
    <cellStyle name="Normal" xfId="0" builtinId="0"/>
    <cellStyle name="Pourcentage" xfId="1" builtinId="5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65" formatCode="[h]:mm:ss\ "/>
    </dxf>
    <dxf>
      <numFmt numFmtId="165" formatCode="[h]:mm:ss\ "/>
    </dxf>
    <dxf>
      <numFmt numFmtId="165" formatCode="[h]:mm:ss\ "/>
    </dxf>
    <dxf>
      <numFmt numFmtId="165" formatCode="[h]:mm:ss\ 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6" formatCode="[$$-409]#,##0"/>
    </dxf>
    <dxf>
      <numFmt numFmtId="167" formatCode="[$$-409]#,##0.00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1.700213194446" backgroundQuery="1" createdVersion="8" refreshedVersion="8" minRefreshableVersion="3" recordCount="0" supportSubquery="1" supportAdvancedDrill="1" xr:uid="{960FBFBC-E90C-49AF-9D01-BE962D80650F}">
  <cacheSource type="external" connectionId="10"/>
  <cacheFields count="4">
    <cacheField name="[Log_Reseau_Master].[Province_RDC].[Province_RDC]" caption="Province_RDC" numFmtId="0" hierarchy="6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Log_Reseau_Master].[Statut_Resolution].[Statut_Resolution]" caption="Statut_Resolution" numFmtId="0" hierarchy="5" level="1">
      <sharedItems count="2">
        <s v="En Cours"/>
        <s v="Non Résolu"/>
      </sharedItems>
    </cacheField>
    <cacheField name="[Measures].[Nombre de Statut_Resolution]" caption="Nombre de Statut_Resolution" numFmtId="0" hierarchy="9" level="32767"/>
    <cacheField name="[Measures].[Moyenne des clients impactés]" caption="Moyenne des clients impactés" numFmtId="0" hierarchy="10" level="32767"/>
  </cacheFields>
  <cacheHierarchies count="13">
    <cacheHierarchy uniqueName="[Log_Reseau_Master].[Source.Name]" caption="Source.Name" attribute="1" defaultMemberUniqueName="[Log_Reseau_Master].[Source.Name].[All]" allUniqueName="[Log_Reseau_Master].[Source.Name].[All]" dimensionUniqueName="[Log_Reseau_Master]" displayFolder="" count="0" memberValueDatatype="130" unbalanced="0"/>
    <cacheHierarchy uniqueName="[Log_Reseau_Master].[Date_Heure_Panne]" caption="Date_Heure_Panne" attribute="1" time="1" defaultMemberUniqueName="[Log_Reseau_Master].[Date_Heure_Panne].[All]" allUniqueName="[Log_Reseau_Master].[Date_Heure_Panne].[All]" dimensionUniqueName="[Log_Reseau_Master]" displayFolder="" count="0" memberValueDatatype="7" unbalanced="0"/>
    <cacheHierarchy uniqueName="[Log_Reseau_Master].[Duree_Panne_Heure]" caption="Duree_Panne_Heure" attribute="1" defaultMemberUniqueName="[Log_Reseau_Master].[Duree_Panne_Heure].[All]" allUniqueName="[Log_Reseau_Master].[Duree_Panne_Heure].[All]" dimensionUniqueName="[Log_Reseau_Master]" displayFolder="" count="0" memberValueDatatype="130" unbalanced="0"/>
    <cacheHierarchy uniqueName="[Log_Reseau_Master].[Cell_ID]" caption="Cell_ID" attribute="1" defaultMemberUniqueName="[Log_Reseau_Master].[Cell_ID].[All]" allUniqueName="[Log_Reseau_Master].[Cell_ID].[All]" dimensionUniqueName="[Log_Reseau_Master]" displayFolder="" count="0" memberValueDatatype="130" unbalanced="0"/>
    <cacheHierarchy uniqueName="[Log_Reseau_Master].[Duree_Panne_Min]" caption="Duree_Panne_Min" attribute="1" defaultMemberUniqueName="[Log_Reseau_Master].[Duree_Panne_Min].[All]" allUniqueName="[Log_Reseau_Master].[Duree_Panne_Min].[All]" dimensionUniqueName="[Log_Reseau_Master]" displayFolder="" count="0" memberValueDatatype="20" unbalanced="0"/>
    <cacheHierarchy uniqueName="[Log_Reseau_Master].[Statut_Resolution]" caption="Statut_Resolution" attribute="1" defaultMemberUniqueName="[Log_Reseau_Master].[Statut_Resolution].[All]" allUniqueName="[Log_Reseau_Master].[Statut_Resolution].[All]" dimensionUniqueName="[Log_Reseau_Master]" displayFolder="" count="2" memberValueDatatype="130" unbalanced="0">
      <fieldsUsage count="2">
        <fieldUsage x="-1"/>
        <fieldUsage x="1"/>
      </fieldsUsage>
    </cacheHierarchy>
    <cacheHierarchy uniqueName="[Log_Reseau_Master].[Province_RDC]" caption="Province_RDC" attribute="1" defaultMemberUniqueName="[Log_Reseau_Master].[Province_RDC].[All]" allUniqueName="[Log_Reseau_Master].[Province_RDC].[All]" dimensionUniqueName="[Log_Reseau_Master]" displayFolder="" count="2" memberValueDatatype="130" unbalanced="0">
      <fieldsUsage count="2">
        <fieldUsage x="-1"/>
        <fieldUsage x="0"/>
      </fieldsUsage>
    </cacheHierarchy>
    <cacheHierarchy uniqueName="[Log_Reseau_Master].[Technologie]" caption="Technologie" attribute="1" defaultMemberUniqueName="[Log_Reseau_Master].[Technologie].[All]" allUniqueName="[Log_Reseau_Master].[Technologie].[All]" dimensionUniqueName="[Log_Reseau_Master]" displayFolder="" count="0" memberValueDatatype="130" unbalanced="0"/>
    <cacheHierarchy uniqueName="[Log_Reseau_Master].[Equipementier]" caption="Equipementier" attribute="1" defaultMemberUniqueName="[Log_Reseau_Master].[Equipementier].[All]" allUniqueName="[Log_Reseau_Master].[Equipementier].[All]" dimensionUniqueName="[Log_Reseau_Master]" displayFolder="" count="0" memberValueDatatype="130" unbalanced="0"/>
    <cacheHierarchy uniqueName="[Measures].[Nombre de Statut_Resolution]" caption="Nombre de Statut_Resolution" measure="1" displayFolder="" measureGroup="Log_Reseau_Master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s clients impactés]" caption="Moyenne des clients impactés" measure="1" displayFolder="" measureGroup="Log_Reseau_Master" count="0" oneField="1">
      <fieldsUsage count="1">
        <fieldUsage x="3"/>
      </fieldsUsage>
    </cacheHierarchy>
    <cacheHierarchy uniqueName="[Measures].[__XL_Count Log_Reseau_Master]" caption="__XL_Count Log_Reseau_Master" measure="1" displayFolder="" measureGroup="Log_Reseau_Master" count="0" hidden="1"/>
    <cacheHierarchy uniqueName="[Measures].[__No measures defined]" caption="__No measures defined" measure="1" displayFolder="" count="0" hidden="1"/>
  </cacheHierarchies>
  <kpis count="0"/>
  <dimensions count="2">
    <dimension name="Log_Reseau_Master" uniqueName="[Log_Reseau_Master]" caption="Log_Reseau_Master"/>
    <dimension measure="1" name="Measures" uniqueName="[Measures]" caption="Measures"/>
  </dimensions>
  <measureGroups count="1">
    <measureGroup name="Log_Reseau_Master" caption="Log_Reseau_Mast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1.70021412037" createdVersion="8" refreshedVersion="8" minRefreshableVersion="3" recordCount="748" xr:uid="{4E287C74-7F0E-4595-88AA-CE5055994F7A}">
  <cacheSource type="worksheet">
    <worksheetSource name="Clients_Churn_Master"/>
  </cacheSource>
  <cacheFields count="13">
    <cacheField name="Source.Name" numFmtId="0">
      <sharedItems/>
    </cacheField>
    <cacheField name="ID_Client" numFmtId="0">
      <sharedItems/>
    </cacheField>
    <cacheField name="Anciennte_Anne" numFmtId="1">
      <sharedItems containsSemiMixedTypes="0" containsString="0" containsNumber="1" minValue="8.3333333333333329E-2" maxValue="10"/>
    </cacheField>
    <cacheField name="Province_Client" numFmtId="0">
      <sharedItems count="26">
        <s v="Tanganyika"/>
        <s v="Kwilu"/>
        <s v="Mongala"/>
        <s v="Kongo-Central"/>
        <s v="Haut-Lomami"/>
        <s v="Bas-Uele"/>
        <s v="Tshuapa"/>
        <s v="Maniema"/>
        <s v="Ituri"/>
        <s v="Nord-Kivu"/>
        <s v="Lomami"/>
        <s v="Sud-Kivu"/>
        <s v="Haut-Uele"/>
        <s v="Kasai"/>
        <s v="Haut-Katanga"/>
        <s v="Kasai-Central"/>
        <s v="Sud-Ubangi"/>
        <s v="Mai-Ndombe"/>
        <s v="Equateur"/>
        <s v="Kwango"/>
        <s v="Tshopo"/>
        <s v="Kasai-Oriental"/>
        <s v="Nord-Ubangi"/>
        <s v="Kinshasa"/>
        <s v="Sankuru"/>
        <s v="Lualaba"/>
      </sharedItems>
    </cacheField>
    <cacheField name="Anciennete_Mois" numFmtId="0">
      <sharedItems containsSemiMixedTypes="0" containsString="0" containsNumber="1" containsInteger="1" minValue="1" maxValue="120"/>
    </cacheField>
    <cacheField name="Type_Client" numFmtId="0">
      <sharedItems/>
    </cacheField>
    <cacheField name="Duree_Cumulee_Panne_Heure" numFmtId="164">
      <sharedItems containsSemiMixedTypes="0" containsNonDate="0" containsDate="1" containsString="0" minDate="1899-12-30T00:01:00" maxDate="1899-12-30T08:19:00"/>
    </cacheField>
    <cacheField name="Type_Forfait" numFmtId="0">
      <sharedItems/>
    </cacheField>
    <cacheField name="Duree_Cumulee_Panne_Min" numFmtId="0">
      <sharedItems containsSemiMixedTypes="0" containsString="0" containsNumber="1" containsInteger="1" minValue="1" maxValue="499"/>
    </cacheField>
    <cacheField name="Facture_Mensuelle" numFmtId="167">
      <sharedItems containsSemiMixedTypes="0" containsString="0" containsNumber="1" minValue="10" maxValue="99.93"/>
    </cacheField>
    <cacheField name="Plaintes_Service_Client" numFmtId="0">
      <sharedItems containsSemiMixedTypes="0" containsString="0" containsNumber="1" containsInteger="1" minValue="0" maxValue="5"/>
    </cacheField>
    <cacheField name="Remise" numFmtId="0">
      <sharedItems containsSemiMixedTypes="0" containsString="0" containsNumber="1" minValue="0" maxValue="0.45"/>
    </cacheField>
    <cacheField name="Montant remise" numFmtId="166">
      <sharedItems containsSemiMixedTypes="0" containsString="0" containsNumber="1" minValue="0" maxValue="44.968500000000006" count="507">
        <n v="0"/>
        <n v="38.097000000000001"/>
        <n v="9.5265000000000004"/>
        <n v="3.3740000000000006"/>
        <n v="4.6259999999999994"/>
        <n v="32.355000000000004"/>
        <n v="5.0175000000000001"/>
        <n v="2.1270000000000002"/>
        <n v="6.152000000000001"/>
        <n v="4.0880000000000001"/>
        <n v="37.6785"/>
        <n v="17.266500000000001"/>
        <n v="1"/>
        <n v="9.18"/>
        <n v="9.0129999999999999"/>
        <n v="44.0505"/>
        <n v="25.2225"/>
        <n v="12.5145"/>
        <n v="20.515500000000003"/>
        <n v="10.7235"/>
        <n v="25.051500000000001"/>
        <n v="35.140500000000003"/>
        <n v="12.537000000000001"/>
        <n v="4.8640000000000008"/>
        <n v="18.909000000000002"/>
        <n v="4.585"/>
        <n v="4.9005000000000001"/>
        <n v="24.4665"/>
        <n v="39.654000000000003"/>
        <n v="4.7115"/>
        <n v="17.527500000000003"/>
        <n v="34.389000000000003"/>
        <n v="20.178000000000001"/>
        <n v="8.6"/>
        <n v="29.470499999999998"/>
        <n v="3.6930000000000001"/>
        <n v="10.849500000000001"/>
        <n v="14.166"/>
        <n v="12.770999999999999"/>
        <n v="37.034999999999997"/>
        <n v="5.9445000000000006"/>
        <n v="34.704000000000001"/>
        <n v="4.3810000000000002"/>
        <n v="36.499499999999998"/>
        <n v="39.015000000000001"/>
        <n v="39.860999999999997"/>
        <n v="1.9470000000000001"/>
        <n v="3.5380000000000003"/>
        <n v="16.389000000000003"/>
        <n v="32.755500000000005"/>
        <n v="24.9435"/>
        <n v="14.436"/>
        <n v="1.5390000000000001"/>
        <n v="37.53"/>
        <n v="6.2865000000000002"/>
        <n v="11.691000000000001"/>
        <n v="19.048500000000001"/>
        <n v="31.239000000000001"/>
        <n v="13.959"/>
        <n v="43.762500000000003"/>
        <n v="3.258"/>
        <n v="9.49"/>
        <n v="16.686"/>
        <n v="12.177"/>
        <n v="19.791"/>
        <n v="43.609499999999997"/>
        <n v="8.6219999999999999"/>
        <n v="3.798"/>
        <n v="6.2869999999999999"/>
        <n v="5.4494999999999996"/>
        <n v="21.739500000000003"/>
        <n v="18.828000000000003"/>
        <n v="13.041"/>
        <n v="28.934999999999999"/>
        <n v="12.775500000000001"/>
        <n v="7.0695000000000006"/>
        <n v="27.5715"/>
        <n v="34.082999999999998"/>
        <n v="8.4450000000000003"/>
        <n v="22.698"/>
        <n v="26.271000000000001"/>
        <n v="37.215000000000003"/>
        <n v="4.657"/>
        <n v="2.8550000000000004"/>
        <n v="16.443000000000001"/>
        <n v="29.493000000000002"/>
        <n v="31.094999999999999"/>
        <n v="14.31"/>
        <n v="36.985500000000002"/>
        <n v="34.146000000000001"/>
        <n v="2.355"/>
        <n v="24.241499999999998"/>
        <n v="20.371500000000001"/>
        <n v="42.799500000000002"/>
        <n v="29.1465"/>
        <n v="41.22"/>
        <n v="37.264500000000005"/>
        <n v="23.8095"/>
        <n v="24.111000000000001"/>
        <n v="4.1350000000000007"/>
        <n v="6.3540000000000001"/>
        <n v="36.567"/>
        <n v="29.461500000000001"/>
        <n v="5.2850000000000001"/>
        <n v="17.145"/>
        <n v="17.0595"/>
        <n v="43.784999999999997"/>
        <n v="28.953000000000003"/>
        <n v="32.274000000000001"/>
        <n v="20.259"/>
        <n v="26.964000000000002"/>
        <n v="40.297499999999999"/>
        <n v="27.693000000000001"/>
        <n v="22.261500000000002"/>
        <n v="7.1370000000000005"/>
        <n v="44.001000000000005"/>
        <n v="32.368500000000004"/>
        <n v="24.03"/>
        <n v="6.8039999999999994"/>
        <n v="16.843499999999999"/>
        <n v="4.0579999999999998"/>
        <n v="23.971500000000002"/>
        <n v="41.832000000000001"/>
        <n v="8.668000000000001"/>
        <n v="5.1280000000000001"/>
        <n v="23.688000000000002"/>
        <n v="26.64"/>
        <n v="26.226000000000003"/>
        <n v="16.515000000000001"/>
        <n v="29.641500000000004"/>
        <n v="27.427500000000002"/>
        <n v="17.8065"/>
        <n v="33.164999999999999"/>
        <n v="13.392000000000001"/>
        <n v="3.8490000000000002"/>
        <n v="38.983499999999999"/>
        <n v="26.365500000000001"/>
        <n v="17.9145"/>
        <n v="39.7575"/>
        <n v="40.302"/>
        <n v="5.5289999999999999"/>
        <n v="6.8790000000000013"/>
        <n v="41.094000000000001"/>
        <n v="32.823"/>
        <n v="5.6340000000000003"/>
        <n v="30.244499999999999"/>
        <n v="39.613500000000002"/>
        <n v="16.807500000000001"/>
        <n v="4.5510000000000002"/>
        <n v="13.05"/>
        <n v="34.686"/>
        <n v="16.114500000000003"/>
        <n v="2.97"/>
        <n v="22.747499999999999"/>
        <n v="19.377000000000002"/>
        <n v="36.706499999999998"/>
        <n v="8.8559999999999999"/>
        <n v="9.7515000000000018"/>
        <n v="9.5530000000000008"/>
        <n v="21.474"/>
        <n v="1.877"/>
        <n v="37.683"/>
        <n v="42.705000000000005"/>
        <n v="12.0375"/>
        <n v="12.807"/>
        <n v="3.78"/>
        <n v="14.112"/>
        <n v="21.519000000000002"/>
        <n v="8.581999999999999"/>
        <n v="28.053000000000001"/>
        <n v="44.401499999999999"/>
        <n v="9.6704999999999988"/>
        <n v="8.0680000000000014"/>
        <n v="44.091000000000001"/>
        <n v="40.850999999999999"/>
        <n v="14.557500000000001"/>
        <n v="2.907"/>
        <n v="13.1175"/>
        <n v="8.275500000000001"/>
        <n v="31.540500000000002"/>
        <n v="16.623000000000001"/>
        <n v="39.865500000000004"/>
        <n v="8.2260000000000009"/>
        <n v="11.808"/>
        <n v="30.541500000000003"/>
        <n v="9.6310000000000002"/>
        <n v="34.056000000000004"/>
        <n v="18.598500000000001"/>
        <n v="16.290000000000003"/>
        <n v="27.697499999999998"/>
        <n v="43.465500000000006"/>
        <n v="30.901500000000002"/>
        <n v="37.570499999999996"/>
        <n v="40.554000000000002"/>
        <n v="9.4510000000000005"/>
        <n v="24.313500000000001"/>
        <n v="9.4815000000000005"/>
        <n v="16.636500000000002"/>
        <n v="24.8355"/>
        <n v="8.2650000000000006"/>
        <n v="43.344000000000001"/>
        <n v="27.890999999999998"/>
        <n v="24.1785"/>
        <n v="38.587499999999999"/>
        <n v="18.859500000000001"/>
        <n v="28.764000000000003"/>
        <n v="36.161999999999999"/>
        <n v="31.509"/>
        <n v="44.176500000000004"/>
        <n v="35.298000000000002"/>
        <n v="21.6585"/>
        <n v="18.747"/>
        <n v="30.604500000000002"/>
        <n v="6.8265000000000002"/>
        <n v="25.578000000000003"/>
        <n v="25.280999999999999"/>
        <n v="40.027500000000003"/>
        <n v="25.146000000000001"/>
        <n v="44.149500000000003"/>
        <n v="11.0565"/>
        <n v="22.162500000000001"/>
        <n v="3.9000000000000004"/>
        <n v="40.8825"/>
        <n v="8.9190000000000005"/>
        <n v="12.586499999999999"/>
        <n v="14.620500000000002"/>
        <n v="3.9350000000000005"/>
        <n v="22.567499999999999"/>
        <n v="30.267000000000003"/>
        <n v="40.815000000000005"/>
        <n v="4.9050000000000002"/>
        <n v="11.416500000000001"/>
        <n v="7.6050000000000004"/>
        <n v="3.9880000000000004"/>
        <n v="5.4640000000000004"/>
        <n v="33.408000000000001"/>
        <n v="8.2560000000000002"/>
        <n v="43.456499999999998"/>
        <n v="5.4430000000000005"/>
        <n v="3.9180000000000001"/>
        <n v="9.0140000000000011"/>
        <n v="7.7770000000000001"/>
        <n v="36.972000000000001"/>
        <n v="6.6360000000000001"/>
        <n v="8.9010000000000016"/>
        <n v="37.651499999999999"/>
        <n v="18.396000000000001"/>
        <n v="43.793999999999997"/>
        <n v="39.644999999999996"/>
        <n v="39.051000000000002"/>
        <n v="40.8645"/>
        <n v="7.65"/>
        <n v="6.6464999999999996"/>
        <n v="5.2335000000000003"/>
        <n v="1.1460000000000001"/>
        <n v="39.257999999999996"/>
        <n v="33.7455"/>
        <n v="30.951000000000001"/>
        <n v="5.694"/>
        <n v="6.1289999999999996"/>
        <n v="10.2645"/>
        <n v="18.8325"/>
        <n v="34.92"/>
        <n v="13.2165"/>
        <n v="5.0804999999999998"/>
        <n v="15.192"/>
        <n v="6.4349999999999996"/>
        <n v="43.425000000000004"/>
        <n v="9.2720000000000002"/>
        <n v="22.054500000000001"/>
        <n v="19.777500000000003"/>
        <n v="8.5540000000000003"/>
        <n v="43.339500000000001"/>
        <n v="6.7545000000000002"/>
        <n v="28.174500000000002"/>
        <n v="4.6979999999999995"/>
        <n v="24.961500000000001"/>
        <n v="9.2789999999999999"/>
        <n v="39.996000000000002"/>
        <n v="15.826500000000001"/>
        <n v="13.131"/>
        <n v="14.202"/>
        <n v="33.615000000000002"/>
        <n v="10.5075"/>
        <n v="1.0980000000000001"/>
        <n v="25.353000000000002"/>
        <n v="18.864000000000001"/>
        <n v="31.536000000000001"/>
        <n v="18.130500000000001"/>
        <n v="24.768000000000001"/>
        <n v="35.167500000000004"/>
        <n v="26.757000000000001"/>
        <n v="26.981999999999999"/>
        <n v="5.3970000000000002"/>
        <n v="26.941499999999998"/>
        <n v="7.6750000000000007"/>
        <n v="32.035499999999999"/>
        <n v="15.9435"/>
        <n v="31.319999999999997"/>
        <n v="4.4140000000000006"/>
        <n v="15.763500000000001"/>
        <n v="36.153000000000006"/>
        <n v="27.279"/>
        <n v="23.256"/>
        <n v="9.56"/>
        <n v="33.443999999999996"/>
        <n v="25.5015"/>
        <n v="2.4950000000000001"/>
        <n v="3.8360000000000003"/>
        <n v="37.943999999999996"/>
        <n v="32.183999999999997"/>
        <n v="17.644500000000001"/>
        <n v="23.413500000000003"/>
        <n v="4.7070000000000007"/>
        <n v="26.842500000000001"/>
        <n v="22.472999999999999"/>
        <n v="29.236499999999999"/>
        <n v="40.819499999999998"/>
        <n v="42.826500000000003"/>
        <n v="5.4405000000000001"/>
        <n v="8.7480000000000011"/>
        <n v="36.216000000000001"/>
        <n v="38.582999999999998"/>
        <n v="27.157500000000002"/>
        <n v="26.401500000000002"/>
        <n v="4.2510000000000003"/>
        <n v="28.296000000000003"/>
        <n v="28.723500000000001"/>
        <n v="9.4320000000000004"/>
        <n v="17.019000000000002"/>
        <n v="4.399"/>
        <n v="26.433"/>
        <n v="8.8920000000000012"/>
        <n v="22.059000000000001"/>
        <n v="13.554"/>
        <n v="9.5709999999999997"/>
        <n v="6.3670000000000009"/>
        <n v="5.9355000000000002"/>
        <n v="10.170000000000002"/>
        <n v="34.298999999999999"/>
        <n v="8.6670000000000016"/>
        <n v="2.6300000000000003"/>
        <n v="25.515000000000001"/>
        <n v="30.564"/>
        <n v="11.785500000000001"/>
        <n v="26.343"/>
        <n v="14.751000000000001"/>
        <n v="2.6260000000000003"/>
        <n v="43.5015"/>
        <n v="10.0755"/>
        <n v="39.982500000000002"/>
        <n v="8.3819999999999997"/>
        <n v="12.028500000000001"/>
        <n v="22.41"/>
        <n v="12.388500000000001"/>
        <n v="29.52"/>
        <n v="36.922499999999999"/>
        <n v="44.923499999999997"/>
        <n v="30.343500000000002"/>
        <n v="28.651500000000002"/>
        <n v="10.471500000000001"/>
        <n v="28.899000000000001"/>
        <n v="8.1489999999999991"/>
        <n v="16.866"/>
        <n v="36.207000000000001"/>
        <n v="5.4585000000000008"/>
        <n v="28.116"/>
        <n v="11.029500000000001"/>
        <n v="11.038500000000001"/>
        <n v="43.8795"/>
        <n v="12.6495"/>
        <n v="9.3600000000000012"/>
        <n v="5.766"/>
        <n v="8.1315000000000008"/>
        <n v="3.4140000000000001"/>
        <n v="5.8005000000000004"/>
        <n v="6.6509999999999998"/>
        <n v="30.780000000000005"/>
        <n v="33.228000000000002"/>
        <n v="38.290500000000002"/>
        <n v="42.808500000000002"/>
        <n v="18.895500000000002"/>
        <n v="14.148000000000001"/>
        <n v="43.082999999999998"/>
        <n v="22.702500000000001"/>
        <n v="6.1920000000000002"/>
        <n v="38.227499999999999"/>
        <n v="2.6630000000000003"/>
        <n v="26.145"/>
        <n v="6.3740000000000006"/>
        <n v="24.561"/>
        <n v="15.646500000000001"/>
        <n v="22.6755"/>
        <n v="5.226"/>
        <n v="23.4315"/>
        <n v="28.921499999999998"/>
        <n v="33.489000000000004"/>
        <n v="8.5274999999999999"/>
        <n v="25.596"/>
        <n v="18.027000000000001"/>
        <n v="31.864500000000003"/>
        <n v="2.7040000000000002"/>
        <n v="32.337000000000003"/>
        <n v="7.3304999999999998"/>
        <n v="44.968500000000006"/>
        <n v="8.8840000000000003"/>
        <n v="30.496499999999997"/>
        <n v="41.76"/>
        <n v="39.316500000000005"/>
        <n v="38.218500000000006"/>
        <n v="32.404500000000006"/>
        <n v="10.813500000000001"/>
        <n v="10.354500000000002"/>
        <n v="37.323"/>
        <n v="20.321999999999999"/>
        <n v="30.123000000000001"/>
        <n v="12.06"/>
        <n v="43.767000000000003"/>
        <n v="26.216999999999999"/>
        <n v="43.433999999999997"/>
        <n v="4.7610000000000001"/>
        <n v="41.899500000000003"/>
        <n v="36.621000000000002"/>
        <n v="7.8480000000000008"/>
        <n v="28.930500000000002"/>
        <n v="39.505500000000005"/>
        <n v="36.031500000000001"/>
        <n v="32.868000000000002"/>
        <n v="11.988000000000001"/>
        <n v="29.618999999999996"/>
        <n v="17.811"/>
        <n v="24.124500000000001"/>
        <n v="24.826500000000003"/>
        <n v="15.021000000000001"/>
        <n v="35.617500000000007"/>
        <n v="5.2710000000000008"/>
        <n v="18.229499999999998"/>
        <n v="29.128500000000003"/>
        <n v="3.54"/>
        <n v="15.5565"/>
        <n v="34.438500000000005"/>
        <n v="44.198999999999998"/>
        <n v="31.455000000000002"/>
        <n v="36.323999999999998"/>
        <n v="8.6189999999999998"/>
        <n v="37.457999999999998"/>
        <n v="4.9060000000000006"/>
        <n v="4.016"/>
        <n v="27.540000000000003"/>
        <n v="10.3995"/>
        <n v="9.8770000000000007"/>
        <n v="11.276999999999999"/>
        <n v="34.371000000000002"/>
        <n v="7.3730000000000011"/>
        <n v="13.3065"/>
        <n v="29.853000000000002"/>
        <n v="42.291000000000004"/>
        <n v="36.036000000000001"/>
        <n v="17.221500000000002"/>
        <n v="7.3120000000000012"/>
        <n v="14.0625"/>
        <n v="7.3125"/>
        <n v="12.829500000000001"/>
        <n v="8.3160000000000007"/>
        <n v="13.9725"/>
        <n v="9.8010000000000019"/>
        <n v="44.298000000000002"/>
        <n v="24.583500000000001"/>
        <n v="20.3445"/>
        <n v="25.587"/>
        <n v="13.157999999999999"/>
        <n v="27.153000000000002"/>
        <n v="30.676500000000001"/>
        <n v="33.763500000000001"/>
        <n v="6.3460000000000001"/>
        <n v="32.292000000000002"/>
        <n v="41.377500000000005"/>
        <n v="41.683500000000002"/>
        <n v="9.7580000000000009"/>
        <n v="33.867000000000004"/>
        <n v="12.852"/>
        <n v="5.3940000000000001"/>
        <n v="27.567"/>
        <n v="27.706500000000002"/>
        <n v="2.7330000000000001"/>
        <n v="4.8914999999999997"/>
        <n v="27.6435"/>
        <n v="24.142499999999998"/>
        <n v="38.132999999999996"/>
        <n v="16.618500000000001"/>
        <n v="14.868"/>
        <n v="32.543999999999997"/>
        <n v="6.9390000000000001"/>
        <n v="29.4345"/>
        <n v="34.384500000000003"/>
        <n v="37.512"/>
        <n v="20.835000000000001"/>
        <n v="9.5129999999999999"/>
        <n v="31.1265"/>
        <n v="12.447000000000001"/>
        <n v="7.0120000000000005"/>
        <n v="17.873999999999999"/>
        <n v="23.107500000000002"/>
        <n v="11.173499999999999"/>
        <n v="42.214500000000001"/>
        <n v="37.777500000000003"/>
        <n v="2.83500000000000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1.700215277779" createdVersion="8" refreshedVersion="8" minRefreshableVersion="3" recordCount="1068" xr:uid="{B1B85799-E05E-452F-A119-D3EE83A6EEDC}">
  <cacheSource type="worksheet">
    <worksheetSource name="Log_Reseau_Master"/>
  </cacheSource>
  <cacheFields count="9">
    <cacheField name="Source.Name" numFmtId="0">
      <sharedItems/>
    </cacheField>
    <cacheField name="Date_Heure_Panne" numFmtId="22">
      <sharedItems containsSemiMixedTypes="0" containsNonDate="0" containsDate="1" containsString="0" minDate="2023-10-01T01:34:00" maxDate="2023-10-31T23:57:00"/>
    </cacheField>
    <cacheField name="Duree_Panne_Heure" numFmtId="0">
      <sharedItems containsSemiMixedTypes="0" containsDate="1" containsString="0" containsMixedTypes="1" minDate="1899-12-30T00:05:00" maxDate="1899-12-30T00:00:00"/>
    </cacheField>
    <cacheField name="Cell_ID" numFmtId="0">
      <sharedItems/>
    </cacheField>
    <cacheField name="Duree_Panne_Min" numFmtId="0">
      <sharedItems containsSemiMixedTypes="0" containsString="0" containsNumber="1" containsInteger="1" minValue="5" maxValue="120"/>
    </cacheField>
    <cacheField name="Statut_Resolution" numFmtId="0">
      <sharedItems/>
    </cacheField>
    <cacheField name="Province_RDC" numFmtId="0">
      <sharedItems count="27">
        <s v="Nord-Ubangi"/>
        <s v="Mai-Ndombe"/>
        <s v="Pas de correspondance"/>
        <s v="Bas-Uele"/>
        <s v="Tshopo"/>
        <s v="Haut-Lomami"/>
        <s v="Haut-Katanga"/>
        <s v="Kasai"/>
        <s v="Kinshasa"/>
        <s v="Lomami"/>
        <s v="Ituri"/>
        <s v="Mongala"/>
        <s v="Kasai-Central"/>
        <s v="Nord-Kivu"/>
        <s v="Kasai-Oriental"/>
        <s v="Sankuru"/>
        <s v="Sud-Ubangi"/>
        <s v="Maniema"/>
        <s v="Tshuapa"/>
        <s v="Sud-Kivu"/>
        <s v="Lualaba"/>
        <s v="Kongo-Central"/>
        <s v="Haut-Uele"/>
        <s v="Equateur"/>
        <s v="Tanganyika"/>
        <s v="Kwilu"/>
        <s v="Kwango"/>
      </sharedItems>
    </cacheField>
    <cacheField name="Technologie" numFmtId="0">
      <sharedItems count="4">
        <s v="4G"/>
        <s v="Pas de correspondance"/>
        <s v="5G"/>
        <s v="3G"/>
      </sharedItems>
    </cacheField>
    <cacheField name="Equipemen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s v="Clients_Churn_Part_05.xlsx"/>
    <s v="CLI-00007"/>
    <n v="9.1666666666666661"/>
    <x v="0"/>
    <n v="110"/>
    <s v="B2C"/>
    <d v="1899-12-30T01:52:00"/>
    <s v="Bloqué 5Go"/>
    <n v="112"/>
    <n v="98.95"/>
    <n v="5"/>
    <n v="0"/>
    <x v="0"/>
  </r>
  <r>
    <s v="Clients_Churn_Part_10.xlsx"/>
    <s v="CLI-00009"/>
    <n v="8.75"/>
    <x v="1"/>
    <n v="105"/>
    <s v="B2B"/>
    <d v="1899-12-30T04:57:00"/>
    <s v="Pro Monde"/>
    <n v="297"/>
    <n v="84.66"/>
    <n v="2"/>
    <n v="0.45"/>
    <x v="1"/>
  </r>
  <r>
    <s v="Clients_Churn_Part_08.xlsx"/>
    <s v="CLI-00011"/>
    <n v="4.083333333333333"/>
    <x v="2"/>
    <n v="49"/>
    <s v="B2C"/>
    <d v="1899-12-30T01:26:00"/>
    <s v="Illimité 50Go"/>
    <n v="86"/>
    <n v="65.400000000000006"/>
    <n v="2"/>
    <n v="0"/>
    <x v="0"/>
  </r>
  <r>
    <s v="Clients_Churn_Part_10.xlsx"/>
    <s v="CLI-00012"/>
    <n v="8.75"/>
    <x v="3"/>
    <n v="105"/>
    <s v="B2C"/>
    <d v="1899-12-30T02:52:00"/>
    <s v="Illimité 50Go"/>
    <n v="172"/>
    <n v="15.88"/>
    <n v="5"/>
    <n v="0"/>
    <x v="0"/>
  </r>
  <r>
    <s v="Clients_Churn_Part_03.xlsx"/>
    <s v="CLI-00017"/>
    <n v="2.4166666666666665"/>
    <x v="0"/>
    <n v="29"/>
    <s v="B2C"/>
    <d v="1899-12-30T02:04:00"/>
    <s v="Illimité 50Go"/>
    <n v="124"/>
    <n v="43.83"/>
    <n v="5"/>
    <n v="0"/>
    <x v="0"/>
  </r>
  <r>
    <s v="Clients_Churn_Part_07.xlsx"/>
    <s v="CLI-00022"/>
    <n v="6.416666666666667"/>
    <x v="4"/>
    <n v="77"/>
    <s v="B2C"/>
    <d v="1899-12-30T08:08:00"/>
    <s v="Premium 5G 150Go"/>
    <n v="488"/>
    <n v="21.17"/>
    <n v="0"/>
    <n v="0.45"/>
    <x v="2"/>
  </r>
  <r>
    <s v="Clients_Churn_Part_13.xlsx"/>
    <s v="CLI-00028"/>
    <n v="1.5"/>
    <x v="1"/>
    <n v="18"/>
    <s v="B2B"/>
    <d v="1899-12-30T03:36:00"/>
    <s v="Pro Monde"/>
    <n v="216"/>
    <n v="33.74"/>
    <n v="5"/>
    <n v="0.1"/>
    <x v="3"/>
  </r>
  <r>
    <s v="Clients_Churn_Part_06.xlsx"/>
    <s v="CLI-00029"/>
    <n v="9.9166666666666661"/>
    <x v="5"/>
    <n v="119"/>
    <s v="B2B"/>
    <d v="1899-12-30T05:44:00"/>
    <s v="Pro Monde"/>
    <n v="344"/>
    <n v="10.28"/>
    <n v="0"/>
    <n v="0.45"/>
    <x v="4"/>
  </r>
  <r>
    <s v="Clients_Churn_Part_14.xlsx"/>
    <s v="CLI-00033"/>
    <n v="0.16666666666666666"/>
    <x v="6"/>
    <n v="2"/>
    <s v="B2C"/>
    <d v="1899-12-30T03:21:00"/>
    <s v="Premium 5G 150Go"/>
    <n v="201"/>
    <n v="71.900000000000006"/>
    <n v="2"/>
    <n v="0.45"/>
    <x v="5"/>
  </r>
  <r>
    <s v="Clients_Churn_Part_13.xlsx"/>
    <s v="CLI-00034"/>
    <n v="2.0833333333333335"/>
    <x v="3"/>
    <n v="25"/>
    <s v="B2C"/>
    <d v="1899-12-30T01:35:00"/>
    <s v="Bloqué 5Go"/>
    <n v="95"/>
    <n v="15.93"/>
    <n v="4"/>
    <n v="0"/>
    <x v="0"/>
  </r>
  <r>
    <s v="Clients_Churn_Part_13.xlsx"/>
    <s v="CLI-00037"/>
    <n v="2.9166666666666665"/>
    <x v="0"/>
    <n v="35"/>
    <s v="B2C"/>
    <d v="1899-12-30T05:32:00"/>
    <s v="Premium 5G 150Go"/>
    <n v="332"/>
    <n v="11.15"/>
    <n v="0"/>
    <n v="0.45"/>
    <x v="6"/>
  </r>
  <r>
    <s v="Clients_Churn_Part_15.xlsx"/>
    <s v="CLI-00039"/>
    <n v="9.9166666666666661"/>
    <x v="7"/>
    <n v="119"/>
    <s v="B2B"/>
    <d v="1899-12-30T00:31:00"/>
    <s v="Pro Monde"/>
    <n v="31"/>
    <n v="21.27"/>
    <n v="5"/>
    <n v="0.1"/>
    <x v="7"/>
  </r>
  <r>
    <s v="Clients_Churn_Part_01.xlsx"/>
    <s v="CLI-00041"/>
    <n v="8.5833333333333339"/>
    <x v="8"/>
    <n v="103"/>
    <s v="B2B"/>
    <d v="1899-12-30T01:45:00"/>
    <s v="Pro Monde"/>
    <n v="105"/>
    <n v="61.52"/>
    <n v="3"/>
    <n v="0.1"/>
    <x v="8"/>
  </r>
  <r>
    <s v="Clients_Churn_Part_06.xlsx"/>
    <s v="CLI-00043"/>
    <n v="9.8333333333333339"/>
    <x v="9"/>
    <n v="118"/>
    <s v="B2B"/>
    <d v="1899-12-30T02:12:00"/>
    <s v="Pro Monde"/>
    <n v="132"/>
    <n v="40.880000000000003"/>
    <n v="4"/>
    <n v="0.1"/>
    <x v="9"/>
  </r>
  <r>
    <s v="Clients_Churn_Part_03.xlsx"/>
    <s v="CLI-00044"/>
    <n v="4.416666666666667"/>
    <x v="10"/>
    <n v="53"/>
    <s v="B2C"/>
    <d v="1899-12-30T05:45:00"/>
    <s v="Illimité 50Go"/>
    <n v="345"/>
    <n v="83.73"/>
    <n v="0"/>
    <n v="0.45"/>
    <x v="10"/>
  </r>
  <r>
    <s v="Clients_Churn_Part_14.xlsx"/>
    <s v="CLI-00045"/>
    <n v="2.75"/>
    <x v="0"/>
    <n v="33"/>
    <s v="B2C"/>
    <d v="1899-12-30T00:54:00"/>
    <s v="Bloqué 5Go"/>
    <n v="54"/>
    <n v="71.319999999999993"/>
    <n v="4"/>
    <n v="0"/>
    <x v="0"/>
  </r>
  <r>
    <s v="Clients_Churn_Part_06.xlsx"/>
    <s v="CLI-00048"/>
    <n v="1.3333333333333333"/>
    <x v="8"/>
    <n v="16"/>
    <s v="B2C"/>
    <d v="1899-12-30T07:41:00"/>
    <s v="Bloqué 5Go"/>
    <n v="461"/>
    <n v="38.369999999999997"/>
    <n v="4"/>
    <n v="0.45"/>
    <x v="11"/>
  </r>
  <r>
    <s v="Clients_Churn_Part_10.xlsx"/>
    <s v="CLI-00054"/>
    <n v="2.8333333333333335"/>
    <x v="11"/>
    <n v="34"/>
    <s v="B2C"/>
    <d v="1899-12-30T00:40:00"/>
    <s v="Bloqué 5Go"/>
    <n v="40"/>
    <n v="65.709999999999994"/>
    <n v="5"/>
    <n v="0"/>
    <x v="0"/>
  </r>
  <r>
    <s v="Clients_Churn_Part_14.xlsx"/>
    <s v="CLI-00055"/>
    <n v="0.5"/>
    <x v="12"/>
    <n v="6"/>
    <s v="B2B"/>
    <d v="1899-12-30T03:26:00"/>
    <s v="Pro Monde"/>
    <n v="206"/>
    <n v="10"/>
    <n v="5"/>
    <n v="0.1"/>
    <x v="12"/>
  </r>
  <r>
    <s v="Clients_Churn_Part_05.xlsx"/>
    <s v="CLI-00057"/>
    <n v="0.33333333333333331"/>
    <x v="13"/>
    <n v="4"/>
    <s v="B2C"/>
    <d v="1899-12-30T03:02:00"/>
    <s v="Bloqué 5Go"/>
    <n v="182"/>
    <n v="89.56"/>
    <n v="4"/>
    <n v="0"/>
    <x v="0"/>
  </r>
  <r>
    <s v="Clients_Churn_Part_07.xlsx"/>
    <s v="CLI-00059"/>
    <n v="5.75"/>
    <x v="14"/>
    <n v="69"/>
    <s v="B2B"/>
    <d v="1899-12-30T01:16:00"/>
    <s v="Pro Monde"/>
    <n v="76"/>
    <n v="91.8"/>
    <n v="5"/>
    <n v="0.1"/>
    <x v="13"/>
  </r>
  <r>
    <s v="Clients_Churn_Part_01.xlsx"/>
    <s v="CLI-00060"/>
    <n v="6"/>
    <x v="15"/>
    <n v="72"/>
    <s v="B2B"/>
    <d v="1899-12-30T02:40:00"/>
    <s v="Pro Monde"/>
    <n v="160"/>
    <n v="90.13"/>
    <n v="2"/>
    <n v="0.1"/>
    <x v="14"/>
  </r>
  <r>
    <s v="Clients_Churn_Part_04.xlsx"/>
    <s v="CLI-00070"/>
    <n v="4.333333333333333"/>
    <x v="16"/>
    <n v="52"/>
    <s v="B2C"/>
    <d v="1899-12-30T01:59:00"/>
    <s v="Illimité 50Go"/>
    <n v="119"/>
    <n v="64.709999999999994"/>
    <n v="4"/>
    <n v="0"/>
    <x v="0"/>
  </r>
  <r>
    <s v="Clients_Churn_Part_03.xlsx"/>
    <s v="CLI-00072"/>
    <n v="5.583333333333333"/>
    <x v="13"/>
    <n v="67"/>
    <s v="B2C"/>
    <d v="1899-12-30T04:24:00"/>
    <s v="Illimité 50Go"/>
    <n v="264"/>
    <n v="97.89"/>
    <n v="1"/>
    <n v="0.45"/>
    <x v="15"/>
  </r>
  <r>
    <s v="Clients_Churn_Part_09.xlsx"/>
    <s v="CLI-00074"/>
    <n v="6.5"/>
    <x v="3"/>
    <n v="78"/>
    <s v="B2C"/>
    <d v="1899-12-30T01:00:00"/>
    <s v="Premium 5G 150Go"/>
    <n v="60"/>
    <n v="33.159999999999997"/>
    <n v="5"/>
    <n v="0"/>
    <x v="0"/>
  </r>
  <r>
    <s v="Clients_Churn_Part_01.xlsx"/>
    <s v="CLI-00076"/>
    <n v="3.8333333333333335"/>
    <x v="14"/>
    <n v="46"/>
    <s v="B2C"/>
    <d v="1899-12-30T04:43:00"/>
    <s v="Premium 5G 150Go"/>
    <n v="283"/>
    <n v="56.05"/>
    <n v="1"/>
    <n v="0.45"/>
    <x v="16"/>
  </r>
  <r>
    <s v="Clients_Churn_Part_12.xlsx"/>
    <s v="CLI-00083"/>
    <n v="1.4166666666666667"/>
    <x v="12"/>
    <n v="17"/>
    <s v="B2C"/>
    <d v="1899-12-30T08:19:00"/>
    <s v="Premium 5G 150Go"/>
    <n v="499"/>
    <n v="27.81"/>
    <n v="2"/>
    <n v="0.45"/>
    <x v="17"/>
  </r>
  <r>
    <s v="Clients_Churn_Part_09.xlsx"/>
    <s v="CLI-00084"/>
    <n v="1.25"/>
    <x v="3"/>
    <n v="15"/>
    <s v="B2C"/>
    <d v="1899-12-30T01:15:00"/>
    <s v="Premium 5G 150Go"/>
    <n v="75"/>
    <n v="45.59"/>
    <n v="0"/>
    <n v="0.45"/>
    <x v="18"/>
  </r>
  <r>
    <s v="Clients_Churn_Part_08.xlsx"/>
    <s v="CLI-00085"/>
    <n v="8.8333333333333339"/>
    <x v="2"/>
    <n v="106"/>
    <s v="B2B"/>
    <d v="1899-12-30T07:09:00"/>
    <s v="Pro Monde"/>
    <n v="429"/>
    <n v="23.83"/>
    <n v="1"/>
    <n v="0.45"/>
    <x v="19"/>
  </r>
  <r>
    <s v="Clients_Churn_Part_01.xlsx"/>
    <s v="CLI-00087"/>
    <n v="1.1666666666666667"/>
    <x v="13"/>
    <n v="14"/>
    <s v="B2C"/>
    <d v="1899-12-30T01:15:00"/>
    <s v="Premium 5G 150Go"/>
    <n v="75"/>
    <n v="55.67"/>
    <n v="3"/>
    <n v="0.45"/>
    <x v="20"/>
  </r>
  <r>
    <s v="Clients_Churn_Part_10.xlsx"/>
    <s v="CLI-00090"/>
    <n v="1.25"/>
    <x v="17"/>
    <n v="15"/>
    <s v="B2C"/>
    <d v="1899-12-30T06:40:00"/>
    <s v="Bloqué 5Go"/>
    <n v="400"/>
    <n v="78.09"/>
    <n v="0"/>
    <n v="0.45"/>
    <x v="21"/>
  </r>
  <r>
    <s v="Clients_Churn_Part_08.xlsx"/>
    <s v="CLI-00091"/>
    <n v="4.166666666666667"/>
    <x v="18"/>
    <n v="50"/>
    <s v="B2C"/>
    <d v="1899-12-30T07:15:00"/>
    <s v="Bloqué 5Go"/>
    <n v="435"/>
    <n v="27.86"/>
    <n v="3"/>
    <n v="0.45"/>
    <x v="22"/>
  </r>
  <r>
    <s v="Clients_Churn_Part_12.xlsx"/>
    <s v="CLI-00093"/>
    <n v="1"/>
    <x v="7"/>
    <n v="12"/>
    <s v="B2B"/>
    <d v="1899-12-30T00:42:00"/>
    <s v="Pro Monde"/>
    <n v="42"/>
    <n v="48.64"/>
    <n v="0"/>
    <n v="0.1"/>
    <x v="23"/>
  </r>
  <r>
    <s v="Clients_Churn_Part_08.xlsx"/>
    <s v="CLI-00094"/>
    <n v="2.4166666666666665"/>
    <x v="19"/>
    <n v="29"/>
    <s v="B2B"/>
    <d v="1899-12-30T08:13:00"/>
    <s v="Pro Monde"/>
    <n v="493"/>
    <n v="42.02"/>
    <n v="1"/>
    <n v="0.45"/>
    <x v="24"/>
  </r>
  <r>
    <s v="Clients_Churn_Part_12.xlsx"/>
    <s v="CLI-00098"/>
    <n v="3.5"/>
    <x v="4"/>
    <n v="42"/>
    <s v="B2B"/>
    <d v="1899-12-30T02:47:00"/>
    <s v="Pro Monde"/>
    <n v="167"/>
    <n v="45.85"/>
    <n v="2"/>
    <n v="0.1"/>
    <x v="25"/>
  </r>
  <r>
    <s v="Clients_Churn_Part_11.xlsx"/>
    <s v="CLI-00100"/>
    <n v="6.166666666666667"/>
    <x v="20"/>
    <n v="74"/>
    <s v="B2C"/>
    <d v="1899-12-30T06:28:00"/>
    <s v="Bloqué 5Go"/>
    <n v="388"/>
    <n v="10.89"/>
    <n v="4"/>
    <n v="0.45"/>
    <x v="26"/>
  </r>
  <r>
    <s v="Clients_Churn_Part_06.xlsx"/>
    <s v="CLI-00102"/>
    <n v="7.75"/>
    <x v="12"/>
    <n v="93"/>
    <s v="B2C"/>
    <d v="1899-12-30T02:30:00"/>
    <s v="Premium 5G 150Go"/>
    <n v="150"/>
    <n v="93.25"/>
    <n v="3"/>
    <n v="0"/>
    <x v="0"/>
  </r>
  <r>
    <s v="Clients_Churn_Part_14.xlsx"/>
    <s v="CLI-00105"/>
    <n v="1.5833333333333333"/>
    <x v="6"/>
    <n v="19"/>
    <s v="B2C"/>
    <d v="1899-12-30T05:45:00"/>
    <s v="Bloqué 5Go"/>
    <n v="345"/>
    <n v="54.37"/>
    <n v="2"/>
    <n v="0.45"/>
    <x v="27"/>
  </r>
  <r>
    <s v="Clients_Churn_Part_05.xlsx"/>
    <s v="CLI-00107"/>
    <n v="6.833333333333333"/>
    <x v="21"/>
    <n v="82"/>
    <s v="B2C"/>
    <d v="1899-12-30T01:28:00"/>
    <s v="Premium 5G 150Go"/>
    <n v="88"/>
    <n v="86.64"/>
    <n v="1"/>
    <n v="0"/>
    <x v="0"/>
  </r>
  <r>
    <s v="Clients_Churn_Part_09.xlsx"/>
    <s v="CLI-00109"/>
    <n v="3.5"/>
    <x v="2"/>
    <n v="42"/>
    <s v="B2C"/>
    <d v="1899-12-30T07:16:00"/>
    <s v="Bloqué 5Go"/>
    <n v="436"/>
    <n v="88.12"/>
    <n v="0"/>
    <n v="0.45"/>
    <x v="28"/>
  </r>
  <r>
    <s v="Clients_Churn_Part_03.xlsx"/>
    <s v="CLI-00112"/>
    <n v="8.1666666666666661"/>
    <x v="22"/>
    <n v="98"/>
    <s v="B2C"/>
    <d v="1899-12-30T00:52:00"/>
    <s v="Bloqué 5Go"/>
    <n v="52"/>
    <n v="52.82"/>
    <n v="2"/>
    <n v="0"/>
    <x v="0"/>
  </r>
  <r>
    <s v="Clients_Churn_Part_01.xlsx"/>
    <s v="CLI-00114"/>
    <n v="4.916666666666667"/>
    <x v="5"/>
    <n v="59"/>
    <s v="B2C"/>
    <d v="1899-12-30T07:34:00"/>
    <s v="Illimité 50Go"/>
    <n v="454"/>
    <n v="10.47"/>
    <n v="5"/>
    <n v="0.45"/>
    <x v="29"/>
  </r>
  <r>
    <s v="Clients_Churn_Part_02.xlsx"/>
    <s v="CLI-00115"/>
    <n v="2.0833333333333335"/>
    <x v="17"/>
    <n v="25"/>
    <s v="B2C"/>
    <d v="1899-12-30T01:04:00"/>
    <s v="Premium 5G 150Go"/>
    <n v="64"/>
    <n v="38.950000000000003"/>
    <n v="5"/>
    <n v="0.45"/>
    <x v="30"/>
  </r>
  <r>
    <s v="Clients_Churn_Part_08.xlsx"/>
    <s v="CLI-00121"/>
    <n v="3.5833333333333335"/>
    <x v="13"/>
    <n v="43"/>
    <s v="B2C"/>
    <d v="1899-12-30T08:06:00"/>
    <s v="Premium 5G 150Go"/>
    <n v="486"/>
    <n v="76.42"/>
    <n v="1"/>
    <n v="0.45"/>
    <x v="31"/>
  </r>
  <r>
    <s v="Clients_Churn_Part_15.xlsx"/>
    <s v="CLI-00125"/>
    <n v="9"/>
    <x v="17"/>
    <n v="108"/>
    <s v="B2C"/>
    <d v="1899-12-30T07:47:00"/>
    <s v="Bloqué 5Go"/>
    <n v="467"/>
    <n v="44.84"/>
    <n v="4"/>
    <n v="0.45"/>
    <x v="32"/>
  </r>
  <r>
    <s v="Clients_Churn_Part_01.xlsx"/>
    <s v="CLI-00131"/>
    <n v="8.4166666666666661"/>
    <x v="10"/>
    <n v="101"/>
    <s v="B2B"/>
    <d v="1899-12-30T02:56:00"/>
    <s v="Pro Monde"/>
    <n v="176"/>
    <n v="86"/>
    <n v="3"/>
    <n v="0.1"/>
    <x v="33"/>
  </r>
  <r>
    <s v="Clients_Churn_Part_04.xlsx"/>
    <s v="CLI-00136"/>
    <n v="10"/>
    <x v="14"/>
    <n v="120"/>
    <s v="B2C"/>
    <d v="1899-12-30T03:44:00"/>
    <s v="Illimité 50Go"/>
    <n v="224"/>
    <n v="69.36"/>
    <n v="0"/>
    <n v="0"/>
    <x v="0"/>
  </r>
  <r>
    <s v="Clients_Churn_Part_11.xlsx"/>
    <s v="CLI-00145"/>
    <n v="1.9166666666666667"/>
    <x v="20"/>
    <n v="23"/>
    <s v="B2C"/>
    <d v="1899-12-30T05:25:00"/>
    <s v="Bloqué 5Go"/>
    <n v="325"/>
    <n v="65.489999999999995"/>
    <n v="1"/>
    <n v="0.45"/>
    <x v="34"/>
  </r>
  <r>
    <s v="Clients_Churn_Part_08.xlsx"/>
    <s v="CLI-00150"/>
    <n v="1"/>
    <x v="10"/>
    <n v="12"/>
    <s v="B2B"/>
    <d v="1899-12-30T02:05:00"/>
    <s v="Pro Monde"/>
    <n v="125"/>
    <n v="36.93"/>
    <n v="0"/>
    <n v="0.1"/>
    <x v="35"/>
  </r>
  <r>
    <s v="Clients_Churn_Part_12.xlsx"/>
    <s v="CLI-00157"/>
    <n v="1"/>
    <x v="7"/>
    <n v="12"/>
    <s v="B2C"/>
    <d v="1899-12-30T01:52:00"/>
    <s v="Illimité 50Go"/>
    <n v="112"/>
    <n v="82.81"/>
    <n v="0"/>
    <n v="0"/>
    <x v="0"/>
  </r>
  <r>
    <s v="Clients_Churn_Part_10.xlsx"/>
    <s v="CLI-00158"/>
    <n v="2.9166666666666665"/>
    <x v="21"/>
    <n v="35"/>
    <s v="B2B"/>
    <d v="1899-12-30T07:25:00"/>
    <s v="Pro Monde"/>
    <n v="445"/>
    <n v="24.11"/>
    <n v="2"/>
    <n v="0.45"/>
    <x v="36"/>
  </r>
  <r>
    <s v="Clients_Churn_Part_13.xlsx"/>
    <s v="CLI-00161"/>
    <n v="3.5833333333333335"/>
    <x v="7"/>
    <n v="43"/>
    <s v="B2C"/>
    <d v="1899-12-30T00:27:00"/>
    <s v="Premium 5G 150Go"/>
    <n v="27"/>
    <n v="31.48"/>
    <n v="5"/>
    <n v="0.45"/>
    <x v="37"/>
  </r>
  <r>
    <s v="Clients_Churn_Part_12.xlsx"/>
    <s v="CLI-00163"/>
    <n v="6.75"/>
    <x v="8"/>
    <n v="81"/>
    <s v="B2C"/>
    <d v="1899-12-30T00:11:00"/>
    <s v="Illimité 50Go"/>
    <n v="11"/>
    <n v="41.76"/>
    <n v="5"/>
    <n v="0"/>
    <x v="0"/>
  </r>
  <r>
    <s v="Clients_Churn_Part_04.xlsx"/>
    <s v="CLI-00165"/>
    <n v="8.5"/>
    <x v="18"/>
    <n v="102"/>
    <s v="B2C"/>
    <d v="1899-12-30T06:42:00"/>
    <s v="Premium 5G 150Go"/>
    <n v="402"/>
    <n v="28.38"/>
    <n v="5"/>
    <n v="0.45"/>
    <x v="38"/>
  </r>
  <r>
    <s v="Clients_Churn_Part_10.xlsx"/>
    <s v="CLI-00167"/>
    <n v="7"/>
    <x v="21"/>
    <n v="84"/>
    <s v="B2C"/>
    <d v="1899-12-30T06:20:00"/>
    <s v="Bloqué 5Go"/>
    <n v="380"/>
    <n v="82.3"/>
    <n v="1"/>
    <n v="0.45"/>
    <x v="39"/>
  </r>
  <r>
    <s v="Clients_Churn_Part_13.xlsx"/>
    <s v="CLI-00168"/>
    <n v="1.8333333333333333"/>
    <x v="17"/>
    <n v="22"/>
    <s v="B2B"/>
    <d v="1899-12-30T07:37:00"/>
    <s v="Pro Monde"/>
    <n v="457"/>
    <n v="13.21"/>
    <n v="1"/>
    <n v="0.45"/>
    <x v="40"/>
  </r>
  <r>
    <s v="Clients_Churn_Part_05.xlsx"/>
    <s v="CLI-00169"/>
    <n v="7.583333333333333"/>
    <x v="13"/>
    <n v="91"/>
    <s v="B2C"/>
    <d v="1899-12-30T03:08:00"/>
    <s v="Bloqué 5Go"/>
    <n v="188"/>
    <n v="65.78"/>
    <n v="4"/>
    <n v="0"/>
    <x v="0"/>
  </r>
  <r>
    <s v="Clients_Churn_Part_13.xlsx"/>
    <s v="CLI-00171"/>
    <n v="8.3333333333333329E-2"/>
    <x v="5"/>
    <n v="1"/>
    <s v="B2C"/>
    <d v="1899-12-30T02:15:00"/>
    <s v="Bloqué 5Go"/>
    <n v="135"/>
    <n v="89.16"/>
    <n v="3"/>
    <n v="0"/>
    <x v="0"/>
  </r>
  <r>
    <s v="Clients_Churn_Part_01.xlsx"/>
    <s v="CLI-00172"/>
    <n v="1.25"/>
    <x v="15"/>
    <n v="15"/>
    <s v="B2B"/>
    <d v="1899-12-30T06:43:00"/>
    <s v="Pro Monde"/>
    <n v="403"/>
    <n v="77.12"/>
    <n v="1"/>
    <n v="0.45"/>
    <x v="41"/>
  </r>
  <r>
    <s v="Clients_Churn_Part_06.xlsx"/>
    <s v="CLI-00173"/>
    <n v="4.166666666666667"/>
    <x v="16"/>
    <n v="50"/>
    <s v="B2B"/>
    <d v="1899-12-30T01:48:00"/>
    <s v="Pro Monde"/>
    <n v="108"/>
    <n v="43.81"/>
    <n v="5"/>
    <n v="0.1"/>
    <x v="42"/>
  </r>
  <r>
    <s v="Clients_Churn_Part_07.xlsx"/>
    <s v="CLI-00176"/>
    <n v="1.5833333333333333"/>
    <x v="7"/>
    <n v="19"/>
    <s v="B2C"/>
    <d v="1899-12-30T05:05:00"/>
    <s v="Bloqué 5Go"/>
    <n v="305"/>
    <n v="81.11"/>
    <n v="1"/>
    <n v="0.45"/>
    <x v="43"/>
  </r>
  <r>
    <s v="Clients_Churn_Part_14.xlsx"/>
    <s v="CLI-00177"/>
    <n v="4.666666666666667"/>
    <x v="10"/>
    <n v="56"/>
    <s v="B2C"/>
    <d v="1899-12-30T00:27:00"/>
    <s v="Bloqué 5Go"/>
    <n v="27"/>
    <n v="46.41"/>
    <n v="3"/>
    <n v="0"/>
    <x v="0"/>
  </r>
  <r>
    <s v="Clients_Churn_Part_14.xlsx"/>
    <s v="CLI-00180"/>
    <n v="3.25"/>
    <x v="15"/>
    <n v="39"/>
    <s v="B2B"/>
    <d v="1899-12-30T04:49:00"/>
    <s v="Pro Monde"/>
    <n v="289"/>
    <n v="86.7"/>
    <n v="3"/>
    <n v="0.45"/>
    <x v="44"/>
  </r>
  <r>
    <s v="Clients_Churn_Part_06.xlsx"/>
    <s v="CLI-00183"/>
    <n v="8.1666666666666661"/>
    <x v="17"/>
    <n v="98"/>
    <s v="B2C"/>
    <d v="1899-12-30T05:19:00"/>
    <s v="Premium 5G 150Go"/>
    <n v="319"/>
    <n v="88.58"/>
    <n v="0"/>
    <n v="0.45"/>
    <x v="45"/>
  </r>
  <r>
    <s v="Clients_Churn_Part_08.xlsx"/>
    <s v="CLI-00184"/>
    <n v="5.916666666666667"/>
    <x v="23"/>
    <n v="71"/>
    <s v="B2C"/>
    <d v="1899-12-30T03:11:00"/>
    <s v="Premium 5G 150Go"/>
    <n v="191"/>
    <n v="83.04"/>
    <n v="4"/>
    <n v="0"/>
    <x v="0"/>
  </r>
  <r>
    <s v="Clients_Churn_Part_01.xlsx"/>
    <s v="CLI-00185"/>
    <n v="6.75"/>
    <x v="7"/>
    <n v="81"/>
    <s v="B2B"/>
    <d v="1899-12-30T02:34:00"/>
    <s v="Pro Monde"/>
    <n v="154"/>
    <n v="19.47"/>
    <n v="3"/>
    <n v="0.1"/>
    <x v="46"/>
  </r>
  <r>
    <s v="Clients_Churn_Part_11.xlsx"/>
    <s v="CLI-00190"/>
    <n v="2.8333333333333335"/>
    <x v="14"/>
    <n v="34"/>
    <s v="B2C"/>
    <d v="1899-12-30T00:35:00"/>
    <s v="Bloqué 5Go"/>
    <n v="35"/>
    <n v="76.86"/>
    <n v="1"/>
    <n v="0"/>
    <x v="0"/>
  </r>
  <r>
    <s v="Clients_Churn_Part_12.xlsx"/>
    <s v="CLI-00191"/>
    <n v="4.583333333333333"/>
    <x v="14"/>
    <n v="55"/>
    <s v="B2C"/>
    <d v="1899-12-30T01:00:00"/>
    <s v="Illimité 50Go"/>
    <n v="60"/>
    <n v="32.51"/>
    <n v="4"/>
    <n v="0"/>
    <x v="0"/>
  </r>
  <r>
    <s v="Clients_Churn_Part_09.xlsx"/>
    <s v="CLI-00192"/>
    <n v="3.9166666666666665"/>
    <x v="20"/>
    <n v="47"/>
    <s v="B2B"/>
    <d v="1899-12-30T01:47:00"/>
    <s v="Pro Monde"/>
    <n v="107"/>
    <n v="35.380000000000003"/>
    <n v="1"/>
    <n v="0.1"/>
    <x v="47"/>
  </r>
  <r>
    <s v="Clients_Churn_Part_10.xlsx"/>
    <s v="CLI-00194"/>
    <n v="4"/>
    <x v="9"/>
    <n v="48"/>
    <s v="B2C"/>
    <d v="1899-12-30T03:07:00"/>
    <s v="Illimité 50Go"/>
    <n v="187"/>
    <n v="21.26"/>
    <n v="2"/>
    <n v="0"/>
    <x v="0"/>
  </r>
  <r>
    <s v="Clients_Churn_Part_08.xlsx"/>
    <s v="CLI-00196"/>
    <n v="3.9166666666666665"/>
    <x v="9"/>
    <n v="47"/>
    <s v="B2B"/>
    <d v="1899-12-30T06:18:00"/>
    <s v="Pro Monde"/>
    <n v="378"/>
    <n v="36.42"/>
    <n v="1"/>
    <n v="0.45"/>
    <x v="48"/>
  </r>
  <r>
    <s v="Clients_Churn_Part_11.xlsx"/>
    <s v="CLI-00197"/>
    <n v="9.0833333333333339"/>
    <x v="24"/>
    <n v="109"/>
    <s v="B2C"/>
    <d v="1899-12-30T01:24:00"/>
    <s v="Illimité 50Go"/>
    <n v="84"/>
    <n v="97.46"/>
    <n v="5"/>
    <n v="0"/>
    <x v="0"/>
  </r>
  <r>
    <s v="Clients_Churn_Part_04.xlsx"/>
    <s v="CLI-00206"/>
    <n v="3.3333333333333335"/>
    <x v="5"/>
    <n v="40"/>
    <s v="B2C"/>
    <d v="1899-12-30T03:39:00"/>
    <s v="Illimité 50Go"/>
    <n v="219"/>
    <n v="53.98"/>
    <n v="2"/>
    <n v="0"/>
    <x v="0"/>
  </r>
  <r>
    <s v="Clients_Churn_Part_14.xlsx"/>
    <s v="CLI-00211"/>
    <n v="4.666666666666667"/>
    <x v="6"/>
    <n v="56"/>
    <s v="B2C"/>
    <d v="1899-12-30T06:07:00"/>
    <s v="Illimité 50Go"/>
    <n v="367"/>
    <n v="72.790000000000006"/>
    <n v="1"/>
    <n v="0.45"/>
    <x v="49"/>
  </r>
  <r>
    <s v="Clients_Churn_Part_10.xlsx"/>
    <s v="CLI-00218"/>
    <n v="9.25"/>
    <x v="1"/>
    <n v="111"/>
    <s v="B2C"/>
    <d v="1899-12-30T01:16:00"/>
    <s v="Bloqué 5Go"/>
    <n v="76"/>
    <n v="38.19"/>
    <n v="5"/>
    <n v="0"/>
    <x v="0"/>
  </r>
  <r>
    <s v="Clients_Churn_Part_02.xlsx"/>
    <s v="CLI-00219"/>
    <n v="8.25"/>
    <x v="24"/>
    <n v="99"/>
    <s v="B2C"/>
    <d v="1899-12-30T08:13:00"/>
    <s v="Illimité 50Go"/>
    <n v="493"/>
    <n v="55.43"/>
    <n v="2"/>
    <n v="0.45"/>
    <x v="50"/>
  </r>
  <r>
    <s v="Clients_Churn_Part_12.xlsx"/>
    <s v="CLI-00221"/>
    <n v="4.666666666666667"/>
    <x v="22"/>
    <n v="56"/>
    <s v="B2C"/>
    <d v="1899-12-30T05:54:00"/>
    <s v="Premium 5G 150Go"/>
    <n v="354"/>
    <n v="32.08"/>
    <n v="1"/>
    <n v="0.45"/>
    <x v="51"/>
  </r>
  <r>
    <s v="Clients_Churn_Part_05.xlsx"/>
    <s v="CLI-00227"/>
    <n v="9.8333333333333339"/>
    <x v="10"/>
    <n v="118"/>
    <s v="B2B"/>
    <d v="1899-12-30T00:22:00"/>
    <s v="Pro Monde"/>
    <n v="22"/>
    <n v="15.39"/>
    <n v="1"/>
    <n v="0.1"/>
    <x v="52"/>
  </r>
  <r>
    <s v="Clients_Churn_Part_02.xlsx"/>
    <s v="CLI-00230"/>
    <n v="4.916666666666667"/>
    <x v="11"/>
    <n v="59"/>
    <s v="B2C"/>
    <d v="1899-12-30T03:12:00"/>
    <s v="Illimité 50Go"/>
    <n v="192"/>
    <n v="86.17"/>
    <n v="1"/>
    <n v="0"/>
    <x v="0"/>
  </r>
  <r>
    <s v="Clients_Churn_Part_09.xlsx"/>
    <s v="CLI-00231"/>
    <n v="1.4166666666666667"/>
    <x v="21"/>
    <n v="17"/>
    <s v="B2C"/>
    <d v="1899-12-30T06:44:00"/>
    <s v="Bloqué 5Go"/>
    <n v="404"/>
    <n v="83.4"/>
    <n v="1"/>
    <n v="0.45"/>
    <x v="53"/>
  </r>
  <r>
    <s v="Clients_Churn_Part_03.xlsx"/>
    <s v="CLI-00232"/>
    <n v="5.75"/>
    <x v="0"/>
    <n v="69"/>
    <s v="B2C"/>
    <d v="1899-12-30T05:06:00"/>
    <s v="Bloqué 5Go"/>
    <n v="306"/>
    <n v="13.97"/>
    <n v="1"/>
    <n v="0.45"/>
    <x v="54"/>
  </r>
  <r>
    <s v="Clients_Churn_Part_13.xlsx"/>
    <s v="CLI-00234"/>
    <n v="7.75"/>
    <x v="18"/>
    <n v="93"/>
    <s v="B2C"/>
    <d v="1899-12-30T02:16:00"/>
    <s v="Premium 5G 150Go"/>
    <n v="136"/>
    <n v="19.09"/>
    <n v="1"/>
    <n v="0"/>
    <x v="0"/>
  </r>
  <r>
    <s v="Clients_Churn_Part_09.xlsx"/>
    <s v="CLI-00238"/>
    <n v="3.5833333333333335"/>
    <x v="15"/>
    <n v="43"/>
    <s v="B2C"/>
    <d v="1899-12-30T00:20:00"/>
    <s v="Bloqué 5Go"/>
    <n v="20"/>
    <n v="66.680000000000007"/>
    <n v="5"/>
    <n v="0"/>
    <x v="0"/>
  </r>
  <r>
    <s v="Clients_Churn_Part_13.xlsx"/>
    <s v="CLI-00239"/>
    <n v="9.9166666666666661"/>
    <x v="2"/>
    <n v="119"/>
    <s v="B2C"/>
    <d v="1899-12-30T07:55:00"/>
    <s v="Illimité 50Go"/>
    <n v="475"/>
    <n v="25.98"/>
    <n v="4"/>
    <n v="0.45"/>
    <x v="55"/>
  </r>
  <r>
    <s v="Clients_Churn_Part_08.xlsx"/>
    <s v="CLI-00240"/>
    <n v="3.4166666666666665"/>
    <x v="1"/>
    <n v="41"/>
    <s v="B2C"/>
    <d v="1899-12-30T07:05:00"/>
    <s v="Bloqué 5Go"/>
    <n v="425"/>
    <n v="42.33"/>
    <n v="3"/>
    <n v="0.45"/>
    <x v="56"/>
  </r>
  <r>
    <s v="Clients_Churn_Part_06.xlsx"/>
    <s v="CLI-00241"/>
    <n v="4.166666666666667"/>
    <x v="0"/>
    <n v="50"/>
    <s v="B2C"/>
    <d v="1899-12-30T04:08:00"/>
    <s v="Bloqué 5Go"/>
    <n v="248"/>
    <n v="69.42"/>
    <n v="0"/>
    <n v="0.45"/>
    <x v="57"/>
  </r>
  <r>
    <s v="Clients_Churn_Part_06.xlsx"/>
    <s v="CLI-00243"/>
    <n v="3.9166666666666665"/>
    <x v="11"/>
    <n v="47"/>
    <s v="B2C"/>
    <d v="1899-12-30T05:40:00"/>
    <s v="Illimité 50Go"/>
    <n v="340"/>
    <n v="31.02"/>
    <n v="5"/>
    <n v="0.45"/>
    <x v="58"/>
  </r>
  <r>
    <s v="Clients_Churn_Part_11.xlsx"/>
    <s v="CLI-00247"/>
    <n v="4.333333333333333"/>
    <x v="19"/>
    <n v="52"/>
    <s v="B2C"/>
    <d v="1899-12-30T07:05:00"/>
    <s v="Premium 5G 150Go"/>
    <n v="425"/>
    <n v="97.25"/>
    <n v="0"/>
    <n v="0.45"/>
    <x v="59"/>
  </r>
  <r>
    <s v="Clients_Churn_Part_02.xlsx"/>
    <s v="CLI-00248"/>
    <n v="1.6666666666666667"/>
    <x v="17"/>
    <n v="20"/>
    <s v="B2C"/>
    <d v="1899-12-30T00:26:00"/>
    <s v="Bloqué 5Go"/>
    <n v="26"/>
    <n v="25.14"/>
    <n v="0"/>
    <n v="0"/>
    <x v="0"/>
  </r>
  <r>
    <s v="Clients_Churn_Part_03.xlsx"/>
    <s v="CLI-00250"/>
    <n v="3.5833333333333335"/>
    <x v="20"/>
    <n v="43"/>
    <s v="B2C"/>
    <d v="1899-12-30T03:01:00"/>
    <s v="Bloqué 5Go"/>
    <n v="181"/>
    <n v="72.39"/>
    <n v="2"/>
    <n v="0"/>
    <x v="0"/>
  </r>
  <r>
    <s v="Clients_Churn_Part_02.xlsx"/>
    <s v="CLI-00251"/>
    <n v="3.6666666666666665"/>
    <x v="8"/>
    <n v="44"/>
    <s v="B2B"/>
    <d v="1899-12-30T02:17:00"/>
    <s v="Pro Monde"/>
    <n v="137"/>
    <n v="32.58"/>
    <n v="0"/>
    <n v="0.1"/>
    <x v="60"/>
  </r>
  <r>
    <s v="Clients_Churn_Part_09.xlsx"/>
    <s v="CLI-00254"/>
    <n v="7.916666666666667"/>
    <x v="5"/>
    <n v="95"/>
    <s v="B2B"/>
    <d v="1899-12-30T02:07:00"/>
    <s v="Pro Monde"/>
    <n v="127"/>
    <n v="94.9"/>
    <n v="4"/>
    <n v="0.1"/>
    <x v="61"/>
  </r>
  <r>
    <s v="Clients_Churn_Part_14.xlsx"/>
    <s v="CLI-00257"/>
    <n v="5.25"/>
    <x v="9"/>
    <n v="63"/>
    <s v="B2B"/>
    <d v="1899-12-30T07:29:00"/>
    <s v="Pro Monde"/>
    <n v="449"/>
    <n v="37.08"/>
    <n v="0"/>
    <n v="0.45"/>
    <x v="62"/>
  </r>
  <r>
    <s v="Clients_Churn_Part_08.xlsx"/>
    <s v="CLI-00262"/>
    <n v="2"/>
    <x v="8"/>
    <n v="24"/>
    <s v="B2C"/>
    <d v="1899-12-30T06:32:00"/>
    <s v="Illimité 50Go"/>
    <n v="392"/>
    <n v="27.06"/>
    <n v="1"/>
    <n v="0.45"/>
    <x v="63"/>
  </r>
  <r>
    <s v="Clients_Churn_Part_11.xlsx"/>
    <s v="CLI-00265"/>
    <n v="0.75"/>
    <x v="0"/>
    <n v="9"/>
    <s v="B2C"/>
    <d v="1899-12-30T00:11:00"/>
    <s v="Bloqué 5Go"/>
    <n v="11"/>
    <n v="72.36"/>
    <n v="2"/>
    <n v="0"/>
    <x v="0"/>
  </r>
  <r>
    <s v="Clients_Churn_Part_05.xlsx"/>
    <s v="CLI-00267"/>
    <n v="0.91666666666666663"/>
    <x v="15"/>
    <n v="11"/>
    <s v="B2C"/>
    <d v="1899-12-30T00:52:00"/>
    <s v="Bloqué 5Go"/>
    <n v="52"/>
    <n v="76.53"/>
    <n v="5"/>
    <n v="0"/>
    <x v="0"/>
  </r>
  <r>
    <s v="Clients_Churn_Part_11.xlsx"/>
    <s v="CLI-00269"/>
    <n v="4.75"/>
    <x v="23"/>
    <n v="57"/>
    <s v="B2C"/>
    <d v="1899-12-30T08:13:00"/>
    <s v="Bloqué 5Go"/>
    <n v="493"/>
    <n v="43.98"/>
    <n v="3"/>
    <n v="0.45"/>
    <x v="64"/>
  </r>
  <r>
    <s v="Clients_Churn_Part_08.xlsx"/>
    <s v="CLI-00271"/>
    <n v="3.3333333333333335"/>
    <x v="22"/>
    <n v="40"/>
    <s v="B2C"/>
    <d v="1899-12-30T00:38:00"/>
    <s v="Bloqué 5Go"/>
    <n v="38"/>
    <n v="17.63"/>
    <n v="0"/>
    <n v="0"/>
    <x v="0"/>
  </r>
  <r>
    <s v="Clients_Churn_Part_07.xlsx"/>
    <s v="CLI-00273"/>
    <n v="1.5833333333333333"/>
    <x v="15"/>
    <n v="19"/>
    <s v="B2C"/>
    <d v="1899-12-30T05:34:00"/>
    <s v="Illimité 50Go"/>
    <n v="334"/>
    <n v="96.91"/>
    <n v="1"/>
    <n v="0.45"/>
    <x v="65"/>
  </r>
  <r>
    <s v="Clients_Churn_Part_05.xlsx"/>
    <s v="CLI-00274"/>
    <n v="9"/>
    <x v="20"/>
    <n v="108"/>
    <s v="B2B"/>
    <d v="1899-12-30T00:48:00"/>
    <s v="Pro Monde"/>
    <n v="48"/>
    <n v="86.22"/>
    <n v="3"/>
    <n v="0.1"/>
    <x v="66"/>
  </r>
  <r>
    <s v="Clients_Churn_Part_14.xlsx"/>
    <s v="CLI-00277"/>
    <n v="3.0833333333333335"/>
    <x v="2"/>
    <n v="37"/>
    <s v="B2B"/>
    <d v="1899-12-30T02:30:00"/>
    <s v="Pro Monde"/>
    <n v="150"/>
    <n v="37.979999999999997"/>
    <n v="4"/>
    <n v="0.1"/>
    <x v="67"/>
  </r>
  <r>
    <s v="Clients_Churn_Part_05.xlsx"/>
    <s v="CLI-00279"/>
    <n v="4.333333333333333"/>
    <x v="13"/>
    <n v="52"/>
    <s v="B2B"/>
    <d v="1899-12-30T03:54:00"/>
    <s v="Pro Monde"/>
    <n v="234"/>
    <n v="62.87"/>
    <n v="0"/>
    <n v="0.1"/>
    <x v="68"/>
  </r>
  <r>
    <s v="Clients_Churn_Part_01.xlsx"/>
    <s v="CLI-00280"/>
    <n v="9.4166666666666661"/>
    <x v="16"/>
    <n v="113"/>
    <s v="B2C"/>
    <d v="1899-12-30T06:20:00"/>
    <s v="Illimité 50Go"/>
    <n v="380"/>
    <n v="12.11"/>
    <n v="0"/>
    <n v="0.45"/>
    <x v="69"/>
  </r>
  <r>
    <s v="Clients_Churn_Part_01.xlsx"/>
    <s v="CLI-00288"/>
    <n v="1.75"/>
    <x v="18"/>
    <n v="21"/>
    <s v="B2C"/>
    <d v="1899-12-30T06:11:00"/>
    <s v="Premium 5G 150Go"/>
    <n v="371"/>
    <n v="48.31"/>
    <n v="0"/>
    <n v="0.45"/>
    <x v="70"/>
  </r>
  <r>
    <s v="Clients_Churn_Part_08.xlsx"/>
    <s v="CLI-00291"/>
    <n v="0.58333333333333337"/>
    <x v="1"/>
    <n v="7"/>
    <s v="B2B"/>
    <d v="1899-12-30T05:47:00"/>
    <s v="Pro Monde"/>
    <n v="347"/>
    <n v="41.84"/>
    <n v="2"/>
    <n v="0.45"/>
    <x v="71"/>
  </r>
  <r>
    <s v="Clients_Churn_Part_02.xlsx"/>
    <s v="CLI-00296"/>
    <n v="8.5"/>
    <x v="22"/>
    <n v="102"/>
    <s v="B2B"/>
    <d v="1899-12-30T04:43:00"/>
    <s v="Pro Monde"/>
    <n v="283"/>
    <n v="28.98"/>
    <n v="3"/>
    <n v="0.45"/>
    <x v="72"/>
  </r>
  <r>
    <s v="Clients_Churn_Part_03.xlsx"/>
    <s v="CLI-00297"/>
    <n v="7.25"/>
    <x v="16"/>
    <n v="87"/>
    <s v="B2B"/>
    <d v="1899-12-30T07:30:00"/>
    <s v="Pro Monde"/>
    <n v="450"/>
    <n v="64.3"/>
    <n v="2"/>
    <n v="0.45"/>
    <x v="73"/>
  </r>
  <r>
    <s v="Clients_Churn_Part_14.xlsx"/>
    <s v="CLI-00298"/>
    <n v="6.333333333333333"/>
    <x v="6"/>
    <n v="76"/>
    <s v="B2C"/>
    <d v="1899-12-30T06:53:00"/>
    <s v="Premium 5G 150Go"/>
    <n v="413"/>
    <n v="28.39"/>
    <n v="3"/>
    <n v="0.45"/>
    <x v="74"/>
  </r>
  <r>
    <s v="Clients_Churn_Part_07.xlsx"/>
    <s v="CLI-00299"/>
    <n v="0.16666666666666666"/>
    <x v="2"/>
    <n v="2"/>
    <s v="B2B"/>
    <d v="1899-12-30T08:16:00"/>
    <s v="Pro Monde"/>
    <n v="496"/>
    <n v="15.71"/>
    <n v="3"/>
    <n v="0.45"/>
    <x v="75"/>
  </r>
  <r>
    <s v="Clients_Churn_Part_09.xlsx"/>
    <s v="CLI-00304"/>
    <n v="3.9166666666666665"/>
    <x v="8"/>
    <n v="47"/>
    <s v="B2B"/>
    <d v="1899-12-30T05:28:00"/>
    <s v="Pro Monde"/>
    <n v="328"/>
    <n v="61.27"/>
    <n v="3"/>
    <n v="0.45"/>
    <x v="76"/>
  </r>
  <r>
    <s v="Clients_Churn_Part_09.xlsx"/>
    <s v="CLI-00305"/>
    <n v="3.0833333333333335"/>
    <x v="21"/>
    <n v="37"/>
    <s v="B2C"/>
    <d v="1899-12-30T02:31:00"/>
    <s v="Illimité 50Go"/>
    <n v="151"/>
    <n v="62.49"/>
    <n v="3"/>
    <n v="0"/>
    <x v="0"/>
  </r>
  <r>
    <s v="Clients_Churn_Part_06.xlsx"/>
    <s v="CLI-00306"/>
    <n v="7.416666666666667"/>
    <x v="16"/>
    <n v="89"/>
    <s v="B2C"/>
    <d v="1899-12-30T02:55:00"/>
    <s v="Bloqué 5Go"/>
    <n v="175"/>
    <n v="32.369999999999997"/>
    <n v="1"/>
    <n v="0"/>
    <x v="0"/>
  </r>
  <r>
    <s v="Clients_Churn_Part_09.xlsx"/>
    <s v="CLI-00310"/>
    <n v="0.5"/>
    <x v="16"/>
    <n v="6"/>
    <s v="B2C"/>
    <d v="1899-12-30T06:02:00"/>
    <s v="Premium 5G 150Go"/>
    <n v="362"/>
    <n v="75.739999999999995"/>
    <n v="4"/>
    <n v="0.45"/>
    <x v="77"/>
  </r>
  <r>
    <s v="Clients_Churn_Part_14.xlsx"/>
    <s v="CLI-00313"/>
    <n v="9.4166666666666661"/>
    <x v="1"/>
    <n v="113"/>
    <s v="B2C"/>
    <d v="1899-12-30T00:49:00"/>
    <s v="Premium 5G 150Go"/>
    <n v="49"/>
    <n v="48.91"/>
    <n v="5"/>
    <n v="0"/>
    <x v="0"/>
  </r>
  <r>
    <s v="Clients_Churn_Part_10.xlsx"/>
    <s v="CLI-00315"/>
    <n v="1.6666666666666667"/>
    <x v="13"/>
    <n v="20"/>
    <s v="B2B"/>
    <d v="1899-12-30T01:33:00"/>
    <s v="Pro Monde"/>
    <n v="93"/>
    <n v="84.45"/>
    <n v="0"/>
    <n v="0.1"/>
    <x v="78"/>
  </r>
  <r>
    <s v="Clients_Churn_Part_11.xlsx"/>
    <s v="CLI-00316"/>
    <n v="3.0833333333333335"/>
    <x v="16"/>
    <n v="37"/>
    <s v="B2C"/>
    <d v="1899-12-30T01:34:00"/>
    <s v="Premium 5G 150Go"/>
    <n v="94"/>
    <n v="50.44"/>
    <n v="4"/>
    <n v="0.45"/>
    <x v="79"/>
  </r>
  <r>
    <s v="Clients_Churn_Part_12.xlsx"/>
    <s v="CLI-00318"/>
    <n v="5.583333333333333"/>
    <x v="11"/>
    <n v="67"/>
    <s v="B2C"/>
    <d v="1899-12-30T01:21:00"/>
    <s v="Illimité 50Go"/>
    <n v="81"/>
    <n v="28.52"/>
    <n v="4"/>
    <n v="0"/>
    <x v="0"/>
  </r>
  <r>
    <s v="Clients_Churn_Part_05.xlsx"/>
    <s v="CLI-00324"/>
    <n v="1.5"/>
    <x v="2"/>
    <n v="18"/>
    <s v="B2C"/>
    <d v="1899-12-30T00:34:00"/>
    <s v="Illimité 50Go"/>
    <n v="34"/>
    <n v="43.71"/>
    <n v="1"/>
    <n v="0"/>
    <x v="0"/>
  </r>
  <r>
    <s v="Clients_Churn_Part_01.xlsx"/>
    <s v="CLI-00327"/>
    <n v="0.5"/>
    <x v="14"/>
    <n v="6"/>
    <s v="B2C"/>
    <d v="1899-12-30T02:35:00"/>
    <s v="Illimité 50Go"/>
    <n v="155"/>
    <n v="40.659999999999997"/>
    <n v="1"/>
    <n v="0"/>
    <x v="0"/>
  </r>
  <r>
    <s v="Clients_Churn_Part_04.xlsx"/>
    <s v="CLI-00329"/>
    <n v="7.666666666666667"/>
    <x v="9"/>
    <n v="92"/>
    <s v="B2B"/>
    <d v="1899-12-30T08:07:00"/>
    <s v="Pro Monde"/>
    <n v="487"/>
    <n v="58.38"/>
    <n v="1"/>
    <n v="0.45"/>
    <x v="80"/>
  </r>
  <r>
    <s v="Clients_Churn_Part_15.xlsx"/>
    <s v="CLI-00331"/>
    <n v="4.75"/>
    <x v="1"/>
    <n v="57"/>
    <s v="B2C"/>
    <d v="1899-12-30T00:36:00"/>
    <s v="Premium 5G 150Go"/>
    <n v="36"/>
    <n v="82.7"/>
    <n v="2"/>
    <n v="0.45"/>
    <x v="81"/>
  </r>
  <r>
    <s v="Clients_Churn_Part_11.xlsx"/>
    <s v="CLI-00334"/>
    <n v="1.3333333333333333"/>
    <x v="25"/>
    <n v="16"/>
    <s v="B2B"/>
    <d v="1899-12-30T03:34:00"/>
    <s v="Pro Monde"/>
    <n v="214"/>
    <n v="46.57"/>
    <n v="5"/>
    <n v="0.1"/>
    <x v="82"/>
  </r>
  <r>
    <s v="Clients_Churn_Part_09.xlsx"/>
    <s v="CLI-00335"/>
    <n v="2"/>
    <x v="17"/>
    <n v="24"/>
    <s v="B2B"/>
    <d v="1899-12-30T00:23:00"/>
    <s v="Pro Monde"/>
    <n v="23"/>
    <n v="28.55"/>
    <n v="1"/>
    <n v="0.1"/>
    <x v="83"/>
  </r>
  <r>
    <s v="Clients_Churn_Part_09.xlsx"/>
    <s v="CLI-00338"/>
    <n v="2.6666666666666665"/>
    <x v="14"/>
    <n v="32"/>
    <s v="B2C"/>
    <d v="1899-12-30T07:55:00"/>
    <s v="Illimité 50Go"/>
    <n v="475"/>
    <n v="36.54"/>
    <n v="3"/>
    <n v="0.45"/>
    <x v="84"/>
  </r>
  <r>
    <s v="Clients_Churn_Part_14.xlsx"/>
    <s v="CLI-00341"/>
    <n v="3.75"/>
    <x v="16"/>
    <n v="45"/>
    <s v="B2B"/>
    <d v="1899-12-30T05:04:00"/>
    <s v="Pro Monde"/>
    <n v="304"/>
    <n v="65.540000000000006"/>
    <n v="2"/>
    <n v="0.45"/>
    <x v="85"/>
  </r>
  <r>
    <s v="Clients_Churn_Part_10.xlsx"/>
    <s v="CLI-00345"/>
    <n v="2"/>
    <x v="10"/>
    <n v="24"/>
    <s v="B2C"/>
    <d v="1899-12-30T00:13:00"/>
    <s v="Bloqué 5Go"/>
    <n v="13"/>
    <n v="89.3"/>
    <n v="2"/>
    <n v="0"/>
    <x v="0"/>
  </r>
  <r>
    <s v="Clients_Churn_Part_06.xlsx"/>
    <s v="CLI-00346"/>
    <n v="8.0833333333333339"/>
    <x v="9"/>
    <n v="97"/>
    <s v="B2C"/>
    <d v="1899-12-30T00:40:00"/>
    <s v="Bloqué 5Go"/>
    <n v="40"/>
    <n v="85.19"/>
    <n v="1"/>
    <n v="0"/>
    <x v="0"/>
  </r>
  <r>
    <s v="Clients_Churn_Part_08.xlsx"/>
    <s v="CLI-00348"/>
    <n v="5.666666666666667"/>
    <x v="8"/>
    <n v="68"/>
    <s v="B2C"/>
    <d v="1899-12-30T08:07:00"/>
    <s v="Bloqué 5Go"/>
    <n v="487"/>
    <n v="69.099999999999994"/>
    <n v="5"/>
    <n v="0.45"/>
    <x v="86"/>
  </r>
  <r>
    <s v="Clients_Churn_Part_06.xlsx"/>
    <s v="CLI-00349"/>
    <n v="0.66666666666666663"/>
    <x v="7"/>
    <n v="8"/>
    <s v="B2C"/>
    <d v="1899-12-30T02:00:00"/>
    <s v="Bloqué 5Go"/>
    <n v="120"/>
    <n v="88.29"/>
    <n v="5"/>
    <n v="0"/>
    <x v="0"/>
  </r>
  <r>
    <s v="Clients_Churn_Part_13.xlsx"/>
    <s v="CLI-00352"/>
    <n v="6.25"/>
    <x v="11"/>
    <n v="75"/>
    <s v="B2C"/>
    <d v="1899-12-30T01:39:00"/>
    <s v="Illimité 50Go"/>
    <n v="99"/>
    <n v="16.93"/>
    <n v="5"/>
    <n v="0"/>
    <x v="0"/>
  </r>
  <r>
    <s v="Clients_Churn_Part_05.xlsx"/>
    <s v="CLI-00356"/>
    <n v="1.8333333333333333"/>
    <x v="25"/>
    <n v="22"/>
    <s v="B2C"/>
    <d v="1899-12-30T02:46:00"/>
    <s v="Premium 5G 150Go"/>
    <n v="166"/>
    <n v="31.8"/>
    <n v="1"/>
    <n v="0.45"/>
    <x v="87"/>
  </r>
  <r>
    <s v="Clients_Churn_Part_02.xlsx"/>
    <s v="CLI-00359"/>
    <n v="7.583333333333333"/>
    <x v="22"/>
    <n v="91"/>
    <s v="B2C"/>
    <d v="1899-12-30T05:00:00"/>
    <s v="Bloqué 5Go"/>
    <n v="300"/>
    <n v="82.19"/>
    <n v="1"/>
    <n v="0.45"/>
    <x v="88"/>
  </r>
  <r>
    <s v="Clients_Churn_Part_01.xlsx"/>
    <s v="CLI-00361"/>
    <n v="5.5"/>
    <x v="17"/>
    <n v="66"/>
    <s v="B2C"/>
    <d v="1899-12-30T04:30:00"/>
    <s v="Illimité 50Go"/>
    <n v="270"/>
    <n v="75.88"/>
    <n v="3"/>
    <n v="0.45"/>
    <x v="89"/>
  </r>
  <r>
    <s v="Clients_Churn_Part_11.xlsx"/>
    <s v="CLI-00365"/>
    <n v="8.1666666666666661"/>
    <x v="24"/>
    <n v="98"/>
    <s v="B2B"/>
    <d v="1899-12-30T00:41:00"/>
    <s v="Pro Monde"/>
    <n v="41"/>
    <n v="23.55"/>
    <n v="1"/>
    <n v="0.1"/>
    <x v="90"/>
  </r>
  <r>
    <s v="Clients_Churn_Part_08.xlsx"/>
    <s v="CLI-00368"/>
    <n v="5.25"/>
    <x v="16"/>
    <n v="63"/>
    <s v="B2C"/>
    <d v="1899-12-30T04:23:00"/>
    <s v="Bloqué 5Go"/>
    <n v="263"/>
    <n v="53.87"/>
    <n v="4"/>
    <n v="0.45"/>
    <x v="91"/>
  </r>
  <r>
    <s v="Clients_Churn_Part_07.xlsx"/>
    <s v="CLI-00370"/>
    <n v="2.4166666666666665"/>
    <x v="4"/>
    <n v="29"/>
    <s v="B2C"/>
    <d v="1899-12-30T02:53:00"/>
    <s v="Bloqué 5Go"/>
    <n v="173"/>
    <n v="49.03"/>
    <n v="3"/>
    <n v="0"/>
    <x v="0"/>
  </r>
  <r>
    <s v="Clients_Churn_Part_06.xlsx"/>
    <s v="CLI-00373"/>
    <n v="6.916666666666667"/>
    <x v="25"/>
    <n v="83"/>
    <s v="B2C"/>
    <d v="1899-12-30T00:30:00"/>
    <s v="Illimité 50Go"/>
    <n v="30"/>
    <n v="33.93"/>
    <n v="3"/>
    <n v="0"/>
    <x v="0"/>
  </r>
  <r>
    <s v="Clients_Churn_Part_13.xlsx"/>
    <s v="CLI-00374"/>
    <n v="8.75"/>
    <x v="2"/>
    <n v="105"/>
    <s v="B2C"/>
    <d v="1899-12-30T04:31:00"/>
    <s v="Illimité 50Go"/>
    <n v="271"/>
    <n v="45.27"/>
    <n v="2"/>
    <n v="0.45"/>
    <x v="92"/>
  </r>
  <r>
    <s v="Clients_Churn_Part_09.xlsx"/>
    <s v="CLI-00376"/>
    <n v="9.75"/>
    <x v="9"/>
    <n v="117"/>
    <s v="B2C"/>
    <d v="1899-12-30T04:42:00"/>
    <s v="Premium 5G 150Go"/>
    <n v="282"/>
    <n v="95.11"/>
    <n v="0"/>
    <n v="0.45"/>
    <x v="93"/>
  </r>
  <r>
    <s v="Clients_Churn_Part_05.xlsx"/>
    <s v="CLI-00377"/>
    <n v="8"/>
    <x v="4"/>
    <n v="96"/>
    <s v="B2C"/>
    <d v="1899-12-30T05:34:00"/>
    <s v="Premium 5G 150Go"/>
    <n v="334"/>
    <n v="64.77"/>
    <n v="0"/>
    <n v="0.45"/>
    <x v="94"/>
  </r>
  <r>
    <s v="Clients_Churn_Part_13.xlsx"/>
    <s v="CLI-00380"/>
    <n v="2.8333333333333335"/>
    <x v="25"/>
    <n v="34"/>
    <s v="B2C"/>
    <d v="1899-12-30T02:50:00"/>
    <s v="Premium 5G 150Go"/>
    <n v="170"/>
    <n v="91.6"/>
    <n v="2"/>
    <n v="0.45"/>
    <x v="95"/>
  </r>
  <r>
    <s v="Clients_Churn_Part_12.xlsx"/>
    <s v="CLI-00382"/>
    <n v="0.58333333333333337"/>
    <x v="15"/>
    <n v="7"/>
    <s v="B2B"/>
    <d v="1899-12-30T05:23:00"/>
    <s v="Pro Monde"/>
    <n v="323"/>
    <n v="82.81"/>
    <n v="5"/>
    <n v="0.45"/>
    <x v="96"/>
  </r>
  <r>
    <s v="Clients_Churn_Part_13.xlsx"/>
    <s v="CLI-00384"/>
    <n v="3.25"/>
    <x v="19"/>
    <n v="39"/>
    <s v="B2C"/>
    <d v="1899-12-30T03:40:00"/>
    <s v="Premium 5G 150Go"/>
    <n v="220"/>
    <n v="52.91"/>
    <n v="0"/>
    <n v="0.45"/>
    <x v="97"/>
  </r>
  <r>
    <s v="Clients_Churn_Part_14.xlsx"/>
    <s v="CLI-00386"/>
    <n v="4.916666666666667"/>
    <x v="18"/>
    <n v="59"/>
    <s v="B2C"/>
    <d v="1899-12-30T01:04:00"/>
    <s v="Illimité 50Go"/>
    <n v="64"/>
    <n v="20.32"/>
    <n v="0"/>
    <n v="0"/>
    <x v="0"/>
  </r>
  <r>
    <s v="Clients_Churn_Part_09.xlsx"/>
    <s v="CLI-00387"/>
    <n v="2.3333333333333335"/>
    <x v="17"/>
    <n v="28"/>
    <s v="B2C"/>
    <d v="1899-12-30T01:52:00"/>
    <s v="Illimité 50Go"/>
    <n v="112"/>
    <n v="94.51"/>
    <n v="3"/>
    <n v="0"/>
    <x v="0"/>
  </r>
  <r>
    <s v="Clients_Churn_Part_07.xlsx"/>
    <s v="CLI-00388"/>
    <n v="6.5"/>
    <x v="4"/>
    <n v="78"/>
    <s v="B2C"/>
    <d v="1899-12-30T04:23:00"/>
    <s v="Premium 5G 150Go"/>
    <n v="263"/>
    <n v="53.58"/>
    <n v="5"/>
    <n v="0.45"/>
    <x v="98"/>
  </r>
  <r>
    <s v="Clients_Churn_Part_06.xlsx"/>
    <s v="CLI-00391"/>
    <n v="0.33333333333333331"/>
    <x v="9"/>
    <n v="4"/>
    <s v="B2B"/>
    <d v="1899-12-30T00:49:00"/>
    <s v="Pro Monde"/>
    <n v="49"/>
    <n v="41.35"/>
    <n v="5"/>
    <n v="0.1"/>
    <x v="99"/>
  </r>
  <r>
    <s v="Clients_Churn_Part_15.xlsx"/>
    <s v="CLI-00394"/>
    <n v="3.0833333333333335"/>
    <x v="6"/>
    <n v="37"/>
    <s v="B2C"/>
    <d v="1899-12-30T03:33:00"/>
    <s v="Premium 5G 150Go"/>
    <n v="213"/>
    <n v="14.12"/>
    <n v="1"/>
    <n v="0.45"/>
    <x v="100"/>
  </r>
  <r>
    <s v="Clients_Churn_Part_06.xlsx"/>
    <s v="CLI-00407"/>
    <n v="4"/>
    <x v="20"/>
    <n v="48"/>
    <s v="B2C"/>
    <d v="1899-12-30T06:56:00"/>
    <s v="Premium 5G 150Go"/>
    <n v="416"/>
    <n v="81.260000000000005"/>
    <n v="5"/>
    <n v="0.45"/>
    <x v="101"/>
  </r>
  <r>
    <s v="Clients_Churn_Part_05.xlsx"/>
    <s v="CLI-00410"/>
    <n v="4.25"/>
    <x v="1"/>
    <n v="51"/>
    <s v="B2B"/>
    <d v="1899-12-30T05:36:00"/>
    <s v="Pro Monde"/>
    <n v="336"/>
    <n v="65.47"/>
    <n v="1"/>
    <n v="0.45"/>
    <x v="102"/>
  </r>
  <r>
    <s v="Clients_Churn_Part_14.xlsx"/>
    <s v="CLI-00413"/>
    <n v="1.6666666666666667"/>
    <x v="24"/>
    <n v="20"/>
    <s v="B2B"/>
    <d v="1899-12-30T00:31:00"/>
    <s v="Pro Monde"/>
    <n v="31"/>
    <n v="52.85"/>
    <n v="2"/>
    <n v="0.1"/>
    <x v="103"/>
  </r>
  <r>
    <s v="Clients_Churn_Part_01.xlsx"/>
    <s v="CLI-00414"/>
    <n v="8.25"/>
    <x v="5"/>
    <n v="99"/>
    <s v="B2C"/>
    <d v="1899-12-30T07:27:00"/>
    <s v="Premium 5G 150Go"/>
    <n v="447"/>
    <n v="38.1"/>
    <n v="3"/>
    <n v="0.45"/>
    <x v="104"/>
  </r>
  <r>
    <s v="Clients_Churn_Part_06.xlsx"/>
    <s v="CLI-00417"/>
    <n v="7.25"/>
    <x v="8"/>
    <n v="87"/>
    <s v="B2C"/>
    <d v="1899-12-30T00:21:00"/>
    <s v="Bloqué 5Go"/>
    <n v="21"/>
    <n v="81.459999999999994"/>
    <n v="3"/>
    <n v="0"/>
    <x v="0"/>
  </r>
  <r>
    <s v="Clients_Churn_Part_09.xlsx"/>
    <s v="CLI-00418"/>
    <n v="8"/>
    <x v="8"/>
    <n v="96"/>
    <s v="B2C"/>
    <d v="1899-12-30T04:33:00"/>
    <s v="Premium 5G 150Go"/>
    <n v="273"/>
    <n v="37.909999999999997"/>
    <n v="2"/>
    <n v="0.45"/>
    <x v="105"/>
  </r>
  <r>
    <s v="Clients_Churn_Part_07.xlsx"/>
    <s v="CLI-00424"/>
    <n v="8.5833333333333339"/>
    <x v="25"/>
    <n v="103"/>
    <s v="B2C"/>
    <d v="1899-12-30T03:02:00"/>
    <s v="Illimité 50Go"/>
    <n v="182"/>
    <n v="12.07"/>
    <n v="5"/>
    <n v="0"/>
    <x v="0"/>
  </r>
  <r>
    <s v="Clients_Churn_Part_11.xlsx"/>
    <s v="CLI-00427"/>
    <n v="1.5"/>
    <x v="0"/>
    <n v="18"/>
    <s v="B2C"/>
    <d v="1899-12-30T07:26:00"/>
    <s v="Bloqué 5Go"/>
    <n v="446"/>
    <n v="97.3"/>
    <n v="5"/>
    <n v="0.45"/>
    <x v="106"/>
  </r>
  <r>
    <s v="Clients_Churn_Part_14.xlsx"/>
    <s v="CLI-00429"/>
    <n v="2.3333333333333335"/>
    <x v="20"/>
    <n v="28"/>
    <s v="B2C"/>
    <d v="1899-12-30T05:43:00"/>
    <s v="Premium 5G 150Go"/>
    <n v="343"/>
    <n v="64.34"/>
    <n v="5"/>
    <n v="0.45"/>
    <x v="107"/>
  </r>
  <r>
    <s v="Clients_Churn_Part_04.xlsx"/>
    <s v="CLI-00431"/>
    <n v="5"/>
    <x v="15"/>
    <n v="60"/>
    <s v="B2B"/>
    <d v="1899-12-30T05:34:00"/>
    <s v="Pro Monde"/>
    <n v="334"/>
    <n v="71.72"/>
    <n v="3"/>
    <n v="0.45"/>
    <x v="108"/>
  </r>
  <r>
    <s v="Clients_Churn_Part_11.xlsx"/>
    <s v="CLI-00433"/>
    <n v="3"/>
    <x v="13"/>
    <n v="36"/>
    <s v="B2C"/>
    <d v="1899-12-30T08:07:00"/>
    <s v="Illimité 50Go"/>
    <n v="487"/>
    <n v="45.02"/>
    <n v="2"/>
    <n v="0.45"/>
    <x v="109"/>
  </r>
  <r>
    <s v="Clients_Churn_Part_07.xlsx"/>
    <s v="CLI-00435"/>
    <n v="8.8333333333333339"/>
    <x v="17"/>
    <n v="106"/>
    <s v="B2C"/>
    <d v="1899-12-30T06:47:00"/>
    <s v="Illimité 50Go"/>
    <n v="407"/>
    <n v="59.92"/>
    <n v="4"/>
    <n v="0.45"/>
    <x v="110"/>
  </r>
  <r>
    <s v="Clients_Churn_Part_02.xlsx"/>
    <s v="CLI-00439"/>
    <n v="3.3333333333333335"/>
    <x v="12"/>
    <n v="40"/>
    <s v="B2C"/>
    <d v="1899-12-30T05:45:00"/>
    <s v="Premium 5G 150Go"/>
    <n v="345"/>
    <n v="89.55"/>
    <n v="3"/>
    <n v="0.45"/>
    <x v="111"/>
  </r>
  <r>
    <s v="Clients_Churn_Part_07.xlsx"/>
    <s v="CLI-00442"/>
    <n v="10"/>
    <x v="19"/>
    <n v="120"/>
    <s v="B2C"/>
    <d v="1899-12-30T04:02:00"/>
    <s v="Illimité 50Go"/>
    <n v="242"/>
    <n v="61.54"/>
    <n v="1"/>
    <n v="0.45"/>
    <x v="112"/>
  </r>
  <r>
    <s v="Clients_Churn_Part_02.xlsx"/>
    <s v="CLI-00447"/>
    <n v="6.75"/>
    <x v="5"/>
    <n v="81"/>
    <s v="B2C"/>
    <d v="1899-12-30T02:17:00"/>
    <s v="Premium 5G 150Go"/>
    <n v="137"/>
    <n v="89.05"/>
    <n v="0"/>
    <n v="0"/>
    <x v="0"/>
  </r>
  <r>
    <s v="Clients_Churn_Part_15.xlsx"/>
    <s v="CLI-00450"/>
    <n v="8.75"/>
    <x v="14"/>
    <n v="105"/>
    <s v="B2C"/>
    <d v="1899-12-30T07:34:00"/>
    <s v="Premium 5G 150Go"/>
    <n v="454"/>
    <n v="49.47"/>
    <n v="4"/>
    <n v="0.45"/>
    <x v="113"/>
  </r>
  <r>
    <s v="Clients_Churn_Part_06.xlsx"/>
    <s v="CLI-00460"/>
    <n v="0.41666666666666669"/>
    <x v="25"/>
    <n v="5"/>
    <s v="B2B"/>
    <d v="1899-12-30T01:38:00"/>
    <s v="Pro Monde"/>
    <n v="98"/>
    <n v="71.37"/>
    <n v="1"/>
    <n v="0.1"/>
    <x v="114"/>
  </r>
  <r>
    <s v="Clients_Churn_Part_06.xlsx"/>
    <s v="CLI-00469"/>
    <n v="2.0833333333333335"/>
    <x v="18"/>
    <n v="25"/>
    <s v="B2C"/>
    <d v="1899-12-30T07:47:00"/>
    <s v="Premium 5G 150Go"/>
    <n v="467"/>
    <n v="97.78"/>
    <n v="3"/>
    <n v="0.45"/>
    <x v="115"/>
  </r>
  <r>
    <s v="Clients_Churn_Part_09.xlsx"/>
    <s v="CLI-00471"/>
    <n v="3"/>
    <x v="17"/>
    <n v="36"/>
    <s v="B2C"/>
    <d v="1899-12-30T02:17:00"/>
    <s v="Premium 5G 150Go"/>
    <n v="137"/>
    <n v="71.930000000000007"/>
    <n v="0"/>
    <n v="0.45"/>
    <x v="116"/>
  </r>
  <r>
    <s v="Clients_Churn_Part_15.xlsx"/>
    <s v="CLI-00475"/>
    <n v="6.75"/>
    <x v="10"/>
    <n v="81"/>
    <s v="B2C"/>
    <d v="1899-12-30T05:39:00"/>
    <s v="Illimité 50Go"/>
    <n v="339"/>
    <n v="53.4"/>
    <n v="2"/>
    <n v="0.45"/>
    <x v="117"/>
  </r>
  <r>
    <s v="Clients_Churn_Part_15.xlsx"/>
    <s v="CLI-00476"/>
    <n v="1.75"/>
    <x v="21"/>
    <n v="21"/>
    <s v="B2C"/>
    <d v="1899-12-30T07:55:00"/>
    <s v="Bloqué 5Go"/>
    <n v="475"/>
    <n v="15.12"/>
    <n v="2"/>
    <n v="0.45"/>
    <x v="118"/>
  </r>
  <r>
    <s v="Clients_Churn_Part_08.xlsx"/>
    <s v="CLI-00481"/>
    <n v="1.5833333333333333"/>
    <x v="19"/>
    <n v="19"/>
    <s v="B2C"/>
    <d v="1899-12-30T07:30:00"/>
    <s v="Illimité 50Go"/>
    <n v="450"/>
    <n v="37.43"/>
    <n v="2"/>
    <n v="0.45"/>
    <x v="119"/>
  </r>
  <r>
    <s v="Clients_Churn_Part_04.xlsx"/>
    <s v="CLI-00483"/>
    <n v="5.333333333333333"/>
    <x v="17"/>
    <n v="64"/>
    <s v="B2B"/>
    <d v="1899-12-30T00:06:00"/>
    <s v="Pro Monde"/>
    <n v="6"/>
    <n v="40.58"/>
    <n v="5"/>
    <n v="0.1"/>
    <x v="120"/>
  </r>
  <r>
    <s v="Clients_Churn_Part_02.xlsx"/>
    <s v="CLI-00484"/>
    <n v="6.833333333333333"/>
    <x v="1"/>
    <n v="82"/>
    <s v="B2C"/>
    <d v="1899-12-30T02:12:00"/>
    <s v="Bloqué 5Go"/>
    <n v="132"/>
    <n v="50.14"/>
    <n v="5"/>
    <n v="0"/>
    <x v="0"/>
  </r>
  <r>
    <s v="Clients_Churn_Part_03.xlsx"/>
    <s v="CLI-00485"/>
    <n v="6.166666666666667"/>
    <x v="10"/>
    <n v="74"/>
    <s v="B2B"/>
    <d v="1899-12-30T06:11:00"/>
    <s v="Pro Monde"/>
    <n v="371"/>
    <n v="53.27"/>
    <n v="3"/>
    <n v="0.45"/>
    <x v="121"/>
  </r>
  <r>
    <s v="Clients_Churn_Part_02.xlsx"/>
    <s v="CLI-00488"/>
    <n v="9.6666666666666661"/>
    <x v="14"/>
    <n v="116"/>
    <s v="B2B"/>
    <d v="1899-12-30T08:06:00"/>
    <s v="Pro Monde"/>
    <n v="486"/>
    <n v="92.96"/>
    <n v="5"/>
    <n v="0.45"/>
    <x v="122"/>
  </r>
  <r>
    <s v="Clients_Churn_Part_03.xlsx"/>
    <s v="CLI-00491"/>
    <n v="2.4166666666666665"/>
    <x v="22"/>
    <n v="29"/>
    <s v="B2B"/>
    <d v="1899-12-30T00:34:00"/>
    <s v="Pro Monde"/>
    <n v="34"/>
    <n v="86.68"/>
    <n v="1"/>
    <n v="0.1"/>
    <x v="123"/>
  </r>
  <r>
    <s v="Clients_Churn_Part_11.xlsx"/>
    <s v="CLI-00492"/>
    <n v="9.4166666666666661"/>
    <x v="11"/>
    <n v="113"/>
    <s v="B2B"/>
    <d v="1899-12-30T02:32:00"/>
    <s v="Pro Monde"/>
    <n v="152"/>
    <n v="51.28"/>
    <n v="4"/>
    <n v="0.1"/>
    <x v="124"/>
  </r>
  <r>
    <s v="Clients_Churn_Part_14.xlsx"/>
    <s v="CLI-00496"/>
    <n v="1.3333333333333333"/>
    <x v="11"/>
    <n v="16"/>
    <s v="B2C"/>
    <d v="1899-12-30T06:30:00"/>
    <s v="Illimité 50Go"/>
    <n v="390"/>
    <n v="52.64"/>
    <n v="0"/>
    <n v="0.45"/>
    <x v="125"/>
  </r>
  <r>
    <s v="Clients_Churn_Part_14.xlsx"/>
    <s v="CLI-00497"/>
    <n v="6"/>
    <x v="11"/>
    <n v="72"/>
    <s v="B2B"/>
    <d v="1899-12-30T07:22:00"/>
    <s v="Pro Monde"/>
    <n v="442"/>
    <n v="59.2"/>
    <n v="1"/>
    <n v="0.45"/>
    <x v="126"/>
  </r>
  <r>
    <s v="Clients_Churn_Part_03.xlsx"/>
    <s v="CLI-00505"/>
    <n v="4.916666666666667"/>
    <x v="10"/>
    <n v="59"/>
    <s v="B2C"/>
    <d v="1899-12-30T03:16:00"/>
    <s v="Bloqué 5Go"/>
    <n v="196"/>
    <n v="62.53"/>
    <n v="0"/>
    <n v="0"/>
    <x v="0"/>
  </r>
  <r>
    <s v="Clients_Churn_Part_07.xlsx"/>
    <s v="CLI-00509"/>
    <n v="3.1666666666666665"/>
    <x v="10"/>
    <n v="38"/>
    <s v="B2C"/>
    <d v="1899-12-30T01:00:00"/>
    <s v="Premium 5G 150Go"/>
    <n v="60"/>
    <n v="58.28"/>
    <n v="4"/>
    <n v="0.45"/>
    <x v="127"/>
  </r>
  <r>
    <s v="Clients_Churn_Part_12.xlsx"/>
    <s v="CLI-00510"/>
    <n v="9.8333333333333339"/>
    <x v="23"/>
    <n v="118"/>
    <s v="B2C"/>
    <d v="1899-12-30T03:06:00"/>
    <s v="Bloqué 5Go"/>
    <n v="186"/>
    <n v="46.88"/>
    <n v="1"/>
    <n v="0"/>
    <x v="0"/>
  </r>
  <r>
    <s v="Clients_Churn_Part_05.xlsx"/>
    <s v="CLI-00512"/>
    <n v="3.5"/>
    <x v="18"/>
    <n v="42"/>
    <s v="B2C"/>
    <d v="1899-12-30T07:33:00"/>
    <s v="Illimité 50Go"/>
    <n v="453"/>
    <n v="36.700000000000003"/>
    <n v="4"/>
    <n v="0.45"/>
    <x v="128"/>
  </r>
  <r>
    <s v="Clients_Churn_Part_02.xlsx"/>
    <s v="CLI-00516"/>
    <n v="6.666666666666667"/>
    <x v="23"/>
    <n v="80"/>
    <s v="B2C"/>
    <d v="1899-12-30T04:20:00"/>
    <s v="Bloqué 5Go"/>
    <n v="260"/>
    <n v="65.87"/>
    <n v="3"/>
    <n v="0.45"/>
    <x v="129"/>
  </r>
  <r>
    <s v="Clients_Churn_Part_03.xlsx"/>
    <s v="CLI-00519"/>
    <n v="0.58333333333333337"/>
    <x v="13"/>
    <n v="7"/>
    <s v="B2C"/>
    <d v="1899-12-30T05:03:00"/>
    <s v="Premium 5G 150Go"/>
    <n v="303"/>
    <n v="60.95"/>
    <n v="0"/>
    <n v="0.45"/>
    <x v="130"/>
  </r>
  <r>
    <s v="Clients_Churn_Part_08.xlsx"/>
    <s v="CLI-00520"/>
    <n v="1.1666666666666667"/>
    <x v="4"/>
    <n v="14"/>
    <s v="B2B"/>
    <d v="1899-12-30T05:45:00"/>
    <s v="Pro Monde"/>
    <n v="345"/>
    <n v="39.57"/>
    <n v="3"/>
    <n v="0.45"/>
    <x v="131"/>
  </r>
  <r>
    <s v="Clients_Churn_Part_02.xlsx"/>
    <s v="CLI-00521"/>
    <n v="6.916666666666667"/>
    <x v="5"/>
    <n v="83"/>
    <s v="B2C"/>
    <d v="1899-12-30T04:44:00"/>
    <s v="Premium 5G 150Go"/>
    <n v="284"/>
    <n v="73.7"/>
    <n v="0"/>
    <n v="0.45"/>
    <x v="132"/>
  </r>
  <r>
    <s v="Clients_Churn_Part_13.xlsx"/>
    <s v="CLI-00522"/>
    <n v="4.666666666666667"/>
    <x v="12"/>
    <n v="56"/>
    <s v="B2C"/>
    <d v="1899-12-30T02:03:00"/>
    <s v="Premium 5G 150Go"/>
    <n v="123"/>
    <n v="29.76"/>
    <n v="5"/>
    <n v="0.45"/>
    <x v="133"/>
  </r>
  <r>
    <s v="Clients_Churn_Part_11.xlsx"/>
    <s v="CLI-00523"/>
    <n v="2.75"/>
    <x v="7"/>
    <n v="33"/>
    <s v="B2B"/>
    <d v="1899-12-30T03:27:00"/>
    <s v="Pro Monde"/>
    <n v="207"/>
    <n v="38.49"/>
    <n v="4"/>
    <n v="0.1"/>
    <x v="134"/>
  </r>
  <r>
    <s v="Clients_Churn_Part_04.xlsx"/>
    <s v="CLI-00524"/>
    <n v="9.4166666666666661"/>
    <x v="8"/>
    <n v="113"/>
    <s v="B2C"/>
    <d v="1899-12-30T03:27:00"/>
    <s v="Premium 5G 150Go"/>
    <n v="207"/>
    <n v="21.55"/>
    <n v="0"/>
    <n v="0"/>
    <x v="0"/>
  </r>
  <r>
    <s v="Clients_Churn_Part_07.xlsx"/>
    <s v="CLI-00525"/>
    <n v="7.416666666666667"/>
    <x v="3"/>
    <n v="89"/>
    <s v="B2C"/>
    <d v="1899-12-30T06:58:00"/>
    <s v="Illimité 50Go"/>
    <n v="418"/>
    <n v="86.63"/>
    <n v="4"/>
    <n v="0.45"/>
    <x v="135"/>
  </r>
  <r>
    <s v="Clients_Churn_Part_01.xlsx"/>
    <s v="CLI-00530"/>
    <n v="2.9166666666666665"/>
    <x v="24"/>
    <n v="35"/>
    <s v="B2B"/>
    <d v="1899-12-30T07:45:00"/>
    <s v="Pro Monde"/>
    <n v="465"/>
    <n v="58.59"/>
    <n v="5"/>
    <n v="0.45"/>
    <x v="136"/>
  </r>
  <r>
    <s v="Clients_Churn_Part_13.xlsx"/>
    <s v="CLI-00532"/>
    <n v="6.583333333333333"/>
    <x v="16"/>
    <n v="79"/>
    <s v="B2C"/>
    <d v="1899-12-30T02:19:00"/>
    <s v="Illimité 50Go"/>
    <n v="139"/>
    <n v="16.25"/>
    <n v="4"/>
    <n v="0"/>
    <x v="0"/>
  </r>
  <r>
    <s v="Clients_Churn_Part_06.xlsx"/>
    <s v="CLI-00533"/>
    <n v="6.833333333333333"/>
    <x v="18"/>
    <n v="82"/>
    <s v="B2C"/>
    <d v="1899-12-30T00:32:00"/>
    <s v="Premium 5G 150Go"/>
    <n v="32"/>
    <n v="77.63"/>
    <n v="1"/>
    <n v="0"/>
    <x v="0"/>
  </r>
  <r>
    <s v="Clients_Churn_Part_05.xlsx"/>
    <s v="CLI-00534"/>
    <n v="1.75"/>
    <x v="25"/>
    <n v="21"/>
    <s v="B2C"/>
    <d v="1899-12-30T05:07:00"/>
    <s v="Bloqué 5Go"/>
    <n v="307"/>
    <n v="39.81"/>
    <n v="5"/>
    <n v="0.45"/>
    <x v="137"/>
  </r>
  <r>
    <s v="Clients_Churn_Part_04.xlsx"/>
    <s v="CLI-00535"/>
    <n v="6.166666666666667"/>
    <x v="14"/>
    <n v="74"/>
    <s v="B2C"/>
    <d v="1899-12-30T03:33:00"/>
    <s v="Premium 5G 150Go"/>
    <n v="213"/>
    <n v="35.54"/>
    <n v="3"/>
    <n v="0"/>
    <x v="0"/>
  </r>
  <r>
    <s v="Clients_Churn_Part_06.xlsx"/>
    <s v="CLI-00537"/>
    <n v="8.25"/>
    <x v="13"/>
    <n v="99"/>
    <s v="B2B"/>
    <d v="1899-12-30T05:25:00"/>
    <s v="Pro Monde"/>
    <n v="325"/>
    <n v="88.35"/>
    <n v="4"/>
    <n v="0.45"/>
    <x v="138"/>
  </r>
  <r>
    <s v="Clients_Churn_Part_09.xlsx"/>
    <s v="CLI-00540"/>
    <n v="1.25"/>
    <x v="21"/>
    <n v="15"/>
    <s v="B2C"/>
    <d v="1899-12-30T01:21:00"/>
    <s v="Illimité 50Go"/>
    <n v="81"/>
    <n v="97.5"/>
    <n v="4"/>
    <n v="0"/>
    <x v="0"/>
  </r>
  <r>
    <s v="Clients_Churn_Part_09.xlsx"/>
    <s v="CLI-00541"/>
    <n v="3"/>
    <x v="15"/>
    <n v="36"/>
    <s v="B2C"/>
    <d v="1899-12-30T05:03:00"/>
    <s v="Bloqué 5Go"/>
    <n v="303"/>
    <n v="89.56"/>
    <n v="1"/>
    <n v="0.45"/>
    <x v="139"/>
  </r>
  <r>
    <s v="Clients_Churn_Part_13.xlsx"/>
    <s v="CLI-00543"/>
    <n v="1.25"/>
    <x v="11"/>
    <n v="15"/>
    <s v="B2B"/>
    <d v="1899-12-30T03:23:00"/>
    <s v="Pro Monde"/>
    <n v="203"/>
    <n v="55.29"/>
    <n v="2"/>
    <n v="0.1"/>
    <x v="140"/>
  </r>
  <r>
    <s v="Clients_Churn_Part_07.xlsx"/>
    <s v="CLI-00546"/>
    <n v="2.0833333333333335"/>
    <x v="5"/>
    <n v="25"/>
    <s v="B2B"/>
    <d v="1899-12-30T03:38:00"/>
    <s v="Pro Monde"/>
    <n v="218"/>
    <n v="68.790000000000006"/>
    <n v="0"/>
    <n v="0.1"/>
    <x v="141"/>
  </r>
  <r>
    <s v="Clients_Churn_Part_15.xlsx"/>
    <s v="CLI-00549"/>
    <n v="4.083333333333333"/>
    <x v="9"/>
    <n v="49"/>
    <s v="B2C"/>
    <d v="1899-12-30T04:48:00"/>
    <s v="Bloqué 5Go"/>
    <n v="288"/>
    <n v="91.32"/>
    <n v="4"/>
    <n v="0.45"/>
    <x v="142"/>
  </r>
  <r>
    <s v="Clients_Churn_Part_11.xlsx"/>
    <s v="CLI-00550"/>
    <n v="4.833333333333333"/>
    <x v="7"/>
    <n v="58"/>
    <s v="B2B"/>
    <d v="1899-12-30T05:52:00"/>
    <s v="Pro Monde"/>
    <n v="352"/>
    <n v="72.94"/>
    <n v="0"/>
    <n v="0.45"/>
    <x v="143"/>
  </r>
  <r>
    <s v="Clients_Churn_Part_10.xlsx"/>
    <s v="CLI-00552"/>
    <n v="8.5"/>
    <x v="1"/>
    <n v="102"/>
    <s v="B2C"/>
    <d v="1899-12-30T04:00:00"/>
    <s v="Illimité 50Go"/>
    <n v="240"/>
    <n v="12.52"/>
    <n v="2"/>
    <n v="0.45"/>
    <x v="144"/>
  </r>
  <r>
    <s v="Clients_Churn_Part_01.xlsx"/>
    <s v="CLI-00559"/>
    <n v="8.25"/>
    <x v="13"/>
    <n v="99"/>
    <s v="B2C"/>
    <d v="1899-12-30T06:09:00"/>
    <s v="Bloqué 5Go"/>
    <n v="369"/>
    <n v="67.209999999999994"/>
    <n v="3"/>
    <n v="0.45"/>
    <x v="145"/>
  </r>
  <r>
    <s v="Clients_Churn_Part_04.xlsx"/>
    <s v="CLI-00562"/>
    <n v="6.833333333333333"/>
    <x v="22"/>
    <n v="82"/>
    <s v="B2C"/>
    <d v="1899-12-30T04:24:00"/>
    <s v="Premium 5G 150Go"/>
    <n v="264"/>
    <n v="88.03"/>
    <n v="1"/>
    <n v="0.45"/>
    <x v="146"/>
  </r>
  <r>
    <s v="Clients_Churn_Part_02.xlsx"/>
    <s v="CLI-00563"/>
    <n v="6"/>
    <x v="7"/>
    <n v="72"/>
    <s v="B2C"/>
    <d v="1899-12-30T00:51:00"/>
    <s v="Illimité 50Go"/>
    <n v="51"/>
    <n v="95.09"/>
    <n v="0"/>
    <n v="0"/>
    <x v="0"/>
  </r>
  <r>
    <s v="Clients_Churn_Part_01.xlsx"/>
    <s v="CLI-00569"/>
    <n v="9.1666666666666661"/>
    <x v="19"/>
    <n v="110"/>
    <s v="B2B"/>
    <d v="1899-12-30T07:03:00"/>
    <s v="Pro Monde"/>
    <n v="423"/>
    <n v="37.35"/>
    <n v="4"/>
    <n v="0.45"/>
    <x v="147"/>
  </r>
  <r>
    <s v="Clients_Churn_Part_08.xlsx"/>
    <s v="CLI-00576"/>
    <n v="8.6666666666666661"/>
    <x v="7"/>
    <n v="104"/>
    <s v="B2B"/>
    <d v="1899-12-30T01:00:00"/>
    <s v="Pro Monde"/>
    <n v="60"/>
    <n v="45.51"/>
    <n v="1"/>
    <n v="0.1"/>
    <x v="148"/>
  </r>
  <r>
    <s v="Clients_Churn_Part_06.xlsx"/>
    <s v="CLI-00578"/>
    <n v="8"/>
    <x v="8"/>
    <n v="96"/>
    <s v="B2C"/>
    <d v="1899-12-30T04:50:00"/>
    <s v="Illimité 50Go"/>
    <n v="290"/>
    <n v="29"/>
    <n v="3"/>
    <n v="0.45"/>
    <x v="149"/>
  </r>
  <r>
    <s v="Clients_Churn_Part_07.xlsx"/>
    <s v="CLI-00580"/>
    <n v="1.4166666666666667"/>
    <x v="7"/>
    <n v="17"/>
    <s v="B2C"/>
    <d v="1899-12-30T08:03:00"/>
    <s v="Illimité 50Go"/>
    <n v="483"/>
    <n v="77.08"/>
    <n v="0"/>
    <n v="0.45"/>
    <x v="150"/>
  </r>
  <r>
    <s v="Clients_Churn_Part_10.xlsx"/>
    <s v="CLI-00582"/>
    <n v="3.5833333333333335"/>
    <x v="18"/>
    <n v="43"/>
    <s v="B2C"/>
    <d v="1899-12-30T03:13:00"/>
    <s v="Premium 5G 150Go"/>
    <n v="193"/>
    <n v="35.81"/>
    <n v="0"/>
    <n v="0.45"/>
    <x v="151"/>
  </r>
  <r>
    <s v="Clients_Churn_Part_10.xlsx"/>
    <s v="CLI-00583"/>
    <n v="8.6666666666666661"/>
    <x v="2"/>
    <n v="104"/>
    <s v="B2B"/>
    <d v="1899-12-30T02:05:00"/>
    <s v="Pro Monde"/>
    <n v="125"/>
    <n v="29.7"/>
    <n v="2"/>
    <n v="0.1"/>
    <x v="152"/>
  </r>
  <r>
    <s v="Clients_Churn_Part_11.xlsx"/>
    <s v="CLI-00584"/>
    <n v="0.5"/>
    <x v="21"/>
    <n v="6"/>
    <s v="B2B"/>
    <d v="1899-12-30T05:42:00"/>
    <s v="Pro Monde"/>
    <n v="342"/>
    <n v="50.55"/>
    <n v="5"/>
    <n v="0.45"/>
    <x v="153"/>
  </r>
  <r>
    <s v="Clients_Churn_Part_07.xlsx"/>
    <s v="CLI-00590"/>
    <n v="9.0833333333333339"/>
    <x v="19"/>
    <n v="109"/>
    <s v="B2C"/>
    <d v="1899-12-30T05:47:00"/>
    <s v="Illimité 50Go"/>
    <n v="347"/>
    <n v="43.06"/>
    <n v="4"/>
    <n v="0.45"/>
    <x v="154"/>
  </r>
  <r>
    <s v="Clients_Churn_Part_07.xlsx"/>
    <s v="CLI-00595"/>
    <n v="9.1666666666666661"/>
    <x v="18"/>
    <n v="110"/>
    <s v="B2C"/>
    <d v="1899-12-30T05:21:00"/>
    <s v="Premium 5G 150Go"/>
    <n v="321"/>
    <n v="81.569999999999993"/>
    <n v="2"/>
    <n v="0.45"/>
    <x v="155"/>
  </r>
  <r>
    <s v="Clients_Churn_Part_12.xlsx"/>
    <s v="CLI-00596"/>
    <n v="1.4166666666666667"/>
    <x v="10"/>
    <n v="17"/>
    <s v="B2C"/>
    <d v="1899-12-30T05:10:00"/>
    <s v="Illimité 50Go"/>
    <n v="310"/>
    <n v="19.68"/>
    <n v="5"/>
    <n v="0.45"/>
    <x v="156"/>
  </r>
  <r>
    <s v="Clients_Churn_Part_15.xlsx"/>
    <s v="CLI-00601"/>
    <n v="6.25"/>
    <x v="4"/>
    <n v="75"/>
    <s v="B2C"/>
    <d v="1899-12-30T06:10:00"/>
    <s v="Bloqué 5Go"/>
    <n v="370"/>
    <n v="21.67"/>
    <n v="0"/>
    <n v="0.45"/>
    <x v="157"/>
  </r>
  <r>
    <s v="Clients_Churn_Part_14.xlsx"/>
    <s v="CLI-00604"/>
    <n v="1"/>
    <x v="1"/>
    <n v="12"/>
    <s v="B2C"/>
    <d v="1899-12-30T01:02:00"/>
    <s v="Bloqué 5Go"/>
    <n v="62"/>
    <n v="36.1"/>
    <n v="5"/>
    <n v="0"/>
    <x v="0"/>
  </r>
  <r>
    <s v="Clients_Churn_Part_12.xlsx"/>
    <s v="CLI-00606"/>
    <n v="5.916666666666667"/>
    <x v="11"/>
    <n v="71"/>
    <s v="B2B"/>
    <d v="1899-12-30T01:51:00"/>
    <s v="Pro Monde"/>
    <n v="111"/>
    <n v="95.53"/>
    <n v="3"/>
    <n v="0.1"/>
    <x v="158"/>
  </r>
  <r>
    <s v="Clients_Churn_Part_04.xlsx"/>
    <s v="CLI-00610"/>
    <n v="5.583333333333333"/>
    <x v="14"/>
    <n v="67"/>
    <s v="B2C"/>
    <d v="1899-12-30T04:01:00"/>
    <s v="Premium 5G 150Go"/>
    <n v="241"/>
    <n v="47.72"/>
    <n v="0"/>
    <n v="0.45"/>
    <x v="159"/>
  </r>
  <r>
    <s v="Clients_Churn_Part_01.xlsx"/>
    <s v="CLI-00611"/>
    <n v="6.583333333333333"/>
    <x v="23"/>
    <n v="79"/>
    <s v="B2C"/>
    <d v="1899-12-30T03:46:00"/>
    <s v="Premium 5G 150Go"/>
    <n v="226"/>
    <n v="94.38"/>
    <n v="3"/>
    <n v="0"/>
    <x v="0"/>
  </r>
  <r>
    <s v="Clients_Churn_Part_11.xlsx"/>
    <s v="CLI-00612"/>
    <n v="4.416666666666667"/>
    <x v="17"/>
    <n v="53"/>
    <s v="B2B"/>
    <d v="1899-12-30T00:27:00"/>
    <s v="Pro Monde"/>
    <n v="27"/>
    <n v="18.77"/>
    <n v="0"/>
    <n v="0.1"/>
    <x v="160"/>
  </r>
  <r>
    <s v="Clients_Churn_Part_12.xlsx"/>
    <s v="CLI-00616"/>
    <n v="8.4166666666666661"/>
    <x v="21"/>
    <n v="101"/>
    <s v="B2C"/>
    <d v="1899-12-30T04:22:00"/>
    <s v="Bloqué 5Go"/>
    <n v="262"/>
    <n v="83.74"/>
    <n v="5"/>
    <n v="0.45"/>
    <x v="161"/>
  </r>
  <r>
    <s v="Clients_Churn_Part_04.xlsx"/>
    <s v="CLI-00617"/>
    <n v="6.916666666666667"/>
    <x v="0"/>
    <n v="83"/>
    <s v="B2B"/>
    <d v="1899-12-30T07:00:00"/>
    <s v="Pro Monde"/>
    <n v="420"/>
    <n v="94.9"/>
    <n v="1"/>
    <n v="0.45"/>
    <x v="162"/>
  </r>
  <r>
    <s v="Clients_Churn_Part_08.xlsx"/>
    <s v="CLI-00620"/>
    <n v="1.9166666666666667"/>
    <x v="2"/>
    <n v="23"/>
    <s v="B2C"/>
    <d v="1899-12-30T04:28:00"/>
    <s v="Premium 5G 150Go"/>
    <n v="268"/>
    <n v="26.75"/>
    <n v="3"/>
    <n v="0.45"/>
    <x v="163"/>
  </r>
  <r>
    <s v="Clients_Churn_Part_14.xlsx"/>
    <s v="CLI-00621"/>
    <n v="5.583333333333333"/>
    <x v="0"/>
    <n v="67"/>
    <s v="B2C"/>
    <d v="1899-12-30T04:22:00"/>
    <s v="Premium 5G 150Go"/>
    <n v="262"/>
    <n v="28.46"/>
    <n v="3"/>
    <n v="0.45"/>
    <x v="164"/>
  </r>
  <r>
    <s v="Clients_Churn_Part_05.xlsx"/>
    <s v="CLI-00626"/>
    <n v="0.16666666666666666"/>
    <x v="0"/>
    <n v="2"/>
    <s v="B2B"/>
    <d v="1899-12-30T02:22:00"/>
    <s v="Pro Monde"/>
    <n v="142"/>
    <n v="37.799999999999997"/>
    <n v="0"/>
    <n v="0.1"/>
    <x v="165"/>
  </r>
  <r>
    <s v="Clients_Churn_Part_03.xlsx"/>
    <s v="CLI-00632"/>
    <n v="9.0833333333333339"/>
    <x v="1"/>
    <n v="109"/>
    <s v="B2B"/>
    <d v="1899-12-30T08:00:00"/>
    <s v="Pro Monde"/>
    <n v="480"/>
    <n v="31.36"/>
    <n v="0"/>
    <n v="0.45"/>
    <x v="166"/>
  </r>
  <r>
    <s v="Clients_Churn_Part_03.xlsx"/>
    <s v="CLI-00634"/>
    <n v="4.5"/>
    <x v="17"/>
    <n v="54"/>
    <s v="B2C"/>
    <d v="1899-12-30T01:39:00"/>
    <s v="Bloqué 5Go"/>
    <n v="99"/>
    <n v="39.58"/>
    <n v="0"/>
    <n v="0"/>
    <x v="0"/>
  </r>
  <r>
    <s v="Clients_Churn_Part_11.xlsx"/>
    <s v="CLI-00636"/>
    <n v="9.8333333333333339"/>
    <x v="5"/>
    <n v="118"/>
    <s v="B2C"/>
    <d v="1899-12-30T07:41:00"/>
    <s v="Bloqué 5Go"/>
    <n v="461"/>
    <n v="47.82"/>
    <n v="5"/>
    <n v="0.45"/>
    <x v="167"/>
  </r>
  <r>
    <s v="Clients_Churn_Part_02.xlsx"/>
    <s v="CLI-00642"/>
    <n v="7.166666666666667"/>
    <x v="24"/>
    <n v="86"/>
    <s v="B2B"/>
    <d v="1899-12-30T03:57:00"/>
    <s v="Pro Monde"/>
    <n v="237"/>
    <n v="85.82"/>
    <n v="5"/>
    <n v="0.1"/>
    <x v="168"/>
  </r>
  <r>
    <s v="Clients_Churn_Part_01.xlsx"/>
    <s v="CLI-00643"/>
    <n v="1.1666666666666667"/>
    <x v="18"/>
    <n v="14"/>
    <s v="B2B"/>
    <d v="1899-12-30T05:16:00"/>
    <s v="Pro Monde"/>
    <n v="316"/>
    <n v="62.34"/>
    <n v="4"/>
    <n v="0.45"/>
    <x v="169"/>
  </r>
  <r>
    <s v="Clients_Churn_Part_09.xlsx"/>
    <s v="CLI-00647"/>
    <n v="3.4166666666666665"/>
    <x v="1"/>
    <n v="41"/>
    <s v="B2C"/>
    <d v="1899-12-30T06:44:00"/>
    <s v="Illimité 50Go"/>
    <n v="404"/>
    <n v="98.67"/>
    <n v="5"/>
    <n v="0.45"/>
    <x v="170"/>
  </r>
  <r>
    <s v="Clients_Churn_Part_03.xlsx"/>
    <s v="CLI-00649"/>
    <n v="6.583333333333333"/>
    <x v="21"/>
    <n v="79"/>
    <s v="B2C"/>
    <d v="1899-12-30T06:43:00"/>
    <s v="Illimité 50Go"/>
    <n v="403"/>
    <n v="21.49"/>
    <n v="0"/>
    <n v="0.45"/>
    <x v="171"/>
  </r>
  <r>
    <s v="Clients_Churn_Part_04.xlsx"/>
    <s v="CLI-00650"/>
    <n v="7.416666666666667"/>
    <x v="7"/>
    <n v="89"/>
    <s v="B2B"/>
    <d v="1899-12-30T03:23:00"/>
    <s v="Pro Monde"/>
    <n v="203"/>
    <n v="80.680000000000007"/>
    <n v="5"/>
    <n v="0.1"/>
    <x v="172"/>
  </r>
  <r>
    <s v="Clients_Churn_Part_05.xlsx"/>
    <s v="CLI-00655"/>
    <n v="1.5"/>
    <x v="11"/>
    <n v="18"/>
    <s v="B2C"/>
    <d v="1899-12-30T04:51:00"/>
    <s v="Bloqué 5Go"/>
    <n v="291"/>
    <n v="97.98"/>
    <n v="1"/>
    <n v="0.45"/>
    <x v="173"/>
  </r>
  <r>
    <s v="Clients_Churn_Part_11.xlsx"/>
    <s v="CLI-00662"/>
    <n v="1"/>
    <x v="16"/>
    <n v="12"/>
    <s v="B2C"/>
    <d v="1899-12-30T02:18:00"/>
    <s v="Illimité 50Go"/>
    <n v="138"/>
    <n v="17"/>
    <n v="2"/>
    <n v="0"/>
    <x v="0"/>
  </r>
  <r>
    <s v="Clients_Churn_Part_07.xlsx"/>
    <s v="CLI-00663"/>
    <n v="8"/>
    <x v="4"/>
    <n v="96"/>
    <s v="B2C"/>
    <d v="1899-12-30T06:21:00"/>
    <s v="Illimité 50Go"/>
    <n v="381"/>
    <n v="90.78"/>
    <n v="2"/>
    <n v="0.45"/>
    <x v="174"/>
  </r>
  <r>
    <s v="Clients_Churn_Part_11.xlsx"/>
    <s v="CLI-00666"/>
    <n v="10"/>
    <x v="2"/>
    <n v="120"/>
    <s v="B2C"/>
    <d v="1899-12-30T00:27:00"/>
    <s v="Bloqué 5Go"/>
    <n v="27"/>
    <n v="24.46"/>
    <n v="3"/>
    <n v="0"/>
    <x v="0"/>
  </r>
  <r>
    <s v="Clients_Churn_Part_05.xlsx"/>
    <s v="CLI-00670"/>
    <n v="5.416666666666667"/>
    <x v="9"/>
    <n v="65"/>
    <s v="B2C"/>
    <d v="1899-12-30T01:58:00"/>
    <s v="Bloqué 5Go"/>
    <n v="118"/>
    <n v="72.430000000000007"/>
    <n v="1"/>
    <n v="0"/>
    <x v="0"/>
  </r>
  <r>
    <s v="Clients_Churn_Part_05.xlsx"/>
    <s v="CLI-00671"/>
    <n v="1.0833333333333333"/>
    <x v="13"/>
    <n v="13"/>
    <s v="B2B"/>
    <d v="1899-12-30T05:47:00"/>
    <s v="Pro Monde"/>
    <n v="347"/>
    <n v="32.35"/>
    <n v="2"/>
    <n v="0.45"/>
    <x v="175"/>
  </r>
  <r>
    <s v="Clients_Churn_Part_10.xlsx"/>
    <s v="CLI-00674"/>
    <n v="10"/>
    <x v="17"/>
    <n v="120"/>
    <s v="B2B"/>
    <d v="1899-12-30T01:12:00"/>
    <s v="Pro Monde"/>
    <n v="72"/>
    <n v="29.07"/>
    <n v="3"/>
    <n v="0.1"/>
    <x v="176"/>
  </r>
  <r>
    <s v="Clients_Churn_Part_02.xlsx"/>
    <s v="CLI-00675"/>
    <n v="9.5"/>
    <x v="15"/>
    <n v="114"/>
    <s v="B2C"/>
    <d v="1899-12-30T04:43:00"/>
    <s v="Premium 5G 150Go"/>
    <n v="283"/>
    <n v="29.15"/>
    <n v="3"/>
    <n v="0.45"/>
    <x v="177"/>
  </r>
  <r>
    <s v="Clients_Churn_Part_04.xlsx"/>
    <s v="CLI-00682"/>
    <n v="4.833333333333333"/>
    <x v="14"/>
    <n v="58"/>
    <s v="B2C"/>
    <d v="1899-12-30T06:45:00"/>
    <s v="Bloqué 5Go"/>
    <n v="405"/>
    <n v="18.39"/>
    <n v="0"/>
    <n v="0.45"/>
    <x v="178"/>
  </r>
  <r>
    <s v="Clients_Churn_Part_14.xlsx"/>
    <s v="CLI-00684"/>
    <n v="7.833333333333333"/>
    <x v="17"/>
    <n v="94"/>
    <s v="B2C"/>
    <d v="1899-12-30T04:21:00"/>
    <s v="Illimité 50Go"/>
    <n v="261"/>
    <n v="70.09"/>
    <n v="3"/>
    <n v="0.45"/>
    <x v="179"/>
  </r>
  <r>
    <s v="Clients_Churn_Part_08.xlsx"/>
    <s v="CLI-00695"/>
    <n v="6.166666666666667"/>
    <x v="14"/>
    <n v="74"/>
    <s v="B2C"/>
    <d v="1899-12-30T04:13:00"/>
    <s v="Illimité 50Go"/>
    <n v="253"/>
    <n v="36.94"/>
    <n v="5"/>
    <n v="0.45"/>
    <x v="180"/>
  </r>
  <r>
    <s v="Clients_Churn_Part_12.xlsx"/>
    <s v="CLI-00700"/>
    <n v="4.166666666666667"/>
    <x v="2"/>
    <n v="50"/>
    <s v="B2C"/>
    <d v="1899-12-30T02:57:00"/>
    <s v="Illimité 50Go"/>
    <n v="177"/>
    <n v="74.569999999999993"/>
    <n v="4"/>
    <n v="0"/>
    <x v="0"/>
  </r>
  <r>
    <s v="Clients_Churn_Part_15.xlsx"/>
    <s v="CLI-00705"/>
    <n v="2.1666666666666665"/>
    <x v="7"/>
    <n v="26"/>
    <s v="B2C"/>
    <d v="1899-12-30T06:18:00"/>
    <s v="Illimité 50Go"/>
    <n v="378"/>
    <n v="88.59"/>
    <n v="4"/>
    <n v="0.45"/>
    <x v="181"/>
  </r>
  <r>
    <s v="Clients_Churn_Part_15.xlsx"/>
    <s v="CLI-00711"/>
    <n v="2.1666666666666665"/>
    <x v="13"/>
    <n v="26"/>
    <s v="B2C"/>
    <d v="1899-12-30T06:31:00"/>
    <s v="Premium 5G 150Go"/>
    <n v="391"/>
    <n v="18.28"/>
    <n v="3"/>
    <n v="0.45"/>
    <x v="182"/>
  </r>
  <r>
    <s v="Clients_Churn_Part_09.xlsx"/>
    <s v="CLI-00716"/>
    <n v="8.6666666666666661"/>
    <x v="3"/>
    <n v="104"/>
    <s v="B2B"/>
    <d v="1899-12-30T07:01:00"/>
    <s v="Pro Monde"/>
    <n v="421"/>
    <n v="26.24"/>
    <n v="3"/>
    <n v="0.45"/>
    <x v="183"/>
  </r>
  <r>
    <s v="Clients_Churn_Part_04.xlsx"/>
    <s v="CLI-00721"/>
    <n v="9"/>
    <x v="6"/>
    <n v="108"/>
    <s v="B2C"/>
    <d v="1899-12-30T03:50:00"/>
    <s v="Premium 5G 150Go"/>
    <n v="230"/>
    <n v="16.3"/>
    <n v="5"/>
    <n v="0"/>
    <x v="0"/>
  </r>
  <r>
    <s v="Clients_Churn_Part_08.xlsx"/>
    <s v="CLI-00726"/>
    <n v="8.5833333333333339"/>
    <x v="6"/>
    <n v="103"/>
    <s v="B2B"/>
    <d v="1899-12-30T04:30:00"/>
    <s v="Pro Monde"/>
    <n v="270"/>
    <n v="67.87"/>
    <n v="3"/>
    <n v="0.45"/>
    <x v="184"/>
  </r>
  <r>
    <s v="Clients_Churn_Part_13.xlsx"/>
    <s v="CLI-00728"/>
    <n v="7.75"/>
    <x v="23"/>
    <n v="93"/>
    <s v="B2B"/>
    <d v="1899-12-30T00:56:00"/>
    <s v="Pro Monde"/>
    <n v="56"/>
    <n v="96.31"/>
    <n v="4"/>
    <n v="0.1"/>
    <x v="185"/>
  </r>
  <r>
    <s v="Clients_Churn_Part_09.xlsx"/>
    <s v="CLI-00731"/>
    <n v="7.166666666666667"/>
    <x v="8"/>
    <n v="86"/>
    <s v="B2C"/>
    <d v="1899-12-30T07:32:00"/>
    <s v="Premium 5G 150Go"/>
    <n v="452"/>
    <n v="75.680000000000007"/>
    <n v="0"/>
    <n v="0.45"/>
    <x v="186"/>
  </r>
  <r>
    <s v="Clients_Churn_Part_11.xlsx"/>
    <s v="CLI-00736"/>
    <n v="3.9166666666666665"/>
    <x v="17"/>
    <n v="47"/>
    <s v="B2C"/>
    <d v="1899-12-30T06:25:00"/>
    <s v="Illimité 50Go"/>
    <n v="385"/>
    <n v="41.33"/>
    <n v="0"/>
    <n v="0.45"/>
    <x v="187"/>
  </r>
  <r>
    <s v="Clients_Churn_Part_09.xlsx"/>
    <s v="CLI-00739"/>
    <n v="6.916666666666667"/>
    <x v="1"/>
    <n v="83"/>
    <s v="B2C"/>
    <d v="1899-12-30T01:45:00"/>
    <s v="Premium 5G 150Go"/>
    <n v="105"/>
    <n v="20.46"/>
    <n v="1"/>
    <n v="0"/>
    <x v="0"/>
  </r>
  <r>
    <s v="Clients_Churn_Part_03.xlsx"/>
    <s v="CLI-00744"/>
    <n v="7"/>
    <x v="15"/>
    <n v="84"/>
    <s v="B2C"/>
    <d v="1899-12-30T05:17:00"/>
    <s v="Bloqué 5Go"/>
    <n v="317"/>
    <n v="36.200000000000003"/>
    <n v="3"/>
    <n v="0.45"/>
    <x v="188"/>
  </r>
  <r>
    <s v="Clients_Churn_Part_01.xlsx"/>
    <s v="CLI-00745"/>
    <n v="0.5"/>
    <x v="20"/>
    <n v="6"/>
    <s v="B2C"/>
    <d v="1899-12-30T03:27:00"/>
    <s v="Premium 5G 150Go"/>
    <n v="207"/>
    <n v="61.55"/>
    <n v="0"/>
    <n v="0.45"/>
    <x v="189"/>
  </r>
  <r>
    <s v="Clients_Churn_Part_06.xlsx"/>
    <s v="CLI-00753"/>
    <n v="3.3333333333333335"/>
    <x v="8"/>
    <n v="40"/>
    <s v="B2C"/>
    <d v="1899-12-30T01:42:00"/>
    <s v="Premium 5G 150Go"/>
    <n v="102"/>
    <n v="96.59"/>
    <n v="5"/>
    <n v="0.45"/>
    <x v="190"/>
  </r>
  <r>
    <s v="Clients_Churn_Part_03.xlsx"/>
    <s v="CLI-00754"/>
    <n v="3.5"/>
    <x v="2"/>
    <n v="42"/>
    <s v="B2C"/>
    <d v="1899-12-30T02:53:00"/>
    <s v="Illimité 50Go"/>
    <n v="173"/>
    <n v="69.19"/>
    <n v="4"/>
    <n v="0"/>
    <x v="0"/>
  </r>
  <r>
    <s v="Clients_Churn_Part_12.xlsx"/>
    <s v="CLI-00755"/>
    <n v="4.25"/>
    <x v="9"/>
    <n v="51"/>
    <s v="B2C"/>
    <d v="1899-12-30T05:37:00"/>
    <s v="Bloqué 5Go"/>
    <n v="337"/>
    <n v="68.67"/>
    <n v="5"/>
    <n v="0.45"/>
    <x v="191"/>
  </r>
  <r>
    <s v="Clients_Churn_Part_07.xlsx"/>
    <s v="CLI-00758"/>
    <n v="9"/>
    <x v="1"/>
    <n v="108"/>
    <s v="B2C"/>
    <d v="1899-12-30T02:03:00"/>
    <s v="Illimité 50Go"/>
    <n v="123"/>
    <n v="83.1"/>
    <n v="1"/>
    <n v="0"/>
    <x v="0"/>
  </r>
  <r>
    <s v="Clients_Churn_Part_08.xlsx"/>
    <s v="CLI-00760"/>
    <n v="9.4166666666666661"/>
    <x v="11"/>
    <n v="113"/>
    <s v="B2C"/>
    <d v="1899-12-30T01:29:00"/>
    <s v="Premium 5G 150Go"/>
    <n v="89"/>
    <n v="54.28"/>
    <n v="0"/>
    <n v="0"/>
    <x v="0"/>
  </r>
  <r>
    <s v="Clients_Churn_Part_10.xlsx"/>
    <s v="CLI-00766"/>
    <n v="8.4166666666666661"/>
    <x v="6"/>
    <n v="101"/>
    <s v="B2C"/>
    <d v="1899-12-30T06:56:00"/>
    <s v="Bloqué 5Go"/>
    <n v="416"/>
    <n v="83.49"/>
    <n v="2"/>
    <n v="0.45"/>
    <x v="192"/>
  </r>
  <r>
    <s v="Clients_Churn_Part_02.xlsx"/>
    <s v="CLI-00768"/>
    <n v="6.166666666666667"/>
    <x v="20"/>
    <n v="74"/>
    <s v="B2C"/>
    <d v="1899-12-30T03:28:00"/>
    <s v="Premium 5G 150Go"/>
    <n v="208"/>
    <n v="39.56"/>
    <n v="0"/>
    <n v="0"/>
    <x v="0"/>
  </r>
  <r>
    <s v="Clients_Churn_Part_06.xlsx"/>
    <s v="CLI-00773"/>
    <n v="0.83333333333333337"/>
    <x v="14"/>
    <n v="10"/>
    <s v="B2C"/>
    <d v="1899-12-30T01:33:00"/>
    <s v="Bloqué 5Go"/>
    <n v="93"/>
    <n v="78.12"/>
    <n v="4"/>
    <n v="0"/>
    <x v="0"/>
  </r>
  <r>
    <s v="Clients_Churn_Part_08.xlsx"/>
    <s v="CLI-00781"/>
    <n v="1.3333333333333333"/>
    <x v="0"/>
    <n v="16"/>
    <s v="B2C"/>
    <d v="1899-12-30T06:31:00"/>
    <s v="Premium 5G 150Go"/>
    <n v="391"/>
    <n v="90.12"/>
    <n v="5"/>
    <n v="0.45"/>
    <x v="193"/>
  </r>
  <r>
    <s v="Clients_Churn_Part_11.xlsx"/>
    <s v="CLI-00782"/>
    <n v="4.916666666666667"/>
    <x v="12"/>
    <n v="59"/>
    <s v="B2B"/>
    <d v="1899-12-30T01:12:00"/>
    <s v="Pro Monde"/>
    <n v="72"/>
    <n v="94.51"/>
    <n v="2"/>
    <n v="0.1"/>
    <x v="194"/>
  </r>
  <r>
    <s v="Clients_Churn_Part_07.xlsx"/>
    <s v="CLI-00783"/>
    <n v="3.4166666666666665"/>
    <x v="7"/>
    <n v="41"/>
    <s v="B2B"/>
    <d v="1899-12-30T07:54:00"/>
    <s v="Pro Monde"/>
    <n v="474"/>
    <n v="54.03"/>
    <n v="4"/>
    <n v="0.45"/>
    <x v="195"/>
  </r>
  <r>
    <s v="Clients_Churn_Part_07.xlsx"/>
    <s v="CLI-00786"/>
    <n v="0.41666666666666669"/>
    <x v="9"/>
    <n v="5"/>
    <s v="B2C"/>
    <d v="1899-12-30T05:37:00"/>
    <s v="Illimité 50Go"/>
    <n v="337"/>
    <n v="21.07"/>
    <n v="4"/>
    <n v="0.45"/>
    <x v="196"/>
  </r>
  <r>
    <s v="Clients_Churn_Part_03.xlsx"/>
    <s v="CLI-00788"/>
    <n v="9.8333333333333339"/>
    <x v="22"/>
    <n v="118"/>
    <s v="B2C"/>
    <d v="1899-12-30T07:10:00"/>
    <s v="Illimité 50Go"/>
    <n v="430"/>
    <n v="36.97"/>
    <n v="2"/>
    <n v="0.45"/>
    <x v="197"/>
  </r>
  <r>
    <s v="Clients_Churn_Part_11.xlsx"/>
    <s v="CLI-00795"/>
    <n v="4.416666666666667"/>
    <x v="1"/>
    <n v="53"/>
    <s v="B2C"/>
    <d v="1899-12-30T04:03:00"/>
    <s v="Premium 5G 150Go"/>
    <n v="243"/>
    <n v="55.19"/>
    <n v="4"/>
    <n v="0.45"/>
    <x v="198"/>
  </r>
  <r>
    <s v="Clients_Churn_Part_03.xlsx"/>
    <s v="CLI-00796"/>
    <n v="7.916666666666667"/>
    <x v="23"/>
    <n v="95"/>
    <s v="B2B"/>
    <d v="1899-12-30T01:35:00"/>
    <s v="Pro Monde"/>
    <n v="95"/>
    <n v="82.65"/>
    <n v="2"/>
    <n v="0.1"/>
    <x v="199"/>
  </r>
  <r>
    <s v="Clients_Churn_Part_02.xlsx"/>
    <s v="CLI-00799"/>
    <n v="6.916666666666667"/>
    <x v="23"/>
    <n v="83"/>
    <s v="B2C"/>
    <d v="1899-12-30T00:14:00"/>
    <s v="Illimité 50Go"/>
    <n v="14"/>
    <n v="58.07"/>
    <n v="3"/>
    <n v="0"/>
    <x v="0"/>
  </r>
  <r>
    <s v="Clients_Churn_Part_15.xlsx"/>
    <s v="CLI-00800"/>
    <n v="0.33333333333333331"/>
    <x v="9"/>
    <n v="4"/>
    <s v="B2C"/>
    <d v="1899-12-30T00:21:00"/>
    <s v="Bloqué 5Go"/>
    <n v="21"/>
    <n v="45.8"/>
    <n v="1"/>
    <n v="0"/>
    <x v="0"/>
  </r>
  <r>
    <s v="Clients_Churn_Part_14.xlsx"/>
    <s v="CLI-00803"/>
    <n v="2.9166666666666665"/>
    <x v="5"/>
    <n v="35"/>
    <s v="B2B"/>
    <d v="1899-12-30T04:59:00"/>
    <s v="Pro Monde"/>
    <n v="299"/>
    <n v="96.32"/>
    <n v="4"/>
    <n v="0.45"/>
    <x v="200"/>
  </r>
  <r>
    <s v="Clients_Churn_Part_04.xlsx"/>
    <s v="CLI-00805"/>
    <n v="8.0833333333333339"/>
    <x v="16"/>
    <n v="97"/>
    <s v="B2C"/>
    <d v="1899-12-30T08:04:00"/>
    <s v="Bloqué 5Go"/>
    <n v="484"/>
    <n v="61.98"/>
    <n v="1"/>
    <n v="0.45"/>
    <x v="201"/>
  </r>
  <r>
    <s v="Clients_Churn_Part_06.xlsx"/>
    <s v="CLI-00806"/>
    <n v="6.333333333333333"/>
    <x v="17"/>
    <n v="76"/>
    <s v="B2C"/>
    <d v="1899-12-30T06:23:00"/>
    <s v="Illimité 50Go"/>
    <n v="383"/>
    <n v="53.73"/>
    <n v="2"/>
    <n v="0.45"/>
    <x v="202"/>
  </r>
  <r>
    <s v="Clients_Churn_Part_10.xlsx"/>
    <s v="CLI-00808"/>
    <n v="0.83333333333333337"/>
    <x v="9"/>
    <n v="10"/>
    <s v="B2C"/>
    <d v="1899-12-30T07:05:00"/>
    <s v="Premium 5G 150Go"/>
    <n v="425"/>
    <n v="85.75"/>
    <n v="0"/>
    <n v="0.45"/>
    <x v="203"/>
  </r>
  <r>
    <s v="Clients_Churn_Part_08.xlsx"/>
    <s v="CLI-00809"/>
    <n v="5.666666666666667"/>
    <x v="15"/>
    <n v="68"/>
    <s v="B2B"/>
    <d v="1899-12-30T07:42:00"/>
    <s v="Pro Monde"/>
    <n v="462"/>
    <n v="41.91"/>
    <n v="1"/>
    <n v="0.45"/>
    <x v="204"/>
  </r>
  <r>
    <s v="Clients_Churn_Part_01.xlsx"/>
    <s v="CLI-00813"/>
    <n v="1.3333333333333333"/>
    <x v="8"/>
    <n v="16"/>
    <s v="B2C"/>
    <d v="1899-12-30T00:43:00"/>
    <s v="Bloqué 5Go"/>
    <n v="43"/>
    <n v="56.48"/>
    <n v="0"/>
    <n v="0"/>
    <x v="0"/>
  </r>
  <r>
    <s v="Clients_Churn_Part_07.xlsx"/>
    <s v="CLI-00815"/>
    <n v="9.0833333333333339"/>
    <x v="22"/>
    <n v="109"/>
    <s v="B2B"/>
    <d v="1899-12-30T06:37:00"/>
    <s v="Pro Monde"/>
    <n v="397"/>
    <n v="63.92"/>
    <n v="1"/>
    <n v="0.45"/>
    <x v="205"/>
  </r>
  <r>
    <s v="Clients_Churn_Part_11.xlsx"/>
    <s v="CLI-00817"/>
    <n v="5.083333333333333"/>
    <x v="17"/>
    <n v="61"/>
    <s v="B2C"/>
    <d v="1899-12-30T02:20:00"/>
    <s v="Premium 5G 150Go"/>
    <n v="140"/>
    <n v="76.3"/>
    <n v="4"/>
    <n v="0"/>
    <x v="0"/>
  </r>
  <r>
    <s v="Clients_Churn_Part_15.xlsx"/>
    <s v="CLI-00819"/>
    <n v="8"/>
    <x v="22"/>
    <n v="96"/>
    <s v="B2B"/>
    <d v="1899-12-30T04:40:00"/>
    <s v="Pro Monde"/>
    <n v="280"/>
    <n v="80.36"/>
    <n v="5"/>
    <n v="0.45"/>
    <x v="206"/>
  </r>
  <r>
    <s v="Clients_Churn_Part_05.xlsx"/>
    <s v="CLI-00821"/>
    <n v="2.0833333333333335"/>
    <x v="22"/>
    <n v="25"/>
    <s v="B2C"/>
    <d v="1899-12-30T00:33:00"/>
    <s v="Bloqué 5Go"/>
    <n v="33"/>
    <n v="30.93"/>
    <n v="1"/>
    <n v="0"/>
    <x v="0"/>
  </r>
  <r>
    <s v="Clients_Churn_Part_06.xlsx"/>
    <s v="CLI-00822"/>
    <n v="3.75"/>
    <x v="24"/>
    <n v="45"/>
    <s v="B2C"/>
    <d v="1899-12-30T00:43:00"/>
    <s v="Illimité 50Go"/>
    <n v="43"/>
    <n v="12.31"/>
    <n v="0"/>
    <n v="0"/>
    <x v="0"/>
  </r>
  <r>
    <s v="Clients_Churn_Part_11.xlsx"/>
    <s v="CLI-00825"/>
    <n v="5.25"/>
    <x v="9"/>
    <n v="63"/>
    <s v="B2C"/>
    <d v="1899-12-30T01:49:00"/>
    <s v="Illimité 50Go"/>
    <n v="109"/>
    <n v="10.33"/>
    <n v="3"/>
    <n v="0"/>
    <x v="0"/>
  </r>
  <r>
    <s v="Clients_Churn_Part_13.xlsx"/>
    <s v="CLI-00830"/>
    <n v="3.4166666666666665"/>
    <x v="21"/>
    <n v="41"/>
    <s v="B2C"/>
    <d v="1899-12-30T01:30:00"/>
    <s v="Illimité 50Go"/>
    <n v="90"/>
    <n v="97.26"/>
    <n v="1"/>
    <n v="0"/>
    <x v="0"/>
  </r>
  <r>
    <s v="Clients_Churn_Part_04.xlsx"/>
    <s v="CLI-00833"/>
    <n v="2.9166666666666665"/>
    <x v="3"/>
    <n v="35"/>
    <s v="B2C"/>
    <d v="1899-12-30T01:47:00"/>
    <s v="Illimité 50Go"/>
    <n v="107"/>
    <n v="66.69"/>
    <n v="4"/>
    <n v="0"/>
    <x v="0"/>
  </r>
  <r>
    <s v="Clients_Churn_Part_01.xlsx"/>
    <s v="CLI-00834"/>
    <n v="8.8333333333333339"/>
    <x v="13"/>
    <n v="106"/>
    <s v="B2C"/>
    <d v="1899-12-30T06:40:00"/>
    <s v="Bloqué 5Go"/>
    <n v="400"/>
    <n v="70.02"/>
    <n v="4"/>
    <n v="0.45"/>
    <x v="207"/>
  </r>
  <r>
    <s v="Clients_Churn_Part_02.xlsx"/>
    <s v="CLI-00837"/>
    <n v="1.3333333333333333"/>
    <x v="9"/>
    <n v="16"/>
    <s v="B2C"/>
    <d v="1899-12-30T06:30:00"/>
    <s v="Bloqué 5Go"/>
    <n v="390"/>
    <n v="98.17"/>
    <n v="5"/>
    <n v="0.45"/>
    <x v="208"/>
  </r>
  <r>
    <s v="Clients_Churn_Part_05.xlsx"/>
    <s v="CLI-00841"/>
    <n v="7.666666666666667"/>
    <x v="18"/>
    <n v="92"/>
    <s v="B2C"/>
    <d v="1899-12-30T07:52:00"/>
    <s v="Bloqué 5Go"/>
    <n v="472"/>
    <n v="78.44"/>
    <n v="1"/>
    <n v="0.45"/>
    <x v="209"/>
  </r>
  <r>
    <s v="Clients_Churn_Part_04.xlsx"/>
    <s v="CLI-00846"/>
    <n v="9.5833333333333339"/>
    <x v="3"/>
    <n v="115"/>
    <s v="B2C"/>
    <d v="1899-12-30T03:56:00"/>
    <s v="Bloqué 5Go"/>
    <n v="236"/>
    <n v="50.64"/>
    <n v="1"/>
    <n v="0"/>
    <x v="0"/>
  </r>
  <r>
    <s v="Clients_Churn_Part_06.xlsx"/>
    <s v="CLI-00849"/>
    <n v="5.25"/>
    <x v="4"/>
    <n v="63"/>
    <s v="B2C"/>
    <d v="1899-12-30T01:35:00"/>
    <s v="Illimité 50Go"/>
    <n v="95"/>
    <n v="56.81"/>
    <n v="0"/>
    <n v="0"/>
    <x v="0"/>
  </r>
  <r>
    <s v="Clients_Churn_Part_15.xlsx"/>
    <s v="CLI-00852"/>
    <n v="9.9166666666666661"/>
    <x v="19"/>
    <n v="119"/>
    <s v="B2C"/>
    <d v="1899-12-30T02:13:00"/>
    <s v="Bloqué 5Go"/>
    <n v="133"/>
    <n v="30.27"/>
    <n v="5"/>
    <n v="0"/>
    <x v="0"/>
  </r>
  <r>
    <s v="Clients_Churn_Part_10.xlsx"/>
    <s v="CLI-00853"/>
    <n v="1.1666666666666667"/>
    <x v="23"/>
    <n v="14"/>
    <s v="B2C"/>
    <d v="1899-12-30T05:04:00"/>
    <s v="Illimité 50Go"/>
    <n v="304"/>
    <n v="48.13"/>
    <n v="2"/>
    <n v="0.45"/>
    <x v="210"/>
  </r>
  <r>
    <s v="Clients_Churn_Part_15.xlsx"/>
    <s v="CLI-00855"/>
    <n v="1.5"/>
    <x v="19"/>
    <n v="18"/>
    <s v="B2C"/>
    <d v="1899-12-30T07:43:00"/>
    <s v="Bloqué 5Go"/>
    <n v="463"/>
    <n v="41.66"/>
    <n v="4"/>
    <n v="0.45"/>
    <x v="211"/>
  </r>
  <r>
    <s v="Clients_Churn_Part_07.xlsx"/>
    <s v="CLI-00857"/>
    <n v="6.333333333333333"/>
    <x v="4"/>
    <n v="76"/>
    <s v="B2C"/>
    <d v="1899-12-30T05:32:00"/>
    <s v="Illimité 50Go"/>
    <n v="332"/>
    <n v="68.010000000000005"/>
    <n v="4"/>
    <n v="0.45"/>
    <x v="212"/>
  </r>
  <r>
    <s v="Clients_Churn_Part_04.xlsx"/>
    <s v="CLI-00862"/>
    <n v="4"/>
    <x v="16"/>
    <n v="48"/>
    <s v="B2C"/>
    <d v="1899-12-30T07:16:00"/>
    <s v="Bloqué 5Go"/>
    <n v="436"/>
    <n v="15.17"/>
    <n v="0"/>
    <n v="0.45"/>
    <x v="213"/>
  </r>
  <r>
    <s v="Clients_Churn_Part_01.xlsx"/>
    <s v="CLI-00865"/>
    <n v="2.8333333333333335"/>
    <x v="2"/>
    <n v="34"/>
    <s v="B2B"/>
    <d v="1899-12-30T07:33:00"/>
    <s v="Pro Monde"/>
    <n v="453"/>
    <n v="56.84"/>
    <n v="0"/>
    <n v="0.45"/>
    <x v="214"/>
  </r>
  <r>
    <s v="Clients_Churn_Part_04.xlsx"/>
    <s v="CLI-00866"/>
    <n v="2.5833333333333335"/>
    <x v="17"/>
    <n v="31"/>
    <s v="B2C"/>
    <d v="1899-12-30T02:40:00"/>
    <s v="Bloqué 5Go"/>
    <n v="160"/>
    <n v="59.76"/>
    <n v="4"/>
    <n v="0"/>
    <x v="0"/>
  </r>
  <r>
    <s v="Clients_Churn_Part_02.xlsx"/>
    <s v="CLI-00867"/>
    <n v="6.166666666666667"/>
    <x v="8"/>
    <n v="74"/>
    <s v="B2C"/>
    <d v="1899-12-30T00:09:00"/>
    <s v="Illimité 50Go"/>
    <n v="9"/>
    <n v="99.89"/>
    <n v="0"/>
    <n v="0"/>
    <x v="0"/>
  </r>
  <r>
    <s v="Clients_Churn_Part_03.xlsx"/>
    <s v="CLI-00868"/>
    <n v="7.333333333333333"/>
    <x v="5"/>
    <n v="88"/>
    <s v="B2C"/>
    <d v="1899-12-30T05:19:00"/>
    <s v="Illimité 50Go"/>
    <n v="319"/>
    <n v="56.18"/>
    <n v="0"/>
    <n v="0.45"/>
    <x v="215"/>
  </r>
  <r>
    <s v="Clients_Churn_Part_12.xlsx"/>
    <s v="CLI-00871"/>
    <n v="6.75"/>
    <x v="21"/>
    <n v="81"/>
    <s v="B2C"/>
    <d v="1899-12-30T01:04:00"/>
    <s v="Illimité 50Go"/>
    <n v="64"/>
    <n v="43.45"/>
    <n v="2"/>
    <n v="0"/>
    <x v="0"/>
  </r>
  <r>
    <s v="Clients_Churn_Part_12.xlsx"/>
    <s v="CLI-00873"/>
    <n v="6.166666666666667"/>
    <x v="11"/>
    <n v="74"/>
    <s v="B2C"/>
    <d v="1899-12-30T00:16:00"/>
    <s v="Illimité 50Go"/>
    <n v="16"/>
    <n v="93.01"/>
    <n v="3"/>
    <n v="0"/>
    <x v="0"/>
  </r>
  <r>
    <s v="Clients_Churn_Part_12.xlsx"/>
    <s v="CLI-00876"/>
    <n v="9"/>
    <x v="14"/>
    <n v="108"/>
    <s v="B2C"/>
    <d v="1899-12-30T07:40:00"/>
    <s v="Bloqué 5Go"/>
    <n v="460"/>
    <n v="88.95"/>
    <n v="3"/>
    <n v="0.45"/>
    <x v="216"/>
  </r>
  <r>
    <s v="Clients_Churn_Part_06.xlsx"/>
    <s v="CLI-00879"/>
    <n v="7.583333333333333"/>
    <x v="24"/>
    <n v="91"/>
    <s v="B2C"/>
    <d v="1899-12-30T01:03:00"/>
    <s v="Illimité 50Go"/>
    <n v="63"/>
    <n v="57.76"/>
    <n v="5"/>
    <n v="0"/>
    <x v="0"/>
  </r>
  <r>
    <s v="Clients_Churn_Part_09.xlsx"/>
    <s v="CLI-00881"/>
    <n v="0.58333333333333337"/>
    <x v="10"/>
    <n v="7"/>
    <s v="B2C"/>
    <d v="1899-12-30T01:34:00"/>
    <s v="Illimité 50Go"/>
    <n v="94"/>
    <n v="68.38"/>
    <n v="3"/>
    <n v="0"/>
    <x v="0"/>
  </r>
  <r>
    <s v="Clients_Churn_Part_07.xlsx"/>
    <s v="CLI-00884"/>
    <n v="3.9166666666666665"/>
    <x v="22"/>
    <n v="47"/>
    <s v="B2C"/>
    <d v="1899-12-30T00:49:00"/>
    <s v="Premium 5G 150Go"/>
    <n v="49"/>
    <n v="55.88"/>
    <n v="3"/>
    <n v="0.45"/>
    <x v="217"/>
  </r>
  <r>
    <s v="Clients_Churn_Part_15.xlsx"/>
    <s v="CLI-00885"/>
    <n v="4.5"/>
    <x v="9"/>
    <n v="54"/>
    <s v="B2C"/>
    <d v="1899-12-30T03:35:00"/>
    <s v="Illimité 50Go"/>
    <n v="215"/>
    <n v="54.69"/>
    <n v="0"/>
    <n v="0"/>
    <x v="0"/>
  </r>
  <r>
    <s v="Clients_Churn_Part_11.xlsx"/>
    <s v="CLI-00886"/>
    <n v="6.666666666666667"/>
    <x v="2"/>
    <n v="80"/>
    <s v="B2B"/>
    <d v="1899-12-30T07:38:00"/>
    <s v="Pro Monde"/>
    <n v="458"/>
    <n v="98.11"/>
    <n v="0"/>
    <n v="0.45"/>
    <x v="218"/>
  </r>
  <r>
    <s v="Clients_Churn_Part_08.xlsx"/>
    <s v="CLI-00887"/>
    <n v="9.5833333333333339"/>
    <x v="10"/>
    <n v="115"/>
    <s v="B2C"/>
    <d v="1899-12-30T07:47:00"/>
    <s v="Illimité 50Go"/>
    <n v="467"/>
    <n v="24.57"/>
    <n v="3"/>
    <n v="0.45"/>
    <x v="219"/>
  </r>
  <r>
    <s v="Clients_Churn_Part_13.xlsx"/>
    <s v="CLI-00889"/>
    <n v="8.6666666666666661"/>
    <x v="9"/>
    <n v="104"/>
    <s v="B2C"/>
    <d v="1899-12-30T00:50:00"/>
    <s v="Illimité 50Go"/>
    <n v="50"/>
    <n v="90.99"/>
    <n v="4"/>
    <n v="0"/>
    <x v="0"/>
  </r>
  <r>
    <s v="Clients_Churn_Part_12.xlsx"/>
    <s v="CLI-00890"/>
    <n v="8.5833333333333339"/>
    <x v="5"/>
    <n v="103"/>
    <s v="B2C"/>
    <d v="1899-12-30T05:10:00"/>
    <s v="Premium 5G 150Go"/>
    <n v="310"/>
    <n v="49.25"/>
    <n v="2"/>
    <n v="0.45"/>
    <x v="220"/>
  </r>
  <r>
    <s v="Clients_Churn_Part_06.xlsx"/>
    <s v="CLI-00892"/>
    <n v="2.6666666666666665"/>
    <x v="15"/>
    <n v="32"/>
    <s v="B2B"/>
    <d v="1899-12-30T00:04:00"/>
    <s v="Pro Monde"/>
    <n v="4"/>
    <n v="39"/>
    <n v="0"/>
    <n v="0.1"/>
    <x v="221"/>
  </r>
  <r>
    <s v="Clients_Churn_Part_09.xlsx"/>
    <s v="CLI-00893"/>
    <n v="4.5"/>
    <x v="14"/>
    <n v="54"/>
    <s v="B2C"/>
    <d v="1899-12-30T07:30:00"/>
    <s v="Bloqué 5Go"/>
    <n v="450"/>
    <n v="90.85"/>
    <n v="1"/>
    <n v="0.45"/>
    <x v="222"/>
  </r>
  <r>
    <s v="Clients_Churn_Part_01.xlsx"/>
    <s v="CLI-00894"/>
    <n v="5.25"/>
    <x v="6"/>
    <n v="63"/>
    <s v="B2B"/>
    <d v="1899-12-30T03:25:00"/>
    <s v="Pro Monde"/>
    <n v="205"/>
    <n v="89.19"/>
    <n v="0"/>
    <n v="0.1"/>
    <x v="223"/>
  </r>
  <r>
    <s v="Clients_Churn_Part_12.xlsx"/>
    <s v="CLI-00896"/>
    <n v="1.3333333333333333"/>
    <x v="14"/>
    <n v="16"/>
    <s v="B2C"/>
    <d v="1899-12-30T04:34:00"/>
    <s v="Premium 5G 150Go"/>
    <n v="274"/>
    <n v="27.97"/>
    <n v="4"/>
    <n v="0.45"/>
    <x v="224"/>
  </r>
  <r>
    <s v="Clients_Churn_Part_15.xlsx"/>
    <s v="CLI-00898"/>
    <n v="7.916666666666667"/>
    <x v="25"/>
    <n v="95"/>
    <s v="B2C"/>
    <d v="1899-12-30T05:13:00"/>
    <s v="Premium 5G 150Go"/>
    <n v="313"/>
    <n v="32.49"/>
    <n v="1"/>
    <n v="0.45"/>
    <x v="225"/>
  </r>
  <r>
    <s v="Clients_Churn_Part_04.xlsx"/>
    <s v="CLI-00899"/>
    <n v="4"/>
    <x v="0"/>
    <n v="48"/>
    <s v="B2B"/>
    <d v="1899-12-30T01:16:00"/>
    <s v="Pro Monde"/>
    <n v="76"/>
    <n v="39.35"/>
    <n v="2"/>
    <n v="0.1"/>
    <x v="226"/>
  </r>
  <r>
    <s v="Clients_Churn_Part_02.xlsx"/>
    <s v="CLI-00901"/>
    <n v="6.916666666666667"/>
    <x v="14"/>
    <n v="83"/>
    <s v="B2C"/>
    <d v="1899-12-30T02:06:00"/>
    <s v="Bloqué 5Go"/>
    <n v="126"/>
    <n v="67.17"/>
    <n v="1"/>
    <n v="0"/>
    <x v="0"/>
  </r>
  <r>
    <s v="Clients_Churn_Part_09.xlsx"/>
    <s v="CLI-00902"/>
    <n v="8"/>
    <x v="2"/>
    <n v="96"/>
    <s v="B2C"/>
    <d v="1899-12-30T02:35:00"/>
    <s v="Illimité 50Go"/>
    <n v="155"/>
    <n v="69.16"/>
    <n v="4"/>
    <n v="0"/>
    <x v="0"/>
  </r>
  <r>
    <s v="Clients_Churn_Part_09.xlsx"/>
    <s v="CLI-00905"/>
    <n v="1.0833333333333333"/>
    <x v="9"/>
    <n v="13"/>
    <s v="B2C"/>
    <d v="1899-12-30T08:02:00"/>
    <s v="Illimité 50Go"/>
    <n v="482"/>
    <n v="50.15"/>
    <n v="0"/>
    <n v="0.45"/>
    <x v="227"/>
  </r>
  <r>
    <s v="Clients_Churn_Part_03.xlsx"/>
    <s v="CLI-00907"/>
    <n v="0.33333333333333331"/>
    <x v="6"/>
    <n v="4"/>
    <s v="B2C"/>
    <d v="1899-12-30T03:47:00"/>
    <s v="Bloqué 5Go"/>
    <n v="227"/>
    <n v="83.32"/>
    <n v="2"/>
    <n v="0"/>
    <x v="0"/>
  </r>
  <r>
    <s v="Clients_Churn_Part_05.xlsx"/>
    <s v="CLI-00909"/>
    <n v="4.083333333333333"/>
    <x v="12"/>
    <n v="49"/>
    <s v="B2C"/>
    <d v="1899-12-30T00:06:00"/>
    <s v="Illimité 50Go"/>
    <n v="6"/>
    <n v="44.41"/>
    <n v="3"/>
    <n v="0"/>
    <x v="0"/>
  </r>
  <r>
    <s v="Clients_Churn_Part_14.xlsx"/>
    <s v="CLI-00912"/>
    <n v="3.0833333333333335"/>
    <x v="8"/>
    <n v="37"/>
    <s v="B2C"/>
    <d v="1899-12-30T07:00:00"/>
    <s v="Premium 5G 150Go"/>
    <n v="420"/>
    <n v="67.260000000000005"/>
    <n v="4"/>
    <n v="0.45"/>
    <x v="228"/>
  </r>
  <r>
    <s v="Clients_Churn_Part_11.xlsx"/>
    <s v="CLI-00913"/>
    <n v="7.333333333333333"/>
    <x v="5"/>
    <n v="88"/>
    <s v="B2C"/>
    <d v="1899-12-30T04:06:00"/>
    <s v="Bloqué 5Go"/>
    <n v="246"/>
    <n v="90.7"/>
    <n v="3"/>
    <n v="0.45"/>
    <x v="229"/>
  </r>
  <r>
    <s v="Clients_Churn_Part_15.xlsx"/>
    <s v="CLI-00919"/>
    <n v="2.1666666666666665"/>
    <x v="21"/>
    <n v="26"/>
    <s v="B2C"/>
    <d v="1899-12-30T06:53:00"/>
    <s v="Bloqué 5Go"/>
    <n v="413"/>
    <n v="10.9"/>
    <n v="5"/>
    <n v="0.45"/>
    <x v="230"/>
  </r>
  <r>
    <s v="Clients_Churn_Part_14.xlsx"/>
    <s v="CLI-00921"/>
    <n v="7.166666666666667"/>
    <x v="14"/>
    <n v="86"/>
    <s v="B2B"/>
    <d v="1899-12-30T05:53:00"/>
    <s v="Pro Monde"/>
    <n v="353"/>
    <n v="25.37"/>
    <n v="1"/>
    <n v="0.45"/>
    <x v="231"/>
  </r>
  <r>
    <s v="Clients_Churn_Part_13.xlsx"/>
    <s v="CLI-00922"/>
    <n v="8.4166666666666661"/>
    <x v="7"/>
    <n v="101"/>
    <s v="B2B"/>
    <d v="1899-12-30T01:48:00"/>
    <s v="Pro Monde"/>
    <n v="108"/>
    <n v="76.05"/>
    <n v="3"/>
    <n v="0.1"/>
    <x v="232"/>
  </r>
  <r>
    <s v="Clients_Churn_Part_07.xlsx"/>
    <s v="CLI-00924"/>
    <n v="8.75"/>
    <x v="21"/>
    <n v="105"/>
    <s v="B2C"/>
    <d v="1899-12-30T00:17:00"/>
    <s v="Premium 5G 150Go"/>
    <n v="17"/>
    <n v="60.05"/>
    <n v="4"/>
    <n v="0"/>
    <x v="0"/>
  </r>
  <r>
    <s v="Clients_Churn_Part_05.xlsx"/>
    <s v="CLI-00925"/>
    <n v="5.083333333333333"/>
    <x v="19"/>
    <n v="61"/>
    <s v="B2C"/>
    <d v="1899-12-30T01:27:00"/>
    <s v="Illimité 50Go"/>
    <n v="87"/>
    <n v="68.319999999999993"/>
    <n v="2"/>
    <n v="0"/>
    <x v="0"/>
  </r>
  <r>
    <s v="Clients_Churn_Part_10.xlsx"/>
    <s v="CLI-00928"/>
    <n v="7.833333333333333"/>
    <x v="20"/>
    <n v="94"/>
    <s v="B2C"/>
    <d v="1899-12-30T00:06:00"/>
    <s v="Illimité 50Go"/>
    <n v="6"/>
    <n v="67.459999999999994"/>
    <n v="5"/>
    <n v="0"/>
    <x v="0"/>
  </r>
  <r>
    <s v="Clients_Churn_Part_05.xlsx"/>
    <s v="CLI-00929"/>
    <n v="0.5"/>
    <x v="16"/>
    <n v="6"/>
    <s v="B2B"/>
    <d v="1899-12-30T01:49:00"/>
    <s v="Pro Monde"/>
    <n v="109"/>
    <n v="39.880000000000003"/>
    <n v="4"/>
    <n v="0.1"/>
    <x v="233"/>
  </r>
  <r>
    <s v="Clients_Churn_Part_06.xlsx"/>
    <s v="CLI-00930"/>
    <n v="5.166666666666667"/>
    <x v="23"/>
    <n v="62"/>
    <s v="B2C"/>
    <d v="1899-12-30T02:16:00"/>
    <s v="Illimité 50Go"/>
    <n v="136"/>
    <n v="88.61"/>
    <n v="2"/>
    <n v="0"/>
    <x v="0"/>
  </r>
  <r>
    <s v="Clients_Churn_Part_13.xlsx"/>
    <s v="CLI-00932"/>
    <n v="2.8333333333333335"/>
    <x v="24"/>
    <n v="34"/>
    <s v="B2C"/>
    <d v="1899-12-30T03:01:00"/>
    <s v="Illimité 50Go"/>
    <n v="181"/>
    <n v="35.92"/>
    <n v="2"/>
    <n v="0"/>
    <x v="0"/>
  </r>
  <r>
    <s v="Clients_Churn_Part_09.xlsx"/>
    <s v="CLI-00938"/>
    <n v="8.25"/>
    <x v="2"/>
    <n v="99"/>
    <s v="B2B"/>
    <d v="1899-12-30T02:18:00"/>
    <s v="Pro Monde"/>
    <n v="138"/>
    <n v="54.64"/>
    <n v="5"/>
    <n v="0.1"/>
    <x v="234"/>
  </r>
  <r>
    <s v="Clients_Churn_Part_07.xlsx"/>
    <s v="CLI-00939"/>
    <n v="4.916666666666667"/>
    <x v="19"/>
    <n v="59"/>
    <s v="B2C"/>
    <d v="1899-12-30T05:52:00"/>
    <s v="Premium 5G 150Go"/>
    <n v="352"/>
    <n v="74.239999999999995"/>
    <n v="0"/>
    <n v="0.45"/>
    <x v="235"/>
  </r>
  <r>
    <s v="Clients_Churn_Part_10.xlsx"/>
    <s v="CLI-00943"/>
    <n v="1.5833333333333333"/>
    <x v="1"/>
    <n v="19"/>
    <s v="B2C"/>
    <d v="1899-12-30T01:11:00"/>
    <s v="Bloqué 5Go"/>
    <n v="71"/>
    <n v="68.2"/>
    <n v="0"/>
    <n v="0"/>
    <x v="0"/>
  </r>
  <r>
    <s v="Clients_Churn_Part_06.xlsx"/>
    <s v="CLI-00948"/>
    <n v="4.666666666666667"/>
    <x v="18"/>
    <n v="56"/>
    <s v="B2B"/>
    <d v="1899-12-30T00:55:00"/>
    <s v="Pro Monde"/>
    <n v="55"/>
    <n v="82.56"/>
    <n v="2"/>
    <n v="0.1"/>
    <x v="236"/>
  </r>
  <r>
    <s v="Clients_Churn_Part_12.xlsx"/>
    <s v="CLI-00950"/>
    <n v="7.833333333333333"/>
    <x v="0"/>
    <n v="94"/>
    <s v="B2B"/>
    <d v="1899-12-30T04:07:00"/>
    <s v="Pro Monde"/>
    <n v="247"/>
    <n v="96.57"/>
    <n v="0"/>
    <n v="0.45"/>
    <x v="237"/>
  </r>
  <r>
    <s v="Clients_Churn_Part_13.xlsx"/>
    <s v="CLI-00952"/>
    <n v="1.1666666666666667"/>
    <x v="23"/>
    <n v="14"/>
    <s v="B2B"/>
    <d v="1899-12-30T03:56:00"/>
    <s v="Pro Monde"/>
    <n v="236"/>
    <n v="54.43"/>
    <n v="3"/>
    <n v="0.1"/>
    <x v="238"/>
  </r>
  <r>
    <s v="Clients_Churn_Part_09.xlsx"/>
    <s v="CLI-00957"/>
    <n v="5.25"/>
    <x v="23"/>
    <n v="63"/>
    <s v="B2B"/>
    <d v="1899-12-30T02:01:00"/>
    <s v="Pro Monde"/>
    <n v="121"/>
    <n v="39.18"/>
    <n v="2"/>
    <n v="0.1"/>
    <x v="239"/>
  </r>
  <r>
    <s v="Clients_Churn_Part_08.xlsx"/>
    <s v="CLI-00959"/>
    <n v="9.25"/>
    <x v="8"/>
    <n v="111"/>
    <s v="B2C"/>
    <d v="1899-12-30T03:14:00"/>
    <s v="Bloqué 5Go"/>
    <n v="194"/>
    <n v="48.55"/>
    <n v="2"/>
    <n v="0"/>
    <x v="0"/>
  </r>
  <r>
    <s v="Clients_Churn_Part_15.xlsx"/>
    <s v="CLI-00960"/>
    <n v="2.0833333333333335"/>
    <x v="1"/>
    <n v="25"/>
    <s v="B2B"/>
    <d v="1899-12-30T01:06:00"/>
    <s v="Pro Monde"/>
    <n v="66"/>
    <n v="90.14"/>
    <n v="5"/>
    <n v="0.1"/>
    <x v="240"/>
  </r>
  <r>
    <s v="Clients_Churn_Part_07.xlsx"/>
    <s v="CLI-00961"/>
    <n v="3.0833333333333335"/>
    <x v="22"/>
    <n v="37"/>
    <s v="B2B"/>
    <d v="1899-12-30T01:28:00"/>
    <s v="Pro Monde"/>
    <n v="88"/>
    <n v="77.77"/>
    <n v="1"/>
    <n v="0.1"/>
    <x v="241"/>
  </r>
  <r>
    <s v="Clients_Churn_Part_15.xlsx"/>
    <s v="CLI-00962"/>
    <n v="2.4166666666666665"/>
    <x v="5"/>
    <n v="29"/>
    <s v="B2C"/>
    <d v="1899-12-30T05:06:00"/>
    <s v="Bloqué 5Go"/>
    <n v="306"/>
    <n v="82.16"/>
    <n v="1"/>
    <n v="0.45"/>
    <x v="242"/>
  </r>
  <r>
    <s v="Clients_Churn_Part_09.xlsx"/>
    <s v="CLI-00964"/>
    <n v="1.0833333333333333"/>
    <x v="10"/>
    <n v="13"/>
    <s v="B2B"/>
    <d v="1899-12-30T01:27:00"/>
    <s v="Pro Monde"/>
    <n v="87"/>
    <n v="66.36"/>
    <n v="0"/>
    <n v="0.1"/>
    <x v="243"/>
  </r>
  <r>
    <s v="Clients_Churn_Part_04.xlsx"/>
    <s v="CLI-00965"/>
    <n v="2.25"/>
    <x v="7"/>
    <n v="27"/>
    <s v="B2C"/>
    <d v="1899-12-30T06:09:00"/>
    <s v="Premium 5G 150Go"/>
    <n v="369"/>
    <n v="19.78"/>
    <n v="1"/>
    <n v="0.45"/>
    <x v="244"/>
  </r>
  <r>
    <s v="Clients_Churn_Part_14.xlsx"/>
    <s v="CLI-00966"/>
    <n v="9.1666666666666661"/>
    <x v="12"/>
    <n v="110"/>
    <s v="B2C"/>
    <d v="1899-12-30T04:49:00"/>
    <s v="Premium 5G 150Go"/>
    <n v="289"/>
    <n v="83.67"/>
    <n v="4"/>
    <n v="0.45"/>
    <x v="245"/>
  </r>
  <r>
    <s v="Clients_Churn_Part_15.xlsx"/>
    <s v="CLI-00970"/>
    <n v="6.833333333333333"/>
    <x v="3"/>
    <n v="82"/>
    <s v="B2B"/>
    <d v="1899-12-30T05:12:00"/>
    <s v="Pro Monde"/>
    <n v="312"/>
    <n v="40.880000000000003"/>
    <n v="0"/>
    <n v="0.45"/>
    <x v="246"/>
  </r>
  <r>
    <s v="Clients_Churn_Part_14.xlsx"/>
    <s v="CLI-00971"/>
    <n v="8.3333333333333329E-2"/>
    <x v="22"/>
    <n v="1"/>
    <s v="B2B"/>
    <d v="1899-12-30T07:04:00"/>
    <s v="Pro Monde"/>
    <n v="424"/>
    <n v="59.2"/>
    <n v="2"/>
    <n v="0.45"/>
    <x v="126"/>
  </r>
  <r>
    <s v="Clients_Churn_Part_03.xlsx"/>
    <s v="CLI-00973"/>
    <n v="6"/>
    <x v="11"/>
    <n v="72"/>
    <s v="B2C"/>
    <d v="1899-12-30T00:05:00"/>
    <s v="Premium 5G 150Go"/>
    <n v="5"/>
    <n v="68.650000000000006"/>
    <n v="0"/>
    <n v="0"/>
    <x v="0"/>
  </r>
  <r>
    <s v="Clients_Churn_Part_03.xlsx"/>
    <s v="CLI-00974"/>
    <n v="0.58333333333333337"/>
    <x v="23"/>
    <n v="7"/>
    <s v="B2C"/>
    <d v="1899-12-30T05:17:00"/>
    <s v="Premium 5G 150Go"/>
    <n v="317"/>
    <n v="97.32"/>
    <n v="1"/>
    <n v="0.45"/>
    <x v="247"/>
  </r>
  <r>
    <s v="Clients_Churn_Part_11.xlsx"/>
    <s v="CLI-00976"/>
    <n v="5.416666666666667"/>
    <x v="12"/>
    <n v="65"/>
    <s v="B2B"/>
    <d v="1899-12-30T04:34:00"/>
    <s v="Pro Monde"/>
    <n v="274"/>
    <n v="88.1"/>
    <n v="4"/>
    <n v="0.45"/>
    <x v="248"/>
  </r>
  <r>
    <s v="Clients_Churn_Part_13.xlsx"/>
    <s v="CLI-00978"/>
    <n v="1.3333333333333333"/>
    <x v="1"/>
    <n v="16"/>
    <s v="B2C"/>
    <d v="1899-12-30T01:36:00"/>
    <s v="Premium 5G 150Go"/>
    <n v="96"/>
    <n v="86.78"/>
    <n v="1"/>
    <n v="0.45"/>
    <x v="249"/>
  </r>
  <r>
    <s v="Clients_Churn_Part_12.xlsx"/>
    <s v="CLI-00979"/>
    <n v="6.166666666666667"/>
    <x v="6"/>
    <n v="74"/>
    <s v="B2C"/>
    <d v="1899-12-30T04:25:00"/>
    <s v="Bloqué 5Go"/>
    <n v="265"/>
    <n v="90.81"/>
    <n v="3"/>
    <n v="0.45"/>
    <x v="250"/>
  </r>
  <r>
    <s v="Clients_Churn_Part_05.xlsx"/>
    <s v="CLI-00980"/>
    <n v="8.8333333333333339"/>
    <x v="25"/>
    <n v="106"/>
    <s v="B2C"/>
    <d v="1899-12-30T02:08:00"/>
    <s v="Illimité 50Go"/>
    <n v="128"/>
    <n v="35.96"/>
    <n v="2"/>
    <n v="0"/>
    <x v="0"/>
  </r>
  <r>
    <s v="Clients_Churn_Part_10.xlsx"/>
    <s v="CLI-00983"/>
    <n v="4.166666666666667"/>
    <x v="19"/>
    <n v="50"/>
    <s v="B2C"/>
    <d v="1899-12-30T05:57:00"/>
    <s v="Illimité 50Go"/>
    <n v="357"/>
    <n v="17"/>
    <n v="3"/>
    <n v="0.45"/>
    <x v="251"/>
  </r>
  <r>
    <s v="Clients_Churn_Part_14.xlsx"/>
    <s v="CLI-00986"/>
    <n v="3.0833333333333335"/>
    <x v="13"/>
    <n v="37"/>
    <s v="B2C"/>
    <d v="1899-12-30T00:03:00"/>
    <s v="Illimité 50Go"/>
    <n v="3"/>
    <n v="20.89"/>
    <n v="5"/>
    <n v="0"/>
    <x v="0"/>
  </r>
  <r>
    <s v="Clients_Churn_Part_09.xlsx"/>
    <s v="CLI-00994"/>
    <n v="5.916666666666667"/>
    <x v="0"/>
    <n v="71"/>
    <s v="B2C"/>
    <d v="1899-12-30T01:08:00"/>
    <s v="Illimité 50Go"/>
    <n v="68"/>
    <n v="53.11"/>
    <n v="2"/>
    <n v="0"/>
    <x v="0"/>
  </r>
  <r>
    <s v="Clients_Churn_Part_01.xlsx"/>
    <s v="CLI-00996"/>
    <n v="9.9166666666666661"/>
    <x v="1"/>
    <n v="119"/>
    <s v="B2C"/>
    <d v="1899-12-30T03:48:00"/>
    <s v="Illimité 50Go"/>
    <n v="228"/>
    <n v="94.72"/>
    <n v="3"/>
    <n v="0"/>
    <x v="0"/>
  </r>
  <r>
    <s v="Clients_Churn_Part_14.xlsx"/>
    <s v="CLI-00997"/>
    <n v="1.6666666666666667"/>
    <x v="4"/>
    <n v="20"/>
    <s v="B2C"/>
    <d v="1899-12-30T04:57:00"/>
    <s v="Bloqué 5Go"/>
    <n v="297"/>
    <n v="14.77"/>
    <n v="0"/>
    <n v="0.45"/>
    <x v="252"/>
  </r>
  <r>
    <s v="Clients_Churn_Part_15.xlsx"/>
    <s v="CLI-00999"/>
    <n v="9.0833333333333339"/>
    <x v="13"/>
    <n v="109"/>
    <s v="B2C"/>
    <d v="1899-12-30T01:44:00"/>
    <s v="Illimité 50Go"/>
    <n v="104"/>
    <n v="12.37"/>
    <n v="5"/>
    <n v="0"/>
    <x v="0"/>
  </r>
  <r>
    <s v="Clients_Churn_Part_15.xlsx"/>
    <s v="CLI-01000"/>
    <n v="6.5"/>
    <x v="20"/>
    <n v="78"/>
    <s v="B2C"/>
    <d v="1899-12-30T06:27:00"/>
    <s v="Premium 5G 150Go"/>
    <n v="387"/>
    <n v="11.63"/>
    <n v="2"/>
    <n v="0.45"/>
    <x v="253"/>
  </r>
  <r>
    <s v="Clients_Churn_Part_11.xlsx"/>
    <s v="CLI-01003"/>
    <n v="0.91666666666666663"/>
    <x v="19"/>
    <n v="11"/>
    <s v="B2B"/>
    <d v="1899-12-30T03:34:00"/>
    <s v="Pro Monde"/>
    <n v="214"/>
    <n v="11.46"/>
    <n v="5"/>
    <n v="0.1"/>
    <x v="254"/>
  </r>
  <r>
    <s v="Clients_Churn_Part_02.xlsx"/>
    <s v="CLI-01005"/>
    <n v="6.666666666666667"/>
    <x v="25"/>
    <n v="80"/>
    <s v="B2C"/>
    <d v="1899-12-30T02:35:00"/>
    <s v="Illimité 50Go"/>
    <n v="155"/>
    <n v="28.96"/>
    <n v="2"/>
    <n v="0"/>
    <x v="0"/>
  </r>
  <r>
    <s v="Clients_Churn_Part_11.xlsx"/>
    <s v="CLI-01006"/>
    <n v="9.1666666666666661"/>
    <x v="22"/>
    <n v="110"/>
    <s v="B2C"/>
    <d v="1899-12-30T00:47:00"/>
    <s v="Illimité 50Go"/>
    <n v="47"/>
    <n v="29.68"/>
    <n v="0"/>
    <n v="0"/>
    <x v="0"/>
  </r>
  <r>
    <s v="Clients_Churn_Part_04.xlsx"/>
    <s v="CLI-01007"/>
    <n v="0.41666666666666669"/>
    <x v="17"/>
    <n v="5"/>
    <s v="B2C"/>
    <d v="1899-12-30T03:59:00"/>
    <s v="Bloqué 5Go"/>
    <n v="239"/>
    <n v="26.95"/>
    <n v="2"/>
    <n v="0"/>
    <x v="0"/>
  </r>
  <r>
    <s v="Clients_Churn_Part_08.xlsx"/>
    <s v="CLI-01010"/>
    <n v="7.5"/>
    <x v="7"/>
    <n v="90"/>
    <s v="B2C"/>
    <d v="1899-12-30T03:36:00"/>
    <s v="Bloqué 5Go"/>
    <n v="216"/>
    <n v="45.58"/>
    <n v="0"/>
    <n v="0"/>
    <x v="0"/>
  </r>
  <r>
    <s v="Clients_Churn_Part_06.xlsx"/>
    <s v="CLI-01013"/>
    <n v="8.75"/>
    <x v="4"/>
    <n v="105"/>
    <s v="B2C"/>
    <d v="1899-12-30T00:03:00"/>
    <s v="Illimité 50Go"/>
    <n v="3"/>
    <n v="71.010000000000005"/>
    <n v="1"/>
    <n v="0"/>
    <x v="0"/>
  </r>
  <r>
    <s v="Clients_Churn_Part_09.xlsx"/>
    <s v="CLI-01014"/>
    <n v="3.25"/>
    <x v="19"/>
    <n v="39"/>
    <s v="B2C"/>
    <d v="1899-12-30T05:27:00"/>
    <s v="Illimité 50Go"/>
    <n v="327"/>
    <n v="87.24"/>
    <n v="4"/>
    <n v="0.45"/>
    <x v="255"/>
  </r>
  <r>
    <s v="Clients_Churn_Part_12.xlsx"/>
    <s v="CLI-01015"/>
    <n v="1.75"/>
    <x v="14"/>
    <n v="21"/>
    <s v="B2C"/>
    <d v="1899-12-30T04:27:00"/>
    <s v="Bloqué 5Go"/>
    <n v="267"/>
    <n v="74.989999999999995"/>
    <n v="1"/>
    <n v="0.45"/>
    <x v="256"/>
  </r>
  <r>
    <s v="Clients_Churn_Part_15.xlsx"/>
    <s v="CLI-01016"/>
    <n v="0.75"/>
    <x v="2"/>
    <n v="9"/>
    <s v="B2C"/>
    <d v="1899-12-30T01:42:00"/>
    <s v="Illimité 50Go"/>
    <n v="102"/>
    <n v="41.52"/>
    <n v="0"/>
    <n v="0"/>
    <x v="0"/>
  </r>
  <r>
    <s v="Clients_Churn_Part_02.xlsx"/>
    <s v="CLI-01017"/>
    <n v="4.416666666666667"/>
    <x v="14"/>
    <n v="53"/>
    <s v="B2B"/>
    <d v="1899-12-30T06:25:00"/>
    <s v="Pro Monde"/>
    <n v="385"/>
    <n v="68.78"/>
    <n v="3"/>
    <n v="0.45"/>
    <x v="257"/>
  </r>
  <r>
    <s v="Clients_Churn_Part_10.xlsx"/>
    <s v="CLI-01021"/>
    <n v="5.333333333333333"/>
    <x v="21"/>
    <n v="64"/>
    <s v="B2B"/>
    <d v="1899-12-30T00:15:00"/>
    <s v="Pro Monde"/>
    <n v="15"/>
    <n v="56.94"/>
    <n v="4"/>
    <n v="0.1"/>
    <x v="258"/>
  </r>
  <r>
    <s v="Clients_Churn_Part_08.xlsx"/>
    <s v="CLI-01023"/>
    <n v="3.75"/>
    <x v="19"/>
    <n v="45"/>
    <s v="B2C"/>
    <d v="1899-12-30T07:19:00"/>
    <s v="Bloqué 5Go"/>
    <n v="439"/>
    <n v="13.62"/>
    <n v="4"/>
    <n v="0.45"/>
    <x v="259"/>
  </r>
  <r>
    <s v="Clients_Churn_Part_02.xlsx"/>
    <s v="CLI-01025"/>
    <n v="7.166666666666667"/>
    <x v="3"/>
    <n v="86"/>
    <s v="B2C"/>
    <d v="1899-12-30T07:40:00"/>
    <s v="Bloqué 5Go"/>
    <n v="460"/>
    <n v="22.81"/>
    <n v="4"/>
    <n v="0.45"/>
    <x v="260"/>
  </r>
  <r>
    <s v="Clients_Churn_Part_08.xlsx"/>
    <s v="CLI-01032"/>
    <n v="3.75"/>
    <x v="17"/>
    <n v="45"/>
    <s v="B2C"/>
    <d v="1899-12-30T00:26:00"/>
    <s v="Illimité 50Go"/>
    <n v="26"/>
    <n v="30.35"/>
    <n v="1"/>
    <n v="0"/>
    <x v="0"/>
  </r>
  <r>
    <s v="Clients_Churn_Part_08.xlsx"/>
    <s v="CLI-01034"/>
    <n v="8.4166666666666661"/>
    <x v="10"/>
    <n v="101"/>
    <s v="B2C"/>
    <d v="1899-12-30T07:56:00"/>
    <s v="Premium 5G 150Go"/>
    <n v="476"/>
    <n v="41.85"/>
    <n v="4"/>
    <n v="0.45"/>
    <x v="261"/>
  </r>
  <r>
    <s v="Clients_Churn_Part_04.xlsx"/>
    <s v="CLI-01037"/>
    <n v="1.75"/>
    <x v="5"/>
    <n v="21"/>
    <s v="B2C"/>
    <d v="1899-12-30T01:47:00"/>
    <s v="Illimité 50Go"/>
    <n v="107"/>
    <n v="30.97"/>
    <n v="4"/>
    <n v="0"/>
    <x v="0"/>
  </r>
  <r>
    <s v="Clients_Churn_Part_15.xlsx"/>
    <s v="CLI-01040"/>
    <n v="4.666666666666667"/>
    <x v="25"/>
    <n v="56"/>
    <s v="B2C"/>
    <d v="1899-12-30T00:41:00"/>
    <s v="Illimité 50Go"/>
    <n v="41"/>
    <n v="15.1"/>
    <n v="5"/>
    <n v="0"/>
    <x v="0"/>
  </r>
  <r>
    <s v="Clients_Churn_Part_10.xlsx"/>
    <s v="CLI-01042"/>
    <n v="4.583333333333333"/>
    <x v="18"/>
    <n v="55"/>
    <s v="B2C"/>
    <d v="1899-12-30T08:14:00"/>
    <s v="Illimité 50Go"/>
    <n v="494"/>
    <n v="77.599999999999994"/>
    <n v="4"/>
    <n v="0.45"/>
    <x v="262"/>
  </r>
  <r>
    <s v="Clients_Churn_Part_12.xlsx"/>
    <s v="CLI-01046"/>
    <n v="0.16666666666666666"/>
    <x v="8"/>
    <n v="2"/>
    <s v="B2B"/>
    <d v="1899-12-30T08:01:00"/>
    <s v="Pro Monde"/>
    <n v="481"/>
    <n v="29.37"/>
    <n v="4"/>
    <n v="0.45"/>
    <x v="263"/>
  </r>
  <r>
    <s v="Clients_Churn_Part_11.xlsx"/>
    <s v="CLI-01050"/>
    <n v="3.4166666666666665"/>
    <x v="14"/>
    <n v="41"/>
    <s v="B2C"/>
    <d v="1899-12-30T02:58:00"/>
    <s v="Premium 5G 150Go"/>
    <n v="178"/>
    <n v="11.29"/>
    <n v="4"/>
    <n v="0.45"/>
    <x v="264"/>
  </r>
  <r>
    <s v="Clients_Churn_Part_12.xlsx"/>
    <s v="CLI-01052"/>
    <n v="6.833333333333333"/>
    <x v="8"/>
    <n v="82"/>
    <s v="B2C"/>
    <d v="1899-12-30T02:55:00"/>
    <s v="Illimité 50Go"/>
    <n v="175"/>
    <n v="86.14"/>
    <n v="1"/>
    <n v="0"/>
    <x v="0"/>
  </r>
  <r>
    <s v="Clients_Churn_Part_05.xlsx"/>
    <s v="CLI-01058"/>
    <n v="7.166666666666667"/>
    <x v="24"/>
    <n v="86"/>
    <s v="B2C"/>
    <d v="1899-12-30T01:51:00"/>
    <s v="Premium 5G 150Go"/>
    <n v="111"/>
    <n v="23.65"/>
    <n v="0"/>
    <n v="0"/>
    <x v="0"/>
  </r>
  <r>
    <s v="Clients_Churn_Part_09.xlsx"/>
    <s v="CLI-01059"/>
    <n v="3.75"/>
    <x v="5"/>
    <n v="45"/>
    <s v="B2C"/>
    <d v="1899-12-30T05:56:00"/>
    <s v="Illimité 50Go"/>
    <n v="356"/>
    <n v="33.76"/>
    <n v="0"/>
    <n v="0.45"/>
    <x v="265"/>
  </r>
  <r>
    <s v="Clients_Churn_Part_02.xlsx"/>
    <s v="CLI-01069"/>
    <n v="9.25"/>
    <x v="1"/>
    <n v="111"/>
    <s v="B2C"/>
    <d v="1899-12-30T01:43:00"/>
    <s v="Premium 5G 150Go"/>
    <n v="103"/>
    <n v="32.06"/>
    <n v="0"/>
    <n v="0"/>
    <x v="0"/>
  </r>
  <r>
    <s v="Clients_Churn_Part_12.xlsx"/>
    <s v="CLI-01072"/>
    <n v="2.8333333333333335"/>
    <x v="17"/>
    <n v="34"/>
    <s v="B2B"/>
    <d v="1899-12-30T00:58:00"/>
    <s v="Pro Monde"/>
    <n v="58"/>
    <n v="64.349999999999994"/>
    <n v="0"/>
    <n v="0.1"/>
    <x v="266"/>
  </r>
  <r>
    <s v="Clients_Churn_Part_12.xlsx"/>
    <s v="CLI-01075"/>
    <n v="7.583333333333333"/>
    <x v="10"/>
    <n v="91"/>
    <s v="B2C"/>
    <d v="1899-12-30T01:02:00"/>
    <s v="Bloqué 5Go"/>
    <n v="62"/>
    <n v="34.450000000000003"/>
    <n v="5"/>
    <n v="0"/>
    <x v="0"/>
  </r>
  <r>
    <s v="Clients_Churn_Part_02.xlsx"/>
    <s v="CLI-01076"/>
    <n v="7.166666666666667"/>
    <x v="5"/>
    <n v="86"/>
    <s v="B2B"/>
    <d v="1899-12-30T04:12:00"/>
    <s v="Pro Monde"/>
    <n v="252"/>
    <n v="96.5"/>
    <n v="5"/>
    <n v="0.45"/>
    <x v="267"/>
  </r>
  <r>
    <s v="Clients_Churn_Part_06.xlsx"/>
    <s v="CLI-01077"/>
    <n v="7.916666666666667"/>
    <x v="17"/>
    <n v="95"/>
    <s v="B2C"/>
    <d v="1899-12-30T00:51:00"/>
    <s v="Premium 5G 150Go"/>
    <n v="51"/>
    <n v="94.77"/>
    <n v="5"/>
    <n v="0"/>
    <x v="0"/>
  </r>
  <r>
    <s v="Clients_Churn_Part_10.xlsx"/>
    <s v="CLI-01078"/>
    <n v="3.0833333333333335"/>
    <x v="20"/>
    <n v="37"/>
    <s v="B2B"/>
    <d v="1899-12-30T00:37:00"/>
    <s v="Pro Monde"/>
    <n v="37"/>
    <n v="92.72"/>
    <n v="0"/>
    <n v="0.1"/>
    <x v="268"/>
  </r>
  <r>
    <s v="Clients_Churn_Part_12.xlsx"/>
    <s v="CLI-01080"/>
    <n v="4.666666666666667"/>
    <x v="21"/>
    <n v="56"/>
    <s v="B2C"/>
    <d v="1899-12-30T06:19:00"/>
    <s v="Bloqué 5Go"/>
    <n v="379"/>
    <n v="49.01"/>
    <n v="0"/>
    <n v="0.45"/>
    <x v="269"/>
  </r>
  <r>
    <s v="Clients_Churn_Part_15.xlsx"/>
    <s v="CLI-01082"/>
    <n v="0.33333333333333331"/>
    <x v="0"/>
    <n v="4"/>
    <s v="B2B"/>
    <d v="1899-12-30T07:29:00"/>
    <s v="Pro Monde"/>
    <n v="449"/>
    <n v="43.95"/>
    <n v="2"/>
    <n v="0.45"/>
    <x v="270"/>
  </r>
  <r>
    <s v="Clients_Churn_Part_08.xlsx"/>
    <s v="CLI-01087"/>
    <n v="1.0833333333333333"/>
    <x v="19"/>
    <n v="13"/>
    <s v="B2B"/>
    <d v="1899-12-30T02:53:00"/>
    <s v="Pro Monde"/>
    <n v="173"/>
    <n v="85.54"/>
    <n v="3"/>
    <n v="0.1"/>
    <x v="271"/>
  </r>
  <r>
    <s v="Clients_Churn_Part_02.xlsx"/>
    <s v="CLI-01093"/>
    <n v="5.833333333333333"/>
    <x v="17"/>
    <n v="70"/>
    <s v="B2B"/>
    <d v="1899-12-30T04:50:00"/>
    <s v="Pro Monde"/>
    <n v="290"/>
    <n v="96.31"/>
    <n v="1"/>
    <n v="0.45"/>
    <x v="272"/>
  </r>
  <r>
    <s v="Clients_Churn_Part_13.xlsx"/>
    <s v="CLI-01095"/>
    <n v="4.083333333333333"/>
    <x v="24"/>
    <n v="49"/>
    <s v="B2C"/>
    <d v="1899-12-30T00:25:00"/>
    <s v="Illimité 50Go"/>
    <n v="25"/>
    <n v="22.77"/>
    <n v="3"/>
    <n v="0"/>
    <x v="0"/>
  </r>
  <r>
    <s v="Clients_Churn_Part_03.xlsx"/>
    <s v="CLI-01096"/>
    <n v="0.91666666666666663"/>
    <x v="4"/>
    <n v="11"/>
    <s v="B2C"/>
    <d v="1899-12-30T03:35:00"/>
    <s v="Bloqué 5Go"/>
    <n v="215"/>
    <n v="51.99"/>
    <n v="1"/>
    <n v="0"/>
    <x v="0"/>
  </r>
  <r>
    <s v="Clients_Churn_Part_14.xlsx"/>
    <s v="CLI-01104"/>
    <n v="3.3333333333333335"/>
    <x v="22"/>
    <n v="40"/>
    <s v="B2C"/>
    <d v="1899-12-30T03:55:00"/>
    <s v="Premium 5G 150Go"/>
    <n v="235"/>
    <n v="15.01"/>
    <n v="3"/>
    <n v="0.45"/>
    <x v="273"/>
  </r>
  <r>
    <s v="Clients_Churn_Part_03.xlsx"/>
    <s v="CLI-01118"/>
    <n v="2.75"/>
    <x v="21"/>
    <n v="33"/>
    <s v="B2C"/>
    <d v="1899-12-30T05:37:00"/>
    <s v="Illimité 50Go"/>
    <n v="337"/>
    <n v="62.61"/>
    <n v="2"/>
    <n v="0.45"/>
    <x v="274"/>
  </r>
  <r>
    <s v="Clients_Churn_Part_11.xlsx"/>
    <s v="CLI-01121"/>
    <n v="7.583333333333333"/>
    <x v="25"/>
    <n v="91"/>
    <s v="B2C"/>
    <d v="1899-12-30T01:30:00"/>
    <s v="Illimité 50Go"/>
    <n v="90"/>
    <n v="39.14"/>
    <n v="3"/>
    <n v="0"/>
    <x v="0"/>
  </r>
  <r>
    <s v="Clients_Churn_Part_04.xlsx"/>
    <s v="CLI-01122"/>
    <n v="1.5"/>
    <x v="9"/>
    <n v="18"/>
    <s v="B2B"/>
    <d v="1899-12-30T01:11:00"/>
    <s v="Pro Monde"/>
    <n v="71"/>
    <n v="46.98"/>
    <n v="2"/>
    <n v="0.1"/>
    <x v="275"/>
  </r>
  <r>
    <s v="Clients_Churn_Part_01.xlsx"/>
    <s v="CLI-01128"/>
    <n v="9.3333333333333339"/>
    <x v="5"/>
    <n v="112"/>
    <s v="B2C"/>
    <d v="1899-12-30T07:40:00"/>
    <s v="Premium 5G 150Go"/>
    <n v="460"/>
    <n v="55.47"/>
    <n v="4"/>
    <n v="0.45"/>
    <x v="276"/>
  </r>
  <r>
    <s v="Clients_Churn_Part_12.xlsx"/>
    <s v="CLI-01129"/>
    <n v="2.25"/>
    <x v="16"/>
    <n v="27"/>
    <s v="B2C"/>
    <d v="1899-12-30T01:10:00"/>
    <s v="Bloqué 5Go"/>
    <n v="70"/>
    <n v="20.32"/>
    <n v="3"/>
    <n v="0"/>
    <x v="0"/>
  </r>
  <r>
    <s v="Clients_Churn_Part_15.xlsx"/>
    <s v="CLI-01134"/>
    <n v="7.5"/>
    <x v="22"/>
    <n v="90"/>
    <s v="B2C"/>
    <d v="1899-12-30T06:52:00"/>
    <s v="Illimité 50Go"/>
    <n v="412"/>
    <n v="20.62"/>
    <n v="2"/>
    <n v="0.45"/>
    <x v="277"/>
  </r>
  <r>
    <s v="Clients_Churn_Part_15.xlsx"/>
    <s v="CLI-01136"/>
    <n v="2.75"/>
    <x v="5"/>
    <n v="33"/>
    <s v="B2B"/>
    <d v="1899-12-30T06:31:00"/>
    <s v="Pro Monde"/>
    <n v="391"/>
    <n v="88.88"/>
    <n v="4"/>
    <n v="0.45"/>
    <x v="278"/>
  </r>
  <r>
    <s v="Clients_Churn_Part_09.xlsx"/>
    <s v="CLI-01139"/>
    <n v="8.3333333333333329E-2"/>
    <x v="13"/>
    <n v="1"/>
    <s v="B2C"/>
    <d v="1899-12-30T06:08:00"/>
    <s v="Premium 5G 150Go"/>
    <n v="368"/>
    <n v="35.17"/>
    <n v="1"/>
    <n v="0.45"/>
    <x v="279"/>
  </r>
  <r>
    <s v="Clients_Churn_Part_08.xlsx"/>
    <s v="CLI-01141"/>
    <n v="9.75"/>
    <x v="2"/>
    <n v="117"/>
    <s v="B2C"/>
    <d v="1899-12-30T05:38:00"/>
    <s v="Illimité 50Go"/>
    <n v="338"/>
    <n v="29.18"/>
    <n v="5"/>
    <n v="0.45"/>
    <x v="280"/>
  </r>
  <r>
    <s v="Clients_Churn_Part_06.xlsx"/>
    <s v="CLI-01144"/>
    <n v="4.166666666666667"/>
    <x v="19"/>
    <n v="50"/>
    <s v="B2C"/>
    <d v="1899-12-30T07:26:00"/>
    <s v="Illimité 50Go"/>
    <n v="446"/>
    <n v="31.56"/>
    <n v="5"/>
    <n v="0.45"/>
    <x v="281"/>
  </r>
  <r>
    <s v="Clients_Churn_Part_08.xlsx"/>
    <s v="CLI-01146"/>
    <n v="6.333333333333333"/>
    <x v="6"/>
    <n v="76"/>
    <s v="B2C"/>
    <d v="1899-12-30T03:07:00"/>
    <s v="Premium 5G 150Go"/>
    <n v="187"/>
    <n v="56.29"/>
    <n v="1"/>
    <n v="0"/>
    <x v="0"/>
  </r>
  <r>
    <s v="Clients_Churn_Part_01.xlsx"/>
    <s v="CLI-01147"/>
    <n v="2.4166666666666665"/>
    <x v="8"/>
    <n v="29"/>
    <s v="B2C"/>
    <d v="1899-12-30T03:34:00"/>
    <s v="Premium 5G 150Go"/>
    <n v="214"/>
    <n v="74.7"/>
    <n v="3"/>
    <n v="0.45"/>
    <x v="282"/>
  </r>
  <r>
    <s v="Clients_Churn_Part_09.xlsx"/>
    <s v="CLI-01149"/>
    <n v="7.333333333333333"/>
    <x v="24"/>
    <n v="88"/>
    <s v="B2C"/>
    <d v="1899-12-30T07:54:00"/>
    <s v="Bloqué 5Go"/>
    <n v="474"/>
    <n v="23.35"/>
    <n v="5"/>
    <n v="0.45"/>
    <x v="283"/>
  </r>
  <r>
    <s v="Clients_Churn_Part_10.xlsx"/>
    <s v="CLI-01154"/>
    <n v="9.5833333333333339"/>
    <x v="23"/>
    <n v="115"/>
    <s v="B2B"/>
    <d v="1899-12-30T03:10:00"/>
    <s v="Pro Monde"/>
    <n v="190"/>
    <n v="10.98"/>
    <n v="0"/>
    <n v="0.1"/>
    <x v="284"/>
  </r>
  <r>
    <s v="Clients_Churn_Part_06.xlsx"/>
    <s v="CLI-01162"/>
    <n v="7"/>
    <x v="17"/>
    <n v="84"/>
    <s v="B2C"/>
    <d v="1899-12-30T04:04:00"/>
    <s v="Bloqué 5Go"/>
    <n v="244"/>
    <n v="56.34"/>
    <n v="5"/>
    <n v="0.45"/>
    <x v="285"/>
  </r>
  <r>
    <s v="Clients_Churn_Part_12.xlsx"/>
    <s v="CLI-01165"/>
    <n v="1.75"/>
    <x v="20"/>
    <n v="21"/>
    <s v="B2C"/>
    <d v="1899-12-30T00:15:00"/>
    <s v="Bloqué 5Go"/>
    <n v="15"/>
    <n v="57.74"/>
    <n v="0"/>
    <n v="0"/>
    <x v="0"/>
  </r>
  <r>
    <s v="Clients_Churn_Part_11.xlsx"/>
    <s v="CLI-01166"/>
    <n v="1.75"/>
    <x v="25"/>
    <n v="21"/>
    <s v="B2C"/>
    <d v="1899-12-30T07:24:00"/>
    <s v="Illimité 50Go"/>
    <n v="444"/>
    <n v="41.92"/>
    <n v="3"/>
    <n v="0.45"/>
    <x v="286"/>
  </r>
  <r>
    <s v="Clients_Churn_Part_14.xlsx"/>
    <s v="CLI-01167"/>
    <n v="7.666666666666667"/>
    <x v="23"/>
    <n v="92"/>
    <s v="B2C"/>
    <d v="1899-12-30T06:19:00"/>
    <s v="Bloqué 5Go"/>
    <n v="379"/>
    <n v="70.08"/>
    <n v="5"/>
    <n v="0.45"/>
    <x v="287"/>
  </r>
  <r>
    <s v="Clients_Churn_Part_06.xlsx"/>
    <s v="CLI-01169"/>
    <n v="9.5"/>
    <x v="23"/>
    <n v="114"/>
    <s v="B2C"/>
    <d v="1899-12-30T06:28:00"/>
    <s v="Bloqué 5Go"/>
    <n v="388"/>
    <n v="40.29"/>
    <n v="5"/>
    <n v="0.45"/>
    <x v="288"/>
  </r>
  <r>
    <s v="Clients_Churn_Part_02.xlsx"/>
    <s v="CLI-01170"/>
    <n v="8.1666666666666661"/>
    <x v="22"/>
    <n v="98"/>
    <s v="B2B"/>
    <d v="1899-12-30T08:02:00"/>
    <s v="Pro Monde"/>
    <n v="482"/>
    <n v="55.04"/>
    <n v="5"/>
    <n v="0.45"/>
    <x v="289"/>
  </r>
  <r>
    <s v="Clients_Churn_Part_05.xlsx"/>
    <s v="CLI-01180"/>
    <n v="1.25"/>
    <x v="21"/>
    <n v="15"/>
    <s v="B2C"/>
    <d v="1899-12-30T05:19:00"/>
    <s v="Bloqué 5Go"/>
    <n v="319"/>
    <n v="78.150000000000006"/>
    <n v="4"/>
    <n v="0.45"/>
    <x v="290"/>
  </r>
  <r>
    <s v="Clients_Churn_Part_15.xlsx"/>
    <s v="CLI-01181"/>
    <n v="3.5"/>
    <x v="22"/>
    <n v="42"/>
    <s v="B2C"/>
    <d v="1899-12-30T04:12:00"/>
    <s v="Bloqué 5Go"/>
    <n v="252"/>
    <n v="59.46"/>
    <n v="4"/>
    <n v="0.45"/>
    <x v="291"/>
  </r>
  <r>
    <s v="Clients_Churn_Part_15.xlsx"/>
    <s v="CLI-01186"/>
    <n v="0.66666666666666663"/>
    <x v="5"/>
    <n v="8"/>
    <s v="B2C"/>
    <d v="1899-12-30T02:51:00"/>
    <s v="Bloqué 5Go"/>
    <n v="171"/>
    <n v="52.98"/>
    <n v="0"/>
    <n v="0"/>
    <x v="0"/>
  </r>
  <r>
    <s v="Clients_Churn_Part_02.xlsx"/>
    <s v="CLI-01189"/>
    <n v="1"/>
    <x v="11"/>
    <n v="12"/>
    <s v="B2B"/>
    <d v="1899-12-30T05:05:00"/>
    <s v="Pro Monde"/>
    <n v="305"/>
    <n v="59.96"/>
    <n v="3"/>
    <n v="0.45"/>
    <x v="292"/>
  </r>
  <r>
    <s v="Clients_Churn_Part_07.xlsx"/>
    <s v="CLI-01194"/>
    <n v="2.4166666666666665"/>
    <x v="24"/>
    <n v="29"/>
    <s v="B2B"/>
    <d v="1899-12-30T03:23:00"/>
    <s v="Pro Monde"/>
    <n v="203"/>
    <n v="53.97"/>
    <n v="5"/>
    <n v="0.1"/>
    <x v="293"/>
  </r>
  <r>
    <s v="Clients_Churn_Part_10.xlsx"/>
    <s v="CLI-01196"/>
    <n v="6.666666666666667"/>
    <x v="24"/>
    <n v="80"/>
    <s v="B2B"/>
    <d v="1899-12-30T05:39:00"/>
    <s v="Pro Monde"/>
    <n v="339"/>
    <n v="59.87"/>
    <n v="0"/>
    <n v="0.45"/>
    <x v="294"/>
  </r>
  <r>
    <s v="Clients_Churn_Part_02.xlsx"/>
    <s v="CLI-01197"/>
    <n v="7.916666666666667"/>
    <x v="4"/>
    <n v="95"/>
    <s v="B2C"/>
    <d v="1899-12-30T00:33:00"/>
    <s v="Bloqué 5Go"/>
    <n v="33"/>
    <n v="35.32"/>
    <n v="0"/>
    <n v="0"/>
    <x v="0"/>
  </r>
  <r>
    <s v="Clients_Churn_Part_14.xlsx"/>
    <s v="CLI-01199"/>
    <n v="8.25"/>
    <x v="14"/>
    <n v="99"/>
    <s v="B2B"/>
    <d v="1899-12-30T02:49:00"/>
    <s v="Pro Monde"/>
    <n v="169"/>
    <n v="76.75"/>
    <n v="5"/>
    <n v="0.1"/>
    <x v="295"/>
  </r>
  <r>
    <s v="Clients_Churn_Part_10.xlsx"/>
    <s v="CLI-01200"/>
    <n v="7.333333333333333"/>
    <x v="1"/>
    <n v="88"/>
    <s v="B2C"/>
    <d v="1899-12-30T05:59:00"/>
    <s v="Premium 5G 150Go"/>
    <n v="359"/>
    <n v="71.19"/>
    <n v="3"/>
    <n v="0.45"/>
    <x v="296"/>
  </r>
  <r>
    <s v="Clients_Churn_Part_13.xlsx"/>
    <s v="CLI-01203"/>
    <n v="0.58333333333333337"/>
    <x v="4"/>
    <n v="7"/>
    <s v="B2C"/>
    <d v="1899-12-30T00:43:00"/>
    <s v="Bloqué 5Go"/>
    <n v="43"/>
    <n v="41.29"/>
    <n v="4"/>
    <n v="0"/>
    <x v="0"/>
  </r>
  <r>
    <s v="Clients_Churn_Part_15.xlsx"/>
    <s v="CLI-01204"/>
    <n v="5.666666666666667"/>
    <x v="4"/>
    <n v="68"/>
    <s v="B2B"/>
    <d v="1899-12-30T04:42:00"/>
    <s v="Pro Monde"/>
    <n v="282"/>
    <n v="35.43"/>
    <n v="1"/>
    <n v="0.45"/>
    <x v="297"/>
  </r>
  <r>
    <s v="Clients_Churn_Part_02.xlsx"/>
    <s v="CLI-01208"/>
    <n v="0.91666666666666663"/>
    <x v="16"/>
    <n v="11"/>
    <s v="B2C"/>
    <d v="1899-12-30T06:42:00"/>
    <s v="Bloqué 5Go"/>
    <n v="402"/>
    <n v="69.599999999999994"/>
    <n v="5"/>
    <n v="0.45"/>
    <x v="298"/>
  </r>
  <r>
    <s v="Clients_Churn_Part_10.xlsx"/>
    <s v="CLI-01210"/>
    <n v="8.3333333333333329E-2"/>
    <x v="0"/>
    <n v="1"/>
    <s v="B2C"/>
    <d v="1899-12-30T03:33:00"/>
    <s v="Illimité 50Go"/>
    <n v="213"/>
    <n v="52.16"/>
    <n v="3"/>
    <n v="0"/>
    <x v="0"/>
  </r>
  <r>
    <s v="Clients_Churn_Part_15.xlsx"/>
    <s v="CLI-01211"/>
    <n v="8.1666666666666661"/>
    <x v="25"/>
    <n v="98"/>
    <s v="B2B"/>
    <d v="1899-12-30T02:48:00"/>
    <s v="Pro Monde"/>
    <n v="168"/>
    <n v="44.14"/>
    <n v="3"/>
    <n v="0.1"/>
    <x v="299"/>
  </r>
  <r>
    <s v="Clients_Churn_Part_05.xlsx"/>
    <s v="CLI-01215"/>
    <n v="0.25"/>
    <x v="8"/>
    <n v="3"/>
    <s v="B2C"/>
    <d v="1899-12-30T05:56:00"/>
    <s v="Illimité 50Go"/>
    <n v="356"/>
    <n v="91.6"/>
    <n v="3"/>
    <n v="0.45"/>
    <x v="95"/>
  </r>
  <r>
    <s v="Clients_Churn_Part_05.xlsx"/>
    <s v="CLI-01217"/>
    <n v="7.083333333333333"/>
    <x v="8"/>
    <n v="85"/>
    <s v="B2C"/>
    <d v="1899-12-30T04:34:00"/>
    <s v="Premium 5G 150Go"/>
    <n v="274"/>
    <n v="35.03"/>
    <n v="1"/>
    <n v="0.45"/>
    <x v="300"/>
  </r>
  <r>
    <s v="Clients_Churn_Part_15.xlsx"/>
    <s v="CLI-01221"/>
    <n v="6.583333333333333"/>
    <x v="9"/>
    <n v="79"/>
    <s v="B2C"/>
    <d v="1899-12-30T07:34:00"/>
    <s v="Premium 5G 150Go"/>
    <n v="454"/>
    <n v="80.34"/>
    <n v="2"/>
    <n v="0.45"/>
    <x v="301"/>
  </r>
  <r>
    <s v="Clients_Churn_Part_07.xlsx"/>
    <s v="CLI-01224"/>
    <n v="5.416666666666667"/>
    <x v="24"/>
    <n v="65"/>
    <s v="B2C"/>
    <d v="1899-12-30T07:22:00"/>
    <s v="Bloqué 5Go"/>
    <n v="442"/>
    <n v="60.62"/>
    <n v="5"/>
    <n v="0.45"/>
    <x v="302"/>
  </r>
  <r>
    <s v="Clients_Churn_Part_08.xlsx"/>
    <s v="CLI-01226"/>
    <n v="0.16666666666666666"/>
    <x v="17"/>
    <n v="2"/>
    <s v="B2C"/>
    <d v="1899-12-30T00:21:00"/>
    <s v="Premium 5G 150Go"/>
    <n v="21"/>
    <n v="51.68"/>
    <n v="3"/>
    <n v="0.45"/>
    <x v="303"/>
  </r>
  <r>
    <s v="Clients_Churn_Part_02.xlsx"/>
    <s v="CLI-01229"/>
    <n v="4.25"/>
    <x v="22"/>
    <n v="51"/>
    <s v="B2C"/>
    <d v="1899-12-30T00:58:00"/>
    <s v="Illimité 50Go"/>
    <n v="58"/>
    <n v="34.6"/>
    <n v="5"/>
    <n v="0"/>
    <x v="0"/>
  </r>
  <r>
    <s v="Clients_Churn_Part_06.xlsx"/>
    <s v="CLI-01230"/>
    <n v="5.25"/>
    <x v="9"/>
    <n v="63"/>
    <s v="B2B"/>
    <d v="1899-12-30T02:21:00"/>
    <s v="Pro Monde"/>
    <n v="141"/>
    <n v="95.6"/>
    <n v="4"/>
    <n v="0.1"/>
    <x v="304"/>
  </r>
  <r>
    <s v="Clients_Churn_Part_01.xlsx"/>
    <s v="CLI-01233"/>
    <n v="8.4166666666666661"/>
    <x v="3"/>
    <n v="101"/>
    <s v="B2B"/>
    <d v="1899-12-30T05:33:00"/>
    <s v="Pro Monde"/>
    <n v="333"/>
    <n v="74.319999999999993"/>
    <n v="1"/>
    <n v="0.45"/>
    <x v="305"/>
  </r>
  <r>
    <s v="Clients_Churn_Part_04.xlsx"/>
    <s v="CLI-01234"/>
    <n v="2.75"/>
    <x v="19"/>
    <n v="33"/>
    <s v="B2C"/>
    <d v="1899-12-30T04:45:00"/>
    <s v="Premium 5G 150Go"/>
    <n v="285"/>
    <n v="56.67"/>
    <n v="2"/>
    <n v="0.45"/>
    <x v="306"/>
  </r>
  <r>
    <s v="Clients_Churn_Part_11.xlsx"/>
    <s v="CLI-01236"/>
    <n v="1.4166666666666667"/>
    <x v="14"/>
    <n v="17"/>
    <s v="B2B"/>
    <d v="1899-12-30T02:55:00"/>
    <s v="Pro Monde"/>
    <n v="175"/>
    <n v="24.95"/>
    <n v="4"/>
    <n v="0.1"/>
    <x v="307"/>
  </r>
  <r>
    <s v="Clients_Churn_Part_13.xlsx"/>
    <s v="CLI-01238"/>
    <n v="7.416666666666667"/>
    <x v="5"/>
    <n v="89"/>
    <s v="B2B"/>
    <d v="1899-12-30T03:45:00"/>
    <s v="Pro Monde"/>
    <n v="225"/>
    <n v="38.36"/>
    <n v="2"/>
    <n v="0.1"/>
    <x v="308"/>
  </r>
  <r>
    <s v="Clients_Churn_Part_03.xlsx"/>
    <s v="CLI-01241"/>
    <n v="7.333333333333333"/>
    <x v="5"/>
    <n v="88"/>
    <s v="B2C"/>
    <d v="1899-12-30T03:52:00"/>
    <s v="Premium 5G 150Go"/>
    <n v="232"/>
    <n v="40.94"/>
    <n v="2"/>
    <n v="0"/>
    <x v="0"/>
  </r>
  <r>
    <s v="Clients_Churn_Part_08.xlsx"/>
    <s v="CLI-01242"/>
    <n v="2.4166666666666665"/>
    <x v="8"/>
    <n v="29"/>
    <s v="B2C"/>
    <d v="1899-12-30T05:50:00"/>
    <s v="Premium 5G 150Go"/>
    <n v="350"/>
    <n v="84.32"/>
    <n v="3"/>
    <n v="0.45"/>
    <x v="309"/>
  </r>
  <r>
    <s v="Clients_Churn_Part_15.xlsx"/>
    <s v="CLI-01253"/>
    <n v="4"/>
    <x v="6"/>
    <n v="48"/>
    <s v="B2C"/>
    <d v="1899-12-30T07:53:00"/>
    <s v="Premium 5G 150Go"/>
    <n v="473"/>
    <n v="71.52"/>
    <n v="5"/>
    <n v="0.45"/>
    <x v="310"/>
  </r>
  <r>
    <s v="Clients_Churn_Part_06.xlsx"/>
    <s v="CLI-01254"/>
    <n v="6.083333333333333"/>
    <x v="24"/>
    <n v="73"/>
    <s v="B2C"/>
    <d v="1899-12-30T03:45:00"/>
    <s v="Illimité 50Go"/>
    <n v="225"/>
    <n v="45.86"/>
    <n v="0"/>
    <n v="0"/>
    <x v="0"/>
  </r>
  <r>
    <s v="Clients_Churn_Part_09.xlsx"/>
    <s v="CLI-01256"/>
    <n v="2.9166666666666665"/>
    <x v="6"/>
    <n v="35"/>
    <s v="B2B"/>
    <d v="1899-12-30T04:52:00"/>
    <s v="Pro Monde"/>
    <n v="292"/>
    <n v="39.21"/>
    <n v="1"/>
    <n v="0.45"/>
    <x v="311"/>
  </r>
  <r>
    <s v="Clients_Churn_Part_12.xlsx"/>
    <s v="CLI-01258"/>
    <n v="8.9166666666666661"/>
    <x v="1"/>
    <n v="107"/>
    <s v="B2C"/>
    <d v="1899-12-30T04:50:00"/>
    <s v="Illimité 50Go"/>
    <n v="290"/>
    <n v="52.03"/>
    <n v="0"/>
    <n v="0.45"/>
    <x v="312"/>
  </r>
  <r>
    <s v="Clients_Churn_Part_14.xlsx"/>
    <s v="CLI-01264"/>
    <n v="6.666666666666667"/>
    <x v="11"/>
    <n v="80"/>
    <s v="B2C"/>
    <d v="1899-12-30T01:05:00"/>
    <s v="Bloqué 5Go"/>
    <n v="65"/>
    <n v="76.64"/>
    <n v="3"/>
    <n v="0"/>
    <x v="0"/>
  </r>
  <r>
    <s v="Clients_Churn_Part_06.xlsx"/>
    <s v="CLI-01266"/>
    <n v="5.5"/>
    <x v="12"/>
    <n v="66"/>
    <s v="B2C"/>
    <d v="1899-12-30T03:13:00"/>
    <s v="Premium 5G 150Go"/>
    <n v="193"/>
    <n v="21.06"/>
    <n v="3"/>
    <n v="0"/>
    <x v="0"/>
  </r>
  <r>
    <s v="Clients_Churn_Part_14.xlsx"/>
    <s v="CLI-01267"/>
    <n v="3.1666666666666665"/>
    <x v="8"/>
    <n v="38"/>
    <s v="B2C"/>
    <d v="1899-12-30T03:11:00"/>
    <s v="Illimité 50Go"/>
    <n v="191"/>
    <n v="22.97"/>
    <n v="3"/>
    <n v="0"/>
    <x v="0"/>
  </r>
  <r>
    <s v="Clients_Churn_Part_08.xlsx"/>
    <s v="CLI-01270"/>
    <n v="9.9166666666666661"/>
    <x v="2"/>
    <n v="119"/>
    <s v="B2B"/>
    <d v="1899-12-30T07:31:00"/>
    <s v="Pro Monde"/>
    <n v="451"/>
    <n v="10.46"/>
    <n v="5"/>
    <n v="0.45"/>
    <x v="313"/>
  </r>
  <r>
    <s v="Clients_Churn_Part_10.xlsx"/>
    <s v="CLI-01275"/>
    <n v="4.583333333333333"/>
    <x v="8"/>
    <n v="55"/>
    <s v="B2C"/>
    <d v="1899-12-30T05:55:00"/>
    <s v="Bloqué 5Go"/>
    <n v="355"/>
    <n v="59.65"/>
    <n v="0"/>
    <n v="0.45"/>
    <x v="314"/>
  </r>
  <r>
    <s v="Clients_Churn_Part_13.xlsx"/>
    <s v="CLI-01278"/>
    <n v="0.5"/>
    <x v="25"/>
    <n v="6"/>
    <s v="B2C"/>
    <d v="1899-12-30T01:17:00"/>
    <s v="Illimité 50Go"/>
    <n v="77"/>
    <n v="18.48"/>
    <n v="2"/>
    <n v="0"/>
    <x v="0"/>
  </r>
  <r>
    <s v="Clients_Churn_Part_14.xlsx"/>
    <s v="CLI-01283"/>
    <n v="5.25"/>
    <x v="9"/>
    <n v="63"/>
    <s v="B2C"/>
    <d v="1899-12-30T04:25:00"/>
    <s v="Illimité 50Go"/>
    <n v="265"/>
    <n v="49.94"/>
    <n v="1"/>
    <n v="0.45"/>
    <x v="315"/>
  </r>
  <r>
    <s v="Clients_Churn_Part_06.xlsx"/>
    <s v="CLI-01284"/>
    <n v="1.75"/>
    <x v="16"/>
    <n v="21"/>
    <s v="B2B"/>
    <d v="1899-12-30T05:20:00"/>
    <s v="Pro Monde"/>
    <n v="320"/>
    <n v="64.97"/>
    <n v="1"/>
    <n v="0.45"/>
    <x v="316"/>
  </r>
  <r>
    <s v="Clients_Churn_Part_05.xlsx"/>
    <s v="CLI-01287"/>
    <n v="0.41666666666666669"/>
    <x v="9"/>
    <n v="5"/>
    <s v="B2C"/>
    <d v="1899-12-30T06:57:00"/>
    <s v="Premium 5G 150Go"/>
    <n v="417"/>
    <n v="90.71"/>
    <n v="1"/>
    <n v="0.45"/>
    <x v="317"/>
  </r>
  <r>
    <s v="Clients_Churn_Part_12.xlsx"/>
    <s v="CLI-01290"/>
    <n v="2.5"/>
    <x v="20"/>
    <n v="30"/>
    <s v="B2C"/>
    <d v="1899-12-30T02:10:00"/>
    <s v="Bloqué 5Go"/>
    <n v="130"/>
    <n v="50.15"/>
    <n v="4"/>
    <n v="0"/>
    <x v="0"/>
  </r>
  <r>
    <s v="Clients_Churn_Part_05.xlsx"/>
    <s v="CLI-01291"/>
    <n v="5"/>
    <x v="8"/>
    <n v="60"/>
    <s v="B2C"/>
    <d v="1899-12-30T02:41:00"/>
    <s v="Illimité 50Go"/>
    <n v="161"/>
    <n v="62.65"/>
    <n v="0"/>
    <n v="0"/>
    <x v="0"/>
  </r>
  <r>
    <s v="Clients_Churn_Part_12.xlsx"/>
    <s v="CLI-01292"/>
    <n v="10"/>
    <x v="1"/>
    <n v="120"/>
    <s v="B2C"/>
    <d v="1899-12-30T07:17:00"/>
    <s v="Illimité 50Go"/>
    <n v="437"/>
    <n v="95.17"/>
    <n v="1"/>
    <n v="0.45"/>
    <x v="318"/>
  </r>
  <r>
    <s v="Clients_Churn_Part_04.xlsx"/>
    <s v="CLI-01294"/>
    <n v="5.666666666666667"/>
    <x v="11"/>
    <n v="68"/>
    <s v="B2C"/>
    <d v="1899-12-30T07:23:00"/>
    <s v="Premium 5G 150Go"/>
    <n v="443"/>
    <n v="12.09"/>
    <n v="3"/>
    <n v="0.45"/>
    <x v="319"/>
  </r>
  <r>
    <s v="Clients_Churn_Part_09.xlsx"/>
    <s v="CLI-01304"/>
    <n v="7.083333333333333"/>
    <x v="22"/>
    <n v="85"/>
    <s v="B2C"/>
    <d v="1899-12-30T02:12:00"/>
    <s v="Illimité 50Go"/>
    <n v="132"/>
    <n v="11.41"/>
    <n v="0"/>
    <n v="0"/>
    <x v="0"/>
  </r>
  <r>
    <s v="Clients_Churn_Part_03.xlsx"/>
    <s v="CLI-01309"/>
    <n v="5.75"/>
    <x v="4"/>
    <n v="69"/>
    <s v="B2B"/>
    <d v="1899-12-30T07:43:00"/>
    <s v="Pro Monde"/>
    <n v="463"/>
    <n v="19.440000000000001"/>
    <n v="0"/>
    <n v="0.45"/>
    <x v="320"/>
  </r>
  <r>
    <s v="Clients_Churn_Part_05.xlsx"/>
    <s v="CLI-01313"/>
    <n v="8"/>
    <x v="6"/>
    <n v="96"/>
    <s v="B2C"/>
    <d v="1899-12-30T01:48:00"/>
    <s v="Illimité 50Go"/>
    <n v="108"/>
    <n v="30.92"/>
    <n v="1"/>
    <n v="0"/>
    <x v="0"/>
  </r>
  <r>
    <s v="Clients_Churn_Part_05.xlsx"/>
    <s v="CLI-01314"/>
    <n v="7.416666666666667"/>
    <x v="13"/>
    <n v="89"/>
    <s v="B2C"/>
    <d v="1899-12-30T00:07:00"/>
    <s v="Illimité 50Go"/>
    <n v="7"/>
    <n v="53.39"/>
    <n v="3"/>
    <n v="0"/>
    <x v="0"/>
  </r>
  <r>
    <s v="Clients_Churn_Part_11.xlsx"/>
    <s v="CLI-01319"/>
    <n v="3.9166666666666665"/>
    <x v="20"/>
    <n v="47"/>
    <s v="B2C"/>
    <d v="1899-12-30T05:50:00"/>
    <s v="Premium 5G 150Go"/>
    <n v="350"/>
    <n v="80.48"/>
    <n v="3"/>
    <n v="0.45"/>
    <x v="321"/>
  </r>
  <r>
    <s v="Clients_Churn_Part_01.xlsx"/>
    <s v="CLI-01320"/>
    <n v="6.5"/>
    <x v="13"/>
    <n v="78"/>
    <s v="B2C"/>
    <d v="1899-12-30T05:12:00"/>
    <s v="Bloqué 5Go"/>
    <n v="312"/>
    <n v="85.74"/>
    <n v="2"/>
    <n v="0.45"/>
    <x v="322"/>
  </r>
  <r>
    <s v="Clients_Churn_Part_03.xlsx"/>
    <s v="CLI-01322"/>
    <n v="3"/>
    <x v="22"/>
    <n v="36"/>
    <s v="B2C"/>
    <d v="1899-12-30T06:40:00"/>
    <s v="Premium 5G 150Go"/>
    <n v="400"/>
    <n v="60.35"/>
    <n v="1"/>
    <n v="0.45"/>
    <x v="323"/>
  </r>
  <r>
    <s v="Clients_Churn_Part_01.xlsx"/>
    <s v="CLI-01325"/>
    <n v="3.6666666666666665"/>
    <x v="4"/>
    <n v="44"/>
    <s v="B2C"/>
    <d v="1899-12-30T05:48:00"/>
    <s v="Bloqué 5Go"/>
    <n v="348"/>
    <n v="58.67"/>
    <n v="0"/>
    <n v="0.45"/>
    <x v="324"/>
  </r>
  <r>
    <s v="Clients_Churn_Part_06.xlsx"/>
    <s v="CLI-01326"/>
    <n v="10"/>
    <x v="25"/>
    <n v="120"/>
    <s v="B2B"/>
    <d v="1899-12-30T03:29:00"/>
    <s v="Pro Monde"/>
    <n v="209"/>
    <n v="42.51"/>
    <n v="4"/>
    <n v="0.1"/>
    <x v="325"/>
  </r>
  <r>
    <s v="Clients_Churn_Part_12.xlsx"/>
    <s v="CLI-01327"/>
    <n v="9.6666666666666661"/>
    <x v="9"/>
    <n v="116"/>
    <s v="B2C"/>
    <d v="1899-12-30T04:39:00"/>
    <s v="Premium 5G 150Go"/>
    <n v="279"/>
    <n v="62.88"/>
    <n v="4"/>
    <n v="0.45"/>
    <x v="326"/>
  </r>
  <r>
    <s v="Clients_Churn_Part_14.xlsx"/>
    <s v="CLI-01329"/>
    <n v="8.8333333333333339"/>
    <x v="10"/>
    <n v="106"/>
    <s v="B2C"/>
    <d v="1899-12-30T03:56:00"/>
    <s v="Illimité 50Go"/>
    <n v="236"/>
    <n v="18.72"/>
    <n v="4"/>
    <n v="0"/>
    <x v="0"/>
  </r>
  <r>
    <s v="Clients_Churn_Part_05.xlsx"/>
    <s v="CLI-01330"/>
    <n v="5"/>
    <x v="4"/>
    <n v="60"/>
    <s v="B2C"/>
    <d v="1899-12-30T05:06:00"/>
    <s v="Bloqué 5Go"/>
    <n v="306"/>
    <n v="63.83"/>
    <n v="2"/>
    <n v="0.45"/>
    <x v="327"/>
  </r>
  <r>
    <s v="Clients_Churn_Part_14.xlsx"/>
    <s v="CLI-01339"/>
    <n v="8.3333333333333329E-2"/>
    <x v="8"/>
    <n v="1"/>
    <s v="B2C"/>
    <d v="1899-12-30T07:09:00"/>
    <s v="Premium 5G 150Go"/>
    <n v="429"/>
    <n v="20.96"/>
    <n v="5"/>
    <n v="0.45"/>
    <x v="328"/>
  </r>
  <r>
    <s v="Clients_Churn_Part_11.xlsx"/>
    <s v="CLI-01340"/>
    <n v="9.1666666666666661"/>
    <x v="16"/>
    <n v="110"/>
    <s v="B2C"/>
    <d v="1899-12-30T02:12:00"/>
    <s v="Bloqué 5Go"/>
    <n v="132"/>
    <n v="21.31"/>
    <n v="5"/>
    <n v="0"/>
    <x v="0"/>
  </r>
  <r>
    <s v="Clients_Churn_Part_10.xlsx"/>
    <s v="CLI-01344"/>
    <n v="6.166666666666667"/>
    <x v="13"/>
    <n v="74"/>
    <s v="B2C"/>
    <d v="1899-12-30T05:30:00"/>
    <s v="Illimité 50Go"/>
    <n v="330"/>
    <n v="37.82"/>
    <n v="5"/>
    <n v="0.45"/>
    <x v="329"/>
  </r>
  <r>
    <s v="Clients_Churn_Part_01.xlsx"/>
    <s v="CLI-01347"/>
    <n v="1.1666666666666667"/>
    <x v="14"/>
    <n v="14"/>
    <s v="B2B"/>
    <d v="1899-12-30T01:41:00"/>
    <s v="Pro Monde"/>
    <n v="101"/>
    <n v="43.99"/>
    <n v="1"/>
    <n v="0.1"/>
    <x v="330"/>
  </r>
  <r>
    <s v="Clients_Churn_Part_10.xlsx"/>
    <s v="CLI-01348"/>
    <n v="5.166666666666667"/>
    <x v="19"/>
    <n v="62"/>
    <s v="B2C"/>
    <d v="1899-12-30T06:09:00"/>
    <s v="Illimité 50Go"/>
    <n v="369"/>
    <n v="58.74"/>
    <n v="1"/>
    <n v="0.45"/>
    <x v="331"/>
  </r>
  <r>
    <s v="Clients_Churn_Part_01.xlsx"/>
    <s v="CLI-01349"/>
    <n v="7.416666666666667"/>
    <x v="6"/>
    <n v="89"/>
    <s v="B2C"/>
    <d v="1899-12-30T02:23:00"/>
    <s v="Premium 5G 150Go"/>
    <n v="143"/>
    <n v="48.05"/>
    <n v="4"/>
    <n v="0"/>
    <x v="0"/>
  </r>
  <r>
    <s v="Clients_Churn_Part_10.xlsx"/>
    <s v="CLI-01351"/>
    <n v="1.5833333333333333"/>
    <x v="11"/>
    <n v="19"/>
    <s v="B2C"/>
    <d v="1899-12-30T04:30:00"/>
    <s v="Premium 5G 150Go"/>
    <n v="270"/>
    <n v="19.760000000000002"/>
    <n v="3"/>
    <n v="0.45"/>
    <x v="332"/>
  </r>
  <r>
    <s v="Clients_Churn_Part_13.xlsx"/>
    <s v="CLI-01354"/>
    <n v="3.5"/>
    <x v="2"/>
    <n v="42"/>
    <s v="B2C"/>
    <d v="1899-12-30T07:28:00"/>
    <s v="Bloqué 5Go"/>
    <n v="448"/>
    <n v="49.02"/>
    <n v="0"/>
    <n v="0.45"/>
    <x v="333"/>
  </r>
  <r>
    <s v="Clients_Churn_Part_13.xlsx"/>
    <s v="CLI-01355"/>
    <n v="9.6666666666666661"/>
    <x v="20"/>
    <n v="116"/>
    <s v="B2C"/>
    <d v="1899-12-30T00:14:00"/>
    <s v="Premium 5G 150Go"/>
    <n v="14"/>
    <n v="30.38"/>
    <n v="1"/>
    <n v="0"/>
    <x v="0"/>
  </r>
  <r>
    <s v="Clients_Churn_Part_03.xlsx"/>
    <s v="CLI-01357"/>
    <n v="3.9166666666666665"/>
    <x v="6"/>
    <n v="47"/>
    <s v="B2C"/>
    <d v="1899-12-30T01:38:00"/>
    <s v="Bloqué 5Go"/>
    <n v="98"/>
    <n v="16.16"/>
    <n v="5"/>
    <n v="0"/>
    <x v="0"/>
  </r>
  <r>
    <s v="Clients_Churn_Part_10.xlsx"/>
    <s v="CLI-01359"/>
    <n v="7.166666666666667"/>
    <x v="3"/>
    <n v="86"/>
    <s v="B2C"/>
    <d v="1899-12-30T00:27:00"/>
    <s v="Premium 5G 150Go"/>
    <n v="27"/>
    <n v="84.94"/>
    <n v="4"/>
    <n v="0"/>
    <x v="0"/>
  </r>
  <r>
    <s v="Clients_Churn_Part_14.xlsx"/>
    <s v="CLI-01360"/>
    <n v="7.166666666666667"/>
    <x v="4"/>
    <n v="86"/>
    <s v="B2C"/>
    <d v="1899-12-30T04:38:00"/>
    <s v="Premium 5G 150Go"/>
    <n v="278"/>
    <n v="30.12"/>
    <n v="0"/>
    <n v="0.45"/>
    <x v="334"/>
  </r>
  <r>
    <s v="Clients_Churn_Part_02.xlsx"/>
    <s v="CLI-01361"/>
    <n v="7.833333333333333"/>
    <x v="11"/>
    <n v="94"/>
    <s v="B2C"/>
    <d v="1899-12-30T02:02:00"/>
    <s v="Illimité 50Go"/>
    <n v="122"/>
    <n v="95.74"/>
    <n v="5"/>
    <n v="0"/>
    <x v="0"/>
  </r>
  <r>
    <s v="Clients_Churn_Part_11.xlsx"/>
    <s v="CLI-01363"/>
    <n v="5.5"/>
    <x v="25"/>
    <n v="66"/>
    <s v="B2B"/>
    <d v="1899-12-30T02:32:00"/>
    <s v="Pro Monde"/>
    <n v="152"/>
    <n v="95.71"/>
    <n v="3"/>
    <n v="0.1"/>
    <x v="335"/>
  </r>
  <r>
    <s v="Clients_Churn_Part_13.xlsx"/>
    <s v="CLI-01373"/>
    <n v="9.5"/>
    <x v="10"/>
    <n v="114"/>
    <s v="B2B"/>
    <d v="1899-12-30T03:40:00"/>
    <s v="Pro Monde"/>
    <n v="220"/>
    <n v="63.67"/>
    <n v="5"/>
    <n v="0.1"/>
    <x v="336"/>
  </r>
  <r>
    <s v="Clients_Churn_Part_08.xlsx"/>
    <s v="CLI-01374"/>
    <n v="3"/>
    <x v="0"/>
    <n v="36"/>
    <s v="B2C"/>
    <d v="1899-12-30T05:11:00"/>
    <s v="Bloqué 5Go"/>
    <n v="311"/>
    <n v="13.19"/>
    <n v="4"/>
    <n v="0.45"/>
    <x v="337"/>
  </r>
  <r>
    <s v="Clients_Churn_Part_08.xlsx"/>
    <s v="CLI-01375"/>
    <n v="7.833333333333333"/>
    <x v="0"/>
    <n v="94"/>
    <s v="B2C"/>
    <d v="1899-12-30T01:55:00"/>
    <s v="Illimité 50Go"/>
    <n v="115"/>
    <n v="19.12"/>
    <n v="0"/>
    <n v="0"/>
    <x v="0"/>
  </r>
  <r>
    <s v="Clients_Churn_Part_01.xlsx"/>
    <s v="CLI-01376"/>
    <n v="5.416666666666667"/>
    <x v="3"/>
    <n v="65"/>
    <s v="B2C"/>
    <d v="1899-12-30T06:37:00"/>
    <s v="Premium 5G 150Go"/>
    <n v="397"/>
    <n v="22.6"/>
    <n v="5"/>
    <n v="0.45"/>
    <x v="338"/>
  </r>
  <r>
    <s v="Clients_Churn_Part_06.xlsx"/>
    <s v="CLI-01380"/>
    <n v="9.8333333333333339"/>
    <x v="4"/>
    <n v="118"/>
    <s v="B2C"/>
    <d v="1899-12-30T08:09:00"/>
    <s v="Illimité 50Go"/>
    <n v="489"/>
    <n v="76.22"/>
    <n v="2"/>
    <n v="0.45"/>
    <x v="339"/>
  </r>
  <r>
    <s v="Clients_Churn_Part_12.xlsx"/>
    <s v="CLI-01386"/>
    <n v="1.9166666666666667"/>
    <x v="14"/>
    <n v="23"/>
    <s v="B2C"/>
    <d v="1899-12-30T05:14:00"/>
    <s v="Premium 5G 150Go"/>
    <n v="314"/>
    <n v="19.260000000000002"/>
    <n v="3"/>
    <n v="0.45"/>
    <x v="340"/>
  </r>
  <r>
    <s v="Clients_Churn_Part_07.xlsx"/>
    <s v="CLI-01387"/>
    <n v="7.083333333333333"/>
    <x v="0"/>
    <n v="85"/>
    <s v="B2B"/>
    <d v="1899-12-30T01:00:00"/>
    <s v="Pro Monde"/>
    <n v="60"/>
    <n v="26.3"/>
    <n v="2"/>
    <n v="0.1"/>
    <x v="341"/>
  </r>
  <r>
    <s v="Clients_Churn_Part_10.xlsx"/>
    <s v="CLI-01394"/>
    <n v="7.666666666666667"/>
    <x v="21"/>
    <n v="92"/>
    <s v="B2C"/>
    <d v="1899-12-30T00:06:00"/>
    <s v="Bloqué 5Go"/>
    <n v="6"/>
    <n v="77.14"/>
    <n v="5"/>
    <n v="0"/>
    <x v="0"/>
  </r>
  <r>
    <s v="Clients_Churn_Part_10.xlsx"/>
    <s v="CLI-01396"/>
    <n v="9.75"/>
    <x v="24"/>
    <n v="117"/>
    <s v="B2C"/>
    <d v="1899-12-30T00:39:00"/>
    <s v="Illimité 50Go"/>
    <n v="39"/>
    <n v="26.53"/>
    <n v="1"/>
    <n v="0"/>
    <x v="0"/>
  </r>
  <r>
    <s v="Clients_Churn_Part_03.xlsx"/>
    <s v="CLI-01399"/>
    <n v="9.5"/>
    <x v="3"/>
    <n v="114"/>
    <s v="B2C"/>
    <d v="1899-12-30T03:52:00"/>
    <s v="Premium 5G 150Go"/>
    <n v="232"/>
    <n v="42.2"/>
    <n v="2"/>
    <n v="0"/>
    <x v="0"/>
  </r>
  <r>
    <s v="Clients_Churn_Part_07.xlsx"/>
    <s v="CLI-01402"/>
    <n v="5.333333333333333"/>
    <x v="19"/>
    <n v="64"/>
    <s v="B2C"/>
    <d v="1899-12-30T04:10:00"/>
    <s v="Bloqué 5Go"/>
    <n v="250"/>
    <n v="56.7"/>
    <n v="0"/>
    <n v="0.45"/>
    <x v="342"/>
  </r>
  <r>
    <s v="Clients_Churn_Part_11.xlsx"/>
    <s v="CLI-01403"/>
    <n v="7.333333333333333"/>
    <x v="1"/>
    <n v="88"/>
    <s v="B2C"/>
    <d v="1899-12-30T03:39:00"/>
    <s v="Premium 5G 150Go"/>
    <n v="219"/>
    <n v="59.15"/>
    <n v="0"/>
    <n v="0"/>
    <x v="0"/>
  </r>
  <r>
    <s v="Clients_Churn_Part_03.xlsx"/>
    <s v="CLI-01404"/>
    <n v="2.0833333333333335"/>
    <x v="21"/>
    <n v="25"/>
    <s v="B2C"/>
    <d v="1899-12-30T02:11:00"/>
    <s v="Bloqué 5Go"/>
    <n v="131"/>
    <n v="67.489999999999995"/>
    <n v="0"/>
    <n v="0"/>
    <x v="0"/>
  </r>
  <r>
    <s v="Clients_Churn_Part_05.xlsx"/>
    <s v="CLI-01405"/>
    <n v="2.6666666666666665"/>
    <x v="25"/>
    <n v="32"/>
    <s v="B2C"/>
    <d v="1899-12-30T06:45:00"/>
    <s v="Illimité 50Go"/>
    <n v="405"/>
    <n v="67.92"/>
    <n v="3"/>
    <n v="0.45"/>
    <x v="343"/>
  </r>
  <r>
    <s v="Clients_Churn_Part_12.xlsx"/>
    <s v="CLI-01406"/>
    <n v="3.4166666666666665"/>
    <x v="23"/>
    <n v="41"/>
    <s v="B2C"/>
    <d v="1899-12-30T00:02:00"/>
    <s v="Bloqué 5Go"/>
    <n v="2"/>
    <n v="24.91"/>
    <n v="1"/>
    <n v="0"/>
    <x v="0"/>
  </r>
  <r>
    <s v="Clients_Churn_Part_07.xlsx"/>
    <s v="CLI-01407"/>
    <n v="8.5833333333333339"/>
    <x v="11"/>
    <n v="103"/>
    <s v="B2C"/>
    <d v="1899-12-30T05:54:00"/>
    <s v="Premium 5G 150Go"/>
    <n v="354"/>
    <n v="26.19"/>
    <n v="4"/>
    <n v="0.45"/>
    <x v="344"/>
  </r>
  <r>
    <s v="Clients_Churn_Part_05.xlsx"/>
    <s v="CLI-01408"/>
    <n v="9"/>
    <x v="7"/>
    <n v="108"/>
    <s v="B2C"/>
    <d v="1899-12-30T05:23:00"/>
    <s v="Premium 5G 150Go"/>
    <n v="323"/>
    <n v="58.54"/>
    <n v="2"/>
    <n v="0.45"/>
    <x v="345"/>
  </r>
  <r>
    <s v="Clients_Churn_Part_13.xlsx"/>
    <s v="CLI-01410"/>
    <n v="9.25"/>
    <x v="14"/>
    <n v="111"/>
    <s v="B2C"/>
    <d v="1899-12-30T00:54:00"/>
    <s v="Illimité 50Go"/>
    <n v="54"/>
    <n v="71.3"/>
    <n v="0"/>
    <n v="0"/>
    <x v="0"/>
  </r>
  <r>
    <s v="Clients_Churn_Part_03.xlsx"/>
    <s v="CLI-01415"/>
    <n v="0.5"/>
    <x v="6"/>
    <n v="6"/>
    <s v="B2C"/>
    <d v="1899-12-30T00:06:00"/>
    <s v="Bloqué 5Go"/>
    <n v="6"/>
    <n v="72.27"/>
    <n v="4"/>
    <n v="0"/>
    <x v="0"/>
  </r>
  <r>
    <s v="Clients_Churn_Part_12.xlsx"/>
    <s v="CLI-01419"/>
    <n v="6.75"/>
    <x v="23"/>
    <n v="81"/>
    <s v="B2B"/>
    <d v="1899-12-30T07:23:00"/>
    <s v="Pro Monde"/>
    <n v="443"/>
    <n v="32.78"/>
    <n v="1"/>
    <n v="0.45"/>
    <x v="346"/>
  </r>
  <r>
    <s v="Clients_Churn_Part_07.xlsx"/>
    <s v="CLI-01420"/>
    <n v="7.166666666666667"/>
    <x v="1"/>
    <n v="86"/>
    <s v="B2B"/>
    <d v="1899-12-30T03:12:00"/>
    <s v="Pro Monde"/>
    <n v="192"/>
    <n v="26.26"/>
    <n v="1"/>
    <n v="0.1"/>
    <x v="347"/>
  </r>
  <r>
    <s v="Clients_Churn_Part_05.xlsx"/>
    <s v="CLI-01424"/>
    <n v="5"/>
    <x v="14"/>
    <n v="60"/>
    <s v="B2C"/>
    <d v="1899-12-30T00:54:00"/>
    <s v="Illimité 50Go"/>
    <n v="54"/>
    <n v="67.180000000000007"/>
    <n v="3"/>
    <n v="0"/>
    <x v="0"/>
  </r>
  <r>
    <s v="Clients_Churn_Part_04.xlsx"/>
    <s v="CLI-01431"/>
    <n v="4.083333333333333"/>
    <x v="19"/>
    <n v="49"/>
    <s v="B2C"/>
    <d v="1899-12-30T05:57:00"/>
    <s v="Premium 5G 150Go"/>
    <n v="357"/>
    <n v="96.67"/>
    <n v="3"/>
    <n v="0.45"/>
    <x v="348"/>
  </r>
  <r>
    <s v="Clients_Churn_Part_13.xlsx"/>
    <s v="CLI-01432"/>
    <n v="5.75"/>
    <x v="19"/>
    <n v="69"/>
    <s v="B2C"/>
    <d v="1899-12-30T03:00:00"/>
    <s v="Bloqué 5Go"/>
    <n v="180"/>
    <n v="76.05"/>
    <n v="2"/>
    <n v="0"/>
    <x v="0"/>
  </r>
  <r>
    <s v="Clients_Churn_Part_03.xlsx"/>
    <s v="CLI-01433"/>
    <n v="7.25"/>
    <x v="14"/>
    <n v="87"/>
    <s v="B2B"/>
    <d v="1899-12-30T07:22:00"/>
    <s v="Pro Monde"/>
    <n v="442"/>
    <n v="22.39"/>
    <n v="3"/>
    <n v="0.45"/>
    <x v="349"/>
  </r>
  <r>
    <s v="Clients_Churn_Part_03.xlsx"/>
    <s v="CLI-01435"/>
    <n v="4.833333333333333"/>
    <x v="19"/>
    <n v="58"/>
    <s v="B2C"/>
    <d v="1899-12-30T04:53:00"/>
    <s v="Bloqué 5Go"/>
    <n v="293"/>
    <n v="88.85"/>
    <n v="5"/>
    <n v="0.45"/>
    <x v="350"/>
  </r>
  <r>
    <s v="Clients_Churn_Part_14.xlsx"/>
    <s v="CLI-01436"/>
    <n v="7.083333333333333"/>
    <x v="15"/>
    <n v="85"/>
    <s v="B2B"/>
    <d v="1899-12-30T00:28:00"/>
    <s v="Pro Monde"/>
    <n v="28"/>
    <n v="83.82"/>
    <n v="0"/>
    <n v="0.1"/>
    <x v="351"/>
  </r>
  <r>
    <s v="Clients_Churn_Part_06.xlsx"/>
    <s v="CLI-01437"/>
    <n v="9.75"/>
    <x v="10"/>
    <n v="117"/>
    <s v="B2C"/>
    <d v="1899-12-30T01:25:00"/>
    <s v="Bloqué 5Go"/>
    <n v="85"/>
    <n v="46.16"/>
    <n v="3"/>
    <n v="0"/>
    <x v="0"/>
  </r>
  <r>
    <s v="Clients_Churn_Part_12.xlsx"/>
    <s v="CLI-01438"/>
    <n v="0.33333333333333331"/>
    <x v="13"/>
    <n v="4"/>
    <s v="B2B"/>
    <d v="1899-12-30T06:12:00"/>
    <s v="Pro Monde"/>
    <n v="372"/>
    <n v="26.73"/>
    <n v="3"/>
    <n v="0.45"/>
    <x v="352"/>
  </r>
  <r>
    <s v="Clients_Churn_Part_15.xlsx"/>
    <s v="CLI-01442"/>
    <n v="8.0833333333333339"/>
    <x v="24"/>
    <n v="97"/>
    <s v="B2C"/>
    <d v="1899-12-30T02:53:00"/>
    <s v="Bloqué 5Go"/>
    <n v="173"/>
    <n v="19.37"/>
    <n v="5"/>
    <n v="0"/>
    <x v="0"/>
  </r>
  <r>
    <s v="Clients_Churn_Part_09.xlsx"/>
    <s v="CLI-01446"/>
    <n v="2.75"/>
    <x v="8"/>
    <n v="33"/>
    <s v="B2C"/>
    <d v="1899-12-30T04:33:00"/>
    <s v="Bloqué 5Go"/>
    <n v="273"/>
    <n v="49.8"/>
    <n v="0"/>
    <n v="0.45"/>
    <x v="353"/>
  </r>
  <r>
    <s v="Clients_Churn_Part_10.xlsx"/>
    <s v="CLI-01450"/>
    <n v="3.4166666666666665"/>
    <x v="24"/>
    <n v="41"/>
    <s v="B2C"/>
    <d v="1899-12-30T06:23:00"/>
    <s v="Premium 5G 150Go"/>
    <n v="383"/>
    <n v="27.53"/>
    <n v="4"/>
    <n v="0.45"/>
    <x v="354"/>
  </r>
  <r>
    <s v="Clients_Churn_Part_07.xlsx"/>
    <s v="CLI-01451"/>
    <n v="6.416666666666667"/>
    <x v="22"/>
    <n v="77"/>
    <s v="B2C"/>
    <d v="1899-12-30T00:45:00"/>
    <s v="Illimité 50Go"/>
    <n v="45"/>
    <n v="21.59"/>
    <n v="2"/>
    <n v="0"/>
    <x v="0"/>
  </r>
  <r>
    <s v="Clients_Churn_Part_09.xlsx"/>
    <s v="CLI-01453"/>
    <n v="0.16666666666666666"/>
    <x v="20"/>
    <n v="2"/>
    <s v="B2C"/>
    <d v="1899-12-30T02:22:00"/>
    <s v="Bloqué 5Go"/>
    <n v="142"/>
    <n v="49.05"/>
    <n v="4"/>
    <n v="0"/>
    <x v="0"/>
  </r>
  <r>
    <s v="Clients_Churn_Part_08.xlsx"/>
    <s v="CLI-01454"/>
    <n v="1.0833333333333333"/>
    <x v="18"/>
    <n v="13"/>
    <s v="B2C"/>
    <d v="1899-12-30T05:10:00"/>
    <s v="Illimité 50Go"/>
    <n v="310"/>
    <n v="65.599999999999994"/>
    <n v="5"/>
    <n v="0.45"/>
    <x v="355"/>
  </r>
  <r>
    <s v="Clients_Churn_Part_08.xlsx"/>
    <s v="CLI-01455"/>
    <n v="6.5"/>
    <x v="21"/>
    <n v="78"/>
    <s v="B2C"/>
    <d v="1899-12-30T00:57:00"/>
    <s v="Bloqué 5Go"/>
    <n v="57"/>
    <n v="49.47"/>
    <n v="0"/>
    <n v="0"/>
    <x v="0"/>
  </r>
  <r>
    <s v="Clients_Churn_Part_07.xlsx"/>
    <s v="CLI-01461"/>
    <n v="7.5"/>
    <x v="7"/>
    <n v="90"/>
    <s v="B2C"/>
    <d v="1899-12-30T05:43:00"/>
    <s v="Illimité 50Go"/>
    <n v="343"/>
    <n v="82.05"/>
    <n v="1"/>
    <n v="0.45"/>
    <x v="356"/>
  </r>
  <r>
    <s v="Clients_Churn_Part_05.xlsx"/>
    <s v="CLI-01462"/>
    <n v="8"/>
    <x v="6"/>
    <n v="96"/>
    <s v="B2C"/>
    <d v="1899-12-30T03:30:00"/>
    <s v="Illimité 50Go"/>
    <n v="210"/>
    <n v="28.39"/>
    <n v="3"/>
    <n v="0"/>
    <x v="0"/>
  </r>
  <r>
    <s v="Clients_Churn_Part_15.xlsx"/>
    <s v="CLI-01463"/>
    <n v="1"/>
    <x v="13"/>
    <n v="12"/>
    <s v="B2C"/>
    <d v="1899-12-30T02:18:00"/>
    <s v="Premium 5G 150Go"/>
    <n v="138"/>
    <n v="99.83"/>
    <n v="1"/>
    <n v="0.45"/>
    <x v="357"/>
  </r>
  <r>
    <s v="Clients_Churn_Part_03.xlsx"/>
    <s v="CLI-01466"/>
    <n v="9.1666666666666661"/>
    <x v="15"/>
    <n v="110"/>
    <s v="B2C"/>
    <d v="1899-12-30T00:51:00"/>
    <s v="Premium 5G 150Go"/>
    <n v="51"/>
    <n v="56.59"/>
    <n v="5"/>
    <n v="0"/>
    <x v="0"/>
  </r>
  <r>
    <s v="Clients_Churn_Part_04.xlsx"/>
    <s v="CLI-01470"/>
    <n v="9.25"/>
    <x v="10"/>
    <n v="111"/>
    <s v="B2C"/>
    <d v="1899-12-30T00:43:00"/>
    <s v="Premium 5G 150Go"/>
    <n v="43"/>
    <n v="19.39"/>
    <n v="3"/>
    <n v="0"/>
    <x v="0"/>
  </r>
  <r>
    <s v="Clients_Churn_Part_06.xlsx"/>
    <s v="CLI-01472"/>
    <n v="4.583333333333333"/>
    <x v="15"/>
    <n v="55"/>
    <s v="B2B"/>
    <d v="1899-12-30T06:29:00"/>
    <s v="Pro Monde"/>
    <n v="389"/>
    <n v="67.430000000000007"/>
    <n v="3"/>
    <n v="0.45"/>
    <x v="358"/>
  </r>
  <r>
    <s v="Clients_Churn_Part_12.xlsx"/>
    <s v="CLI-01473"/>
    <n v="1.0833333333333333"/>
    <x v="24"/>
    <n v="13"/>
    <s v="B2B"/>
    <d v="1899-12-30T07:54:00"/>
    <s v="Pro Monde"/>
    <n v="474"/>
    <n v="63.67"/>
    <n v="2"/>
    <n v="0.45"/>
    <x v="359"/>
  </r>
  <r>
    <s v="Clients_Churn_Part_09.xlsx"/>
    <s v="CLI-01475"/>
    <n v="3.5833333333333335"/>
    <x v="7"/>
    <n v="43"/>
    <s v="B2C"/>
    <d v="1899-12-30T00:26:00"/>
    <s v="Illimité 50Go"/>
    <n v="26"/>
    <n v="25.85"/>
    <n v="1"/>
    <n v="0"/>
    <x v="0"/>
  </r>
  <r>
    <s v="Clients_Churn_Part_15.xlsx"/>
    <s v="CLI-01479"/>
    <n v="5.25"/>
    <x v="6"/>
    <n v="63"/>
    <s v="B2C"/>
    <d v="1899-12-30T02:57:00"/>
    <s v="Premium 5G 150Go"/>
    <n v="177"/>
    <n v="77.73"/>
    <n v="3"/>
    <n v="0"/>
    <x v="0"/>
  </r>
  <r>
    <s v="Clients_Churn_Part_01.xlsx"/>
    <s v="CLI-01480"/>
    <n v="0.58333333333333337"/>
    <x v="5"/>
    <n v="7"/>
    <s v="B2C"/>
    <d v="1899-12-30T03:26:00"/>
    <s v="Premium 5G 150Go"/>
    <n v="206"/>
    <n v="78.09"/>
    <n v="3"/>
    <n v="0.45"/>
    <x v="21"/>
  </r>
  <r>
    <s v="Clients_Churn_Part_01.xlsx"/>
    <s v="CLI-01484"/>
    <n v="9.75"/>
    <x v="21"/>
    <n v="117"/>
    <s v="B2C"/>
    <d v="1899-12-30T02:51:00"/>
    <s v="Illimité 50Go"/>
    <n v="171"/>
    <n v="50.89"/>
    <n v="4"/>
    <n v="0"/>
    <x v="0"/>
  </r>
  <r>
    <s v="Clients_Churn_Part_11.xlsx"/>
    <s v="CLI-01485"/>
    <n v="4.75"/>
    <x v="16"/>
    <n v="57"/>
    <s v="B2C"/>
    <d v="1899-12-30T07:27:00"/>
    <s v="Bloqué 5Go"/>
    <n v="447"/>
    <n v="23.27"/>
    <n v="3"/>
    <n v="0.45"/>
    <x v="360"/>
  </r>
  <r>
    <s v="Clients_Churn_Part_15.xlsx"/>
    <s v="CLI-01488"/>
    <n v="8.5"/>
    <x v="21"/>
    <n v="102"/>
    <s v="B2C"/>
    <d v="1899-12-30T08:04:00"/>
    <s v="Bloqué 5Go"/>
    <n v="484"/>
    <n v="64.22"/>
    <n v="2"/>
    <n v="0.45"/>
    <x v="361"/>
  </r>
  <r>
    <s v="Clients_Churn_Part_07.xlsx"/>
    <s v="CLI-01489"/>
    <n v="5.583333333333333"/>
    <x v="9"/>
    <n v="67"/>
    <s v="B2B"/>
    <d v="1899-12-30T00:26:00"/>
    <s v="Pro Monde"/>
    <n v="26"/>
    <n v="81.489999999999995"/>
    <n v="4"/>
    <n v="0.1"/>
    <x v="362"/>
  </r>
  <r>
    <s v="Clients_Churn_Part_04.xlsx"/>
    <s v="CLI-01494"/>
    <n v="5.916666666666667"/>
    <x v="13"/>
    <n v="71"/>
    <s v="B2C"/>
    <d v="1899-12-30T00:15:00"/>
    <s v="Premium 5G 150Go"/>
    <n v="15"/>
    <n v="25.46"/>
    <n v="5"/>
    <n v="0"/>
    <x v="0"/>
  </r>
  <r>
    <s v="Clients_Churn_Part_13.xlsx"/>
    <s v="CLI-01496"/>
    <n v="0.83333333333333337"/>
    <x v="18"/>
    <n v="10"/>
    <s v="B2C"/>
    <d v="1899-12-30T04:20:00"/>
    <s v="Illimité 50Go"/>
    <n v="260"/>
    <n v="37.479999999999997"/>
    <n v="2"/>
    <n v="0.45"/>
    <x v="363"/>
  </r>
  <r>
    <s v="Clients_Churn_Part_11.xlsx"/>
    <s v="CLI-01499"/>
    <n v="3.1666666666666665"/>
    <x v="17"/>
    <n v="38"/>
    <s v="B2C"/>
    <d v="1899-12-30T01:48:00"/>
    <s v="Bloqué 5Go"/>
    <n v="108"/>
    <n v="72.7"/>
    <n v="3"/>
    <n v="0"/>
    <x v="0"/>
  </r>
  <r>
    <s v="Clients_Churn_Part_13.xlsx"/>
    <s v="CLI-01503"/>
    <n v="4.916666666666667"/>
    <x v="16"/>
    <n v="59"/>
    <s v="B2C"/>
    <d v="1899-12-30T02:30:00"/>
    <s v="Bloqué 5Go"/>
    <n v="150"/>
    <n v="71.13"/>
    <n v="0"/>
    <n v="0"/>
    <x v="0"/>
  </r>
  <r>
    <s v="Clients_Churn_Part_02.xlsx"/>
    <s v="CLI-01505"/>
    <n v="4.833333333333333"/>
    <x v="24"/>
    <n v="58"/>
    <s v="B2C"/>
    <d v="1899-12-30T07:03:00"/>
    <s v="Bloqué 5Go"/>
    <n v="423"/>
    <n v="80.459999999999994"/>
    <n v="0"/>
    <n v="0.45"/>
    <x v="364"/>
  </r>
  <r>
    <s v="Clients_Churn_Part_05.xlsx"/>
    <s v="CLI-01506"/>
    <n v="3"/>
    <x v="1"/>
    <n v="36"/>
    <s v="B2C"/>
    <d v="1899-12-30T08:11:00"/>
    <s v="Bloqué 5Go"/>
    <n v="491"/>
    <n v="12.13"/>
    <n v="4"/>
    <n v="0.45"/>
    <x v="365"/>
  </r>
  <r>
    <s v="Clients_Churn_Part_13.xlsx"/>
    <s v="CLI-01507"/>
    <n v="9.25"/>
    <x v="3"/>
    <n v="111"/>
    <s v="B2C"/>
    <d v="1899-12-30T05:04:00"/>
    <s v="Premium 5G 150Go"/>
    <n v="304"/>
    <n v="62.48"/>
    <n v="5"/>
    <n v="0.45"/>
    <x v="366"/>
  </r>
  <r>
    <s v="Clients_Churn_Part_07.xlsx"/>
    <s v="CLI-01508"/>
    <n v="3.3333333333333335"/>
    <x v="23"/>
    <n v="40"/>
    <s v="B2C"/>
    <d v="1899-12-30T03:57:00"/>
    <s v="Premium 5G 150Go"/>
    <n v="237"/>
    <n v="24.51"/>
    <n v="1"/>
    <n v="0.45"/>
    <x v="367"/>
  </r>
  <r>
    <s v="Clients_Churn_Part_02.xlsx"/>
    <s v="CLI-01510"/>
    <n v="3"/>
    <x v="5"/>
    <n v="36"/>
    <s v="B2C"/>
    <d v="1899-12-30T04:07:00"/>
    <s v="Bloqué 5Go"/>
    <n v="247"/>
    <n v="24.53"/>
    <n v="2"/>
    <n v="0.45"/>
    <x v="368"/>
  </r>
  <r>
    <s v="Clients_Churn_Part_05.xlsx"/>
    <s v="CLI-01511"/>
    <n v="2.25"/>
    <x v="24"/>
    <n v="27"/>
    <s v="B2C"/>
    <d v="1899-12-30T01:01:00"/>
    <s v="Premium 5G 150Go"/>
    <n v="61"/>
    <n v="97.51"/>
    <n v="5"/>
    <n v="0.45"/>
    <x v="369"/>
  </r>
  <r>
    <s v="Clients_Churn_Part_03.xlsx"/>
    <s v="CLI-01515"/>
    <n v="5.333333333333333"/>
    <x v="15"/>
    <n v="64"/>
    <s v="B2B"/>
    <d v="1899-12-30T05:00:00"/>
    <s v="Pro Monde"/>
    <n v="300"/>
    <n v="28.11"/>
    <n v="2"/>
    <n v="0.45"/>
    <x v="370"/>
  </r>
  <r>
    <s v="Clients_Churn_Part_13.xlsx"/>
    <s v="CLI-01520"/>
    <n v="8.5"/>
    <x v="3"/>
    <n v="102"/>
    <s v="B2C"/>
    <d v="1899-12-30T03:09:00"/>
    <s v="Bloqué 5Go"/>
    <n v="189"/>
    <n v="26.86"/>
    <n v="5"/>
    <n v="0"/>
    <x v="0"/>
  </r>
  <r>
    <s v="Clients_Churn_Part_02.xlsx"/>
    <s v="CLI-01524"/>
    <n v="1.8333333333333333"/>
    <x v="11"/>
    <n v="22"/>
    <s v="B2C"/>
    <d v="1899-12-30T01:59:00"/>
    <s v="Illimité 50Go"/>
    <n v="119"/>
    <n v="72.86"/>
    <n v="3"/>
    <n v="0"/>
    <x v="0"/>
  </r>
  <r>
    <s v="Clients_Churn_Part_07.xlsx"/>
    <s v="CLI-01529"/>
    <n v="4.166666666666667"/>
    <x v="14"/>
    <n v="50"/>
    <s v="B2B"/>
    <d v="1899-12-30T07:10:00"/>
    <s v="Pro Monde"/>
    <n v="430"/>
    <n v="20.8"/>
    <n v="2"/>
    <n v="0.45"/>
    <x v="371"/>
  </r>
  <r>
    <s v="Clients_Churn_Part_13.xlsx"/>
    <s v="CLI-01530"/>
    <n v="1.5"/>
    <x v="24"/>
    <n v="18"/>
    <s v="B2B"/>
    <d v="1899-12-30T01:15:00"/>
    <s v="Pro Monde"/>
    <n v="75"/>
    <n v="57.66"/>
    <n v="1"/>
    <n v="0.1"/>
    <x v="372"/>
  </r>
  <r>
    <s v="Clients_Churn_Part_08.xlsx"/>
    <s v="CLI-01532"/>
    <n v="7.916666666666667"/>
    <x v="2"/>
    <n v="95"/>
    <s v="B2C"/>
    <d v="1899-12-30T02:28:00"/>
    <s v="Premium 5G 150Go"/>
    <n v="148"/>
    <n v="76.95"/>
    <n v="5"/>
    <n v="0"/>
    <x v="0"/>
  </r>
  <r>
    <s v="Clients_Churn_Part_02.xlsx"/>
    <s v="CLI-01533"/>
    <n v="9.25"/>
    <x v="18"/>
    <n v="111"/>
    <s v="B2C"/>
    <d v="1899-12-30T05:24:00"/>
    <s v="Illimité 50Go"/>
    <n v="324"/>
    <n v="18.07"/>
    <n v="2"/>
    <n v="0.45"/>
    <x v="373"/>
  </r>
  <r>
    <s v="Clients_Churn_Part_13.xlsx"/>
    <s v="CLI-01535"/>
    <n v="10"/>
    <x v="1"/>
    <n v="120"/>
    <s v="B2B"/>
    <d v="1899-12-30T01:00:00"/>
    <s v="Pro Monde"/>
    <n v="60"/>
    <n v="34.14"/>
    <n v="3"/>
    <n v="0.1"/>
    <x v="374"/>
  </r>
  <r>
    <s v="Clients_Churn_Part_10.xlsx"/>
    <s v="CLI-01536"/>
    <n v="7.25"/>
    <x v="2"/>
    <n v="87"/>
    <s v="B2C"/>
    <d v="1899-12-30T05:56:00"/>
    <s v="Premium 5G 150Go"/>
    <n v="356"/>
    <n v="12.89"/>
    <n v="0"/>
    <n v="0.45"/>
    <x v="375"/>
  </r>
  <r>
    <s v="Clients_Churn_Part_13.xlsx"/>
    <s v="CLI-01542"/>
    <n v="2.4166666666666665"/>
    <x v="24"/>
    <n v="29"/>
    <s v="B2C"/>
    <d v="1899-12-30T00:08:00"/>
    <s v="Premium 5G 150Go"/>
    <n v="8"/>
    <n v="14.78"/>
    <n v="2"/>
    <n v="0.45"/>
    <x v="376"/>
  </r>
  <r>
    <s v="Clients_Churn_Part_14.xlsx"/>
    <s v="CLI-01543"/>
    <n v="1.5"/>
    <x v="7"/>
    <n v="18"/>
    <s v="B2C"/>
    <d v="1899-12-30T02:50:00"/>
    <s v="Illimité 50Go"/>
    <n v="170"/>
    <n v="87.34"/>
    <n v="1"/>
    <n v="0"/>
    <x v="0"/>
  </r>
  <r>
    <s v="Clients_Churn_Part_11.xlsx"/>
    <s v="CLI-01544"/>
    <n v="2.8333333333333335"/>
    <x v="13"/>
    <n v="34"/>
    <s v="B2C"/>
    <d v="1899-12-30T06:41:00"/>
    <s v="Illimité 50Go"/>
    <n v="401"/>
    <n v="68.400000000000006"/>
    <n v="5"/>
    <n v="0.45"/>
    <x v="377"/>
  </r>
  <r>
    <s v="Clients_Churn_Part_10.xlsx"/>
    <s v="CLI-01549"/>
    <n v="9.4166666666666661"/>
    <x v="17"/>
    <n v="113"/>
    <s v="B2C"/>
    <d v="1899-12-30T07:08:00"/>
    <s v="Illimité 50Go"/>
    <n v="428"/>
    <n v="73.84"/>
    <n v="0"/>
    <n v="0.45"/>
    <x v="378"/>
  </r>
  <r>
    <s v="Clients_Churn_Part_04.xlsx"/>
    <s v="CLI-01550"/>
    <n v="4"/>
    <x v="17"/>
    <n v="48"/>
    <s v="B2C"/>
    <d v="1899-12-30T05:35:00"/>
    <s v="Bloqué 5Go"/>
    <n v="335"/>
    <n v="85.09"/>
    <n v="3"/>
    <n v="0.45"/>
    <x v="379"/>
  </r>
  <r>
    <s v="Clients_Churn_Part_14.xlsx"/>
    <s v="CLI-01555"/>
    <n v="8.9166666666666661"/>
    <x v="3"/>
    <n v="107"/>
    <s v="B2C"/>
    <d v="1899-12-30T02:18:00"/>
    <s v="Illimité 50Go"/>
    <n v="138"/>
    <n v="85.75"/>
    <n v="1"/>
    <n v="0"/>
    <x v="0"/>
  </r>
  <r>
    <s v="Clients_Churn_Part_09.xlsx"/>
    <s v="CLI-01560"/>
    <n v="3.9166666666666665"/>
    <x v="8"/>
    <n v="47"/>
    <s v="B2C"/>
    <d v="1899-12-30T01:51:00"/>
    <s v="Bloqué 5Go"/>
    <n v="111"/>
    <n v="95.18"/>
    <n v="0"/>
    <n v="0"/>
    <x v="0"/>
  </r>
  <r>
    <s v="Clients_Churn_Part_05.xlsx"/>
    <s v="CLI-01561"/>
    <n v="0.83333333333333337"/>
    <x v="8"/>
    <n v="10"/>
    <s v="B2C"/>
    <d v="1899-12-30T02:45:00"/>
    <s v="Bloqué 5Go"/>
    <n v="165"/>
    <n v="38.619999999999997"/>
    <n v="2"/>
    <n v="0"/>
    <x v="0"/>
  </r>
  <r>
    <s v="Clients_Churn_Part_05.xlsx"/>
    <s v="CLI-01563"/>
    <n v="0.75"/>
    <x v="4"/>
    <n v="9"/>
    <s v="B2B"/>
    <d v="1899-12-30T04:15:00"/>
    <s v="Pro Monde"/>
    <n v="255"/>
    <n v="95.13"/>
    <n v="1"/>
    <n v="0.45"/>
    <x v="380"/>
  </r>
  <r>
    <s v="Clients_Churn_Part_09.xlsx"/>
    <s v="CLI-01565"/>
    <n v="2"/>
    <x v="20"/>
    <n v="24"/>
    <s v="B2C"/>
    <d v="1899-12-30T04:17:00"/>
    <s v="Bloqué 5Go"/>
    <n v="257"/>
    <n v="41.99"/>
    <n v="5"/>
    <n v="0.45"/>
    <x v="381"/>
  </r>
  <r>
    <s v="Clients_Churn_Part_15.xlsx"/>
    <s v="CLI-01566"/>
    <n v="6"/>
    <x v="4"/>
    <n v="72"/>
    <s v="B2C"/>
    <d v="1899-12-30T07:07:00"/>
    <s v="Bloqué 5Go"/>
    <n v="427"/>
    <n v="31.44"/>
    <n v="2"/>
    <n v="0.45"/>
    <x v="382"/>
  </r>
  <r>
    <s v="Clients_Churn_Part_15.xlsx"/>
    <s v="CLI-01568"/>
    <n v="2.75"/>
    <x v="1"/>
    <n v="33"/>
    <s v="B2C"/>
    <d v="1899-12-30T00:18:00"/>
    <s v="Illimité 50Go"/>
    <n v="18"/>
    <n v="47.18"/>
    <n v="4"/>
    <n v="0"/>
    <x v="0"/>
  </r>
  <r>
    <s v="Clients_Churn_Part_04.xlsx"/>
    <s v="CLI-01571"/>
    <n v="5.333333333333333"/>
    <x v="2"/>
    <n v="64"/>
    <s v="B2B"/>
    <d v="1899-12-30T06:10:00"/>
    <s v="Pro Monde"/>
    <n v="370"/>
    <n v="95.74"/>
    <n v="1"/>
    <n v="0.45"/>
    <x v="383"/>
  </r>
  <r>
    <s v="Clients_Churn_Part_05.xlsx"/>
    <s v="CLI-01573"/>
    <n v="5"/>
    <x v="19"/>
    <n v="60"/>
    <s v="B2C"/>
    <d v="1899-12-30T02:34:00"/>
    <s v="Illimité 50Go"/>
    <n v="154"/>
    <n v="13.41"/>
    <n v="5"/>
    <n v="0"/>
    <x v="0"/>
  </r>
  <r>
    <s v="Clients_Churn_Part_12.xlsx"/>
    <s v="CLI-01578"/>
    <n v="4.25"/>
    <x v="23"/>
    <n v="51"/>
    <s v="B2B"/>
    <d v="1899-12-30T06:29:00"/>
    <s v="Pro Monde"/>
    <n v="389"/>
    <n v="50.45"/>
    <n v="3"/>
    <n v="0.45"/>
    <x v="384"/>
  </r>
  <r>
    <s v="Clients_Churn_Part_02.xlsx"/>
    <s v="CLI-01584"/>
    <n v="5.833333333333333"/>
    <x v="3"/>
    <n v="70"/>
    <s v="B2C"/>
    <d v="1899-12-30T00:31:00"/>
    <s v="Bloqué 5Go"/>
    <n v="31"/>
    <n v="71.2"/>
    <n v="4"/>
    <n v="0"/>
    <x v="0"/>
  </r>
  <r>
    <s v="Clients_Churn_Part_02.xlsx"/>
    <s v="CLI-01588"/>
    <n v="8.5833333333333339"/>
    <x v="24"/>
    <n v="103"/>
    <s v="B2C"/>
    <d v="1899-12-30T05:00:00"/>
    <s v="Bloqué 5Go"/>
    <n v="300"/>
    <n v="13.76"/>
    <n v="4"/>
    <n v="0.45"/>
    <x v="385"/>
  </r>
  <r>
    <s v="Clients_Churn_Part_15.xlsx"/>
    <s v="CLI-01589"/>
    <n v="1.1666666666666667"/>
    <x v="11"/>
    <n v="14"/>
    <s v="B2C"/>
    <d v="1899-12-30T00:37:00"/>
    <s v="Bloqué 5Go"/>
    <n v="37"/>
    <n v="20.399999999999999"/>
    <n v="2"/>
    <n v="0"/>
    <x v="0"/>
  </r>
  <r>
    <s v="Clients_Churn_Part_14.xlsx"/>
    <s v="CLI-01591"/>
    <n v="0.58333333333333337"/>
    <x v="7"/>
    <n v="7"/>
    <s v="B2B"/>
    <d v="1899-12-30T07:27:00"/>
    <s v="Pro Monde"/>
    <n v="447"/>
    <n v="84.95"/>
    <n v="2"/>
    <n v="0.45"/>
    <x v="386"/>
  </r>
  <r>
    <s v="Clients_Churn_Part_14.xlsx"/>
    <s v="CLI-01595"/>
    <n v="8.4166666666666661"/>
    <x v="14"/>
    <n v="101"/>
    <s v="B2B"/>
    <d v="1899-12-30T02:28:00"/>
    <s v="Pro Monde"/>
    <n v="148"/>
    <n v="26.63"/>
    <n v="3"/>
    <n v="0.1"/>
    <x v="387"/>
  </r>
  <r>
    <s v="Clients_Churn_Part_04.xlsx"/>
    <s v="CLI-01597"/>
    <n v="7"/>
    <x v="14"/>
    <n v="84"/>
    <s v="B2C"/>
    <d v="1899-12-30T06:27:00"/>
    <s v="Premium 5G 150Go"/>
    <n v="387"/>
    <n v="58.1"/>
    <n v="3"/>
    <n v="0.45"/>
    <x v="388"/>
  </r>
  <r>
    <s v="Clients_Churn_Part_11.xlsx"/>
    <s v="CLI-01598"/>
    <n v="3.8333333333333335"/>
    <x v="4"/>
    <n v="46"/>
    <s v="B2B"/>
    <d v="1899-12-30T03:36:00"/>
    <s v="Pro Monde"/>
    <n v="216"/>
    <n v="63.74"/>
    <n v="4"/>
    <n v="0.1"/>
    <x v="389"/>
  </r>
  <r>
    <s v="Clients_Churn_Part_14.xlsx"/>
    <s v="CLI-01600"/>
    <n v="6"/>
    <x v="15"/>
    <n v="72"/>
    <s v="B2B"/>
    <d v="1899-12-30T05:17:00"/>
    <s v="Pro Monde"/>
    <n v="317"/>
    <n v="54.58"/>
    <n v="1"/>
    <n v="0.45"/>
    <x v="390"/>
  </r>
  <r>
    <s v="Clients_Churn_Part_07.xlsx"/>
    <s v="CLI-01602"/>
    <n v="5.75"/>
    <x v="4"/>
    <n v="69"/>
    <s v="B2C"/>
    <d v="1899-12-30T08:06:00"/>
    <s v="Premium 5G 150Go"/>
    <n v="486"/>
    <n v="34.770000000000003"/>
    <n v="0"/>
    <n v="0.45"/>
    <x v="391"/>
  </r>
  <r>
    <s v="Clients_Churn_Part_01.xlsx"/>
    <s v="CLI-01603"/>
    <n v="4.75"/>
    <x v="14"/>
    <n v="57"/>
    <s v="B2C"/>
    <d v="1899-12-30T05:29:00"/>
    <s v="Illimité 50Go"/>
    <n v="329"/>
    <n v="50.39"/>
    <n v="5"/>
    <n v="0.45"/>
    <x v="392"/>
  </r>
  <r>
    <s v="Clients_Churn_Part_12.xlsx"/>
    <s v="CLI-01604"/>
    <n v="9"/>
    <x v="8"/>
    <n v="108"/>
    <s v="B2C"/>
    <d v="1899-12-30T01:18:00"/>
    <s v="Premium 5G 150Go"/>
    <n v="78"/>
    <n v="90.05"/>
    <n v="2"/>
    <n v="0"/>
    <x v="0"/>
  </r>
  <r>
    <s v="Clients_Churn_Part_09.xlsx"/>
    <s v="CLI-01606"/>
    <n v="7.666666666666667"/>
    <x v="0"/>
    <n v="92"/>
    <s v="B2C"/>
    <d v="1899-12-30T00:04:00"/>
    <s v="Bloqué 5Go"/>
    <n v="4"/>
    <n v="22.03"/>
    <n v="3"/>
    <n v="0"/>
    <x v="0"/>
  </r>
  <r>
    <s v="Clients_Churn_Part_03.xlsx"/>
    <s v="CLI-01607"/>
    <n v="6.916666666666667"/>
    <x v="0"/>
    <n v="83"/>
    <s v="B2B"/>
    <d v="1899-12-30T03:39:00"/>
    <s v="Pro Monde"/>
    <n v="219"/>
    <n v="52.26"/>
    <n v="1"/>
    <n v="0.1"/>
    <x v="393"/>
  </r>
  <r>
    <s v="Clients_Churn_Part_03.xlsx"/>
    <s v="CLI-01616"/>
    <n v="9.5"/>
    <x v="6"/>
    <n v="114"/>
    <s v="B2C"/>
    <d v="1899-12-30T05:04:00"/>
    <s v="Bloqué 5Go"/>
    <n v="304"/>
    <n v="52.07"/>
    <n v="1"/>
    <n v="0.45"/>
    <x v="394"/>
  </r>
  <r>
    <s v="Clients_Churn_Part_04.xlsx"/>
    <s v="CLI-01617"/>
    <n v="6.25"/>
    <x v="25"/>
    <n v="75"/>
    <s v="B2B"/>
    <d v="1899-12-30T04:02:00"/>
    <s v="Pro Monde"/>
    <n v="242"/>
    <n v="64.27"/>
    <n v="2"/>
    <n v="0.45"/>
    <x v="395"/>
  </r>
  <r>
    <s v="Clients_Churn_Part_01.xlsx"/>
    <s v="CLI-01618"/>
    <n v="9.5833333333333339"/>
    <x v="0"/>
    <n v="115"/>
    <s v="B2C"/>
    <d v="1899-12-30T02:56:00"/>
    <s v="Bloqué 5Go"/>
    <n v="176"/>
    <n v="33.28"/>
    <n v="4"/>
    <n v="0"/>
    <x v="0"/>
  </r>
  <r>
    <s v="Clients_Churn_Part_13.xlsx"/>
    <s v="CLI-01619"/>
    <n v="1"/>
    <x v="9"/>
    <n v="12"/>
    <s v="B2C"/>
    <d v="1899-12-30T03:55:00"/>
    <s v="Illimité 50Go"/>
    <n v="235"/>
    <n v="33.96"/>
    <n v="4"/>
    <n v="0"/>
    <x v="0"/>
  </r>
  <r>
    <s v="Clients_Churn_Part_05.xlsx"/>
    <s v="CLI-01621"/>
    <n v="3.6666666666666665"/>
    <x v="9"/>
    <n v="44"/>
    <s v="B2C"/>
    <d v="1899-12-30T03:19:00"/>
    <s v="Bloqué 5Go"/>
    <n v="199"/>
    <n v="67.650000000000006"/>
    <n v="0"/>
    <n v="0"/>
    <x v="0"/>
  </r>
  <r>
    <s v="Clients_Churn_Part_13.xlsx"/>
    <s v="CLI-01622"/>
    <n v="4"/>
    <x v="7"/>
    <n v="48"/>
    <s v="B2C"/>
    <d v="1899-12-30T05:38:00"/>
    <s v="Premium 5G 150Go"/>
    <n v="338"/>
    <n v="74.42"/>
    <n v="0"/>
    <n v="0.45"/>
    <x v="396"/>
  </r>
  <r>
    <s v="Clients_Churn_Part_07.xlsx"/>
    <s v="CLI-01623"/>
    <n v="4.25"/>
    <x v="2"/>
    <n v="51"/>
    <s v="B2C"/>
    <d v="1899-12-30T03:42:00"/>
    <s v="Premium 5G 150Go"/>
    <n v="222"/>
    <n v="18.95"/>
    <n v="4"/>
    <n v="0.45"/>
    <x v="397"/>
  </r>
  <r>
    <s v="Clients_Churn_Part_05.xlsx"/>
    <s v="CLI-01624"/>
    <n v="4.75"/>
    <x v="1"/>
    <n v="57"/>
    <s v="B2C"/>
    <d v="1899-12-30T07:15:00"/>
    <s v="Illimité 50Go"/>
    <n v="435"/>
    <n v="56.88"/>
    <n v="4"/>
    <n v="0.45"/>
    <x v="398"/>
  </r>
  <r>
    <s v="Clients_Churn_Part_08.xlsx"/>
    <s v="CLI-01626"/>
    <n v="3.0833333333333335"/>
    <x v="9"/>
    <n v="37"/>
    <s v="B2C"/>
    <d v="1899-12-30T01:27:00"/>
    <s v="Bloqué 5Go"/>
    <n v="87"/>
    <n v="26.4"/>
    <n v="3"/>
    <n v="0"/>
    <x v="0"/>
  </r>
  <r>
    <s v="Clients_Churn_Part_13.xlsx"/>
    <s v="CLI-01629"/>
    <n v="1.8333333333333333"/>
    <x v="5"/>
    <n v="22"/>
    <s v="B2B"/>
    <d v="1899-12-30T06:14:00"/>
    <s v="Pro Monde"/>
    <n v="374"/>
    <n v="40.06"/>
    <n v="5"/>
    <n v="0.45"/>
    <x v="399"/>
  </r>
  <r>
    <s v="Clients_Churn_Part_14.xlsx"/>
    <s v="CLI-01630"/>
    <n v="1.75"/>
    <x v="19"/>
    <n v="21"/>
    <s v="B2C"/>
    <d v="1899-12-30T07:40:00"/>
    <s v="Illimité 50Go"/>
    <n v="460"/>
    <n v="70.81"/>
    <n v="2"/>
    <n v="0.45"/>
    <x v="400"/>
  </r>
  <r>
    <s v="Clients_Churn_Part_03.xlsx"/>
    <s v="CLI-01637"/>
    <n v="5.583333333333333"/>
    <x v="4"/>
    <n v="67"/>
    <s v="B2B"/>
    <d v="1899-12-30T00:55:00"/>
    <s v="Pro Monde"/>
    <n v="55"/>
    <n v="27.04"/>
    <n v="1"/>
    <n v="0.1"/>
    <x v="401"/>
  </r>
  <r>
    <s v="Clients_Churn_Part_05.xlsx"/>
    <s v="CLI-01638"/>
    <n v="1.9166666666666667"/>
    <x v="10"/>
    <n v="23"/>
    <s v="B2B"/>
    <d v="1899-12-30T07:53:00"/>
    <s v="Pro Monde"/>
    <n v="473"/>
    <n v="71.86"/>
    <n v="3"/>
    <n v="0.45"/>
    <x v="402"/>
  </r>
  <r>
    <s v="Clients_Churn_Part_01.xlsx"/>
    <s v="CLI-01646"/>
    <n v="1.6666666666666667"/>
    <x v="4"/>
    <n v="20"/>
    <s v="B2C"/>
    <d v="1899-12-30T00:04:00"/>
    <s v="Illimité 50Go"/>
    <n v="4"/>
    <n v="84.9"/>
    <n v="3"/>
    <n v="0"/>
    <x v="0"/>
  </r>
  <r>
    <s v="Clients_Churn_Part_02.xlsx"/>
    <s v="CLI-01651"/>
    <n v="1"/>
    <x v="1"/>
    <n v="12"/>
    <s v="B2C"/>
    <d v="1899-12-30T03:28:00"/>
    <s v="Premium 5G 150Go"/>
    <n v="208"/>
    <n v="16.29"/>
    <n v="4"/>
    <n v="0.45"/>
    <x v="403"/>
  </r>
  <r>
    <s v="Clients_Churn_Part_02.xlsx"/>
    <s v="CLI-01653"/>
    <n v="0.5"/>
    <x v="24"/>
    <n v="6"/>
    <s v="B2C"/>
    <d v="1899-12-30T02:42:00"/>
    <s v="Premium 5G 150Go"/>
    <n v="162"/>
    <n v="99.93"/>
    <n v="0"/>
    <n v="0.45"/>
    <x v="404"/>
  </r>
  <r>
    <s v="Clients_Churn_Part_12.xlsx"/>
    <s v="CLI-01654"/>
    <n v="2.0833333333333335"/>
    <x v="25"/>
    <n v="25"/>
    <s v="B2C"/>
    <d v="1899-12-30T00:05:00"/>
    <s v="Bloqué 5Go"/>
    <n v="5"/>
    <n v="27.93"/>
    <n v="0"/>
    <n v="0"/>
    <x v="0"/>
  </r>
  <r>
    <s v="Clients_Churn_Part_10.xlsx"/>
    <s v="CLI-01658"/>
    <n v="3.25"/>
    <x v="18"/>
    <n v="39"/>
    <s v="B2B"/>
    <d v="1899-12-30T00:54:00"/>
    <s v="Pro Monde"/>
    <n v="54"/>
    <n v="88.84"/>
    <n v="0"/>
    <n v="0.1"/>
    <x v="405"/>
  </r>
  <r>
    <s v="Clients_Churn_Part_10.xlsx"/>
    <s v="CLI-01662"/>
    <n v="10"/>
    <x v="5"/>
    <n v="120"/>
    <s v="B2C"/>
    <d v="1899-12-30T06:31:00"/>
    <s v="Premium 5G 150Go"/>
    <n v="391"/>
    <n v="67.77"/>
    <n v="4"/>
    <n v="0.45"/>
    <x v="406"/>
  </r>
  <r>
    <s v="Clients_Churn_Part_03.xlsx"/>
    <s v="CLI-01664"/>
    <n v="4.25"/>
    <x v="22"/>
    <n v="51"/>
    <s v="B2C"/>
    <d v="1899-12-30T04:20:00"/>
    <s v="Bloqué 5Go"/>
    <n v="260"/>
    <n v="92.8"/>
    <n v="5"/>
    <n v="0.45"/>
    <x v="407"/>
  </r>
  <r>
    <s v="Clients_Churn_Part_04.xlsx"/>
    <s v="CLI-01666"/>
    <n v="0.91666666666666663"/>
    <x v="20"/>
    <n v="11"/>
    <s v="B2C"/>
    <d v="1899-12-30T03:11:00"/>
    <s v="Premium 5G 150Go"/>
    <n v="191"/>
    <n v="87.37"/>
    <n v="3"/>
    <n v="0.45"/>
    <x v="408"/>
  </r>
  <r>
    <s v="Clients_Churn_Part_11.xlsx"/>
    <s v="CLI-01668"/>
    <n v="3.9166666666666665"/>
    <x v="15"/>
    <n v="47"/>
    <s v="B2C"/>
    <d v="1899-12-30T07:37:00"/>
    <s v="Premium 5G 150Go"/>
    <n v="457"/>
    <n v="84.93"/>
    <n v="2"/>
    <n v="0.45"/>
    <x v="409"/>
  </r>
  <r>
    <s v="Clients_Churn_Part_12.xlsx"/>
    <s v="CLI-01669"/>
    <n v="8.1666666666666661"/>
    <x v="3"/>
    <n v="98"/>
    <s v="B2C"/>
    <d v="1899-12-30T01:50:00"/>
    <s v="Illimité 50Go"/>
    <n v="110"/>
    <n v="96.23"/>
    <n v="2"/>
    <n v="0"/>
    <x v="0"/>
  </r>
  <r>
    <s v="Clients_Churn_Part_04.xlsx"/>
    <s v="CLI-01680"/>
    <n v="2.3333333333333335"/>
    <x v="22"/>
    <n v="28"/>
    <s v="B2C"/>
    <d v="1899-12-30T01:36:00"/>
    <s v="Premium 5G 150Go"/>
    <n v="96"/>
    <n v="72.010000000000005"/>
    <n v="4"/>
    <n v="0.45"/>
    <x v="410"/>
  </r>
  <r>
    <s v="Clients_Churn_Part_10.xlsx"/>
    <s v="CLI-01682"/>
    <n v="6.416666666666667"/>
    <x v="0"/>
    <n v="77"/>
    <s v="B2C"/>
    <d v="1899-12-30T06:15:00"/>
    <s v="Illimité 50Go"/>
    <n v="375"/>
    <n v="24.03"/>
    <n v="1"/>
    <n v="0.45"/>
    <x v="411"/>
  </r>
  <r>
    <s v="Clients_Churn_Part_03.xlsx"/>
    <s v="CLI-01683"/>
    <n v="4.666666666666667"/>
    <x v="9"/>
    <n v="56"/>
    <s v="B2C"/>
    <d v="1899-12-30T05:33:00"/>
    <s v="Bloqué 5Go"/>
    <n v="333"/>
    <n v="23.01"/>
    <n v="2"/>
    <n v="0.45"/>
    <x v="412"/>
  </r>
  <r>
    <s v="Clients_Churn_Part_04.xlsx"/>
    <s v="CLI-01685"/>
    <n v="5.5"/>
    <x v="1"/>
    <n v="66"/>
    <s v="B2C"/>
    <d v="1899-12-30T06:27:00"/>
    <s v="Illimité 50Go"/>
    <n v="387"/>
    <n v="82.94"/>
    <n v="3"/>
    <n v="0.45"/>
    <x v="413"/>
  </r>
  <r>
    <s v="Clients_Churn_Part_04.xlsx"/>
    <s v="CLI-01686"/>
    <n v="6.25"/>
    <x v="24"/>
    <n v="75"/>
    <s v="B2C"/>
    <d v="1899-12-30T04:42:00"/>
    <s v="Bloqué 5Go"/>
    <n v="282"/>
    <n v="45.16"/>
    <n v="5"/>
    <n v="0.45"/>
    <x v="414"/>
  </r>
  <r>
    <s v="Clients_Churn_Part_09.xlsx"/>
    <s v="CLI-01687"/>
    <n v="3.25"/>
    <x v="0"/>
    <n v="39"/>
    <s v="B2C"/>
    <d v="1899-12-30T00:01:00"/>
    <s v="Premium 5G 150Go"/>
    <n v="1"/>
    <n v="66.94"/>
    <n v="5"/>
    <n v="0.45"/>
    <x v="415"/>
  </r>
  <r>
    <s v="Clients_Churn_Part_07.xlsx"/>
    <s v="CLI-01688"/>
    <n v="8.5"/>
    <x v="2"/>
    <n v="102"/>
    <s v="B2C"/>
    <d v="1899-12-30T01:31:00"/>
    <s v="Bloqué 5Go"/>
    <n v="91"/>
    <n v="34.64"/>
    <n v="2"/>
    <n v="0"/>
    <x v="0"/>
  </r>
  <r>
    <s v="Clients_Churn_Part_04.xlsx"/>
    <s v="CLI-01689"/>
    <n v="4.583333333333333"/>
    <x v="15"/>
    <n v="55"/>
    <s v="B2C"/>
    <d v="1899-12-30T06:34:00"/>
    <s v="Premium 5G 150Go"/>
    <n v="394"/>
    <n v="26.8"/>
    <n v="4"/>
    <n v="0.45"/>
    <x v="416"/>
  </r>
  <r>
    <s v="Clients_Churn_Part_05.xlsx"/>
    <s v="CLI-01694"/>
    <n v="6.5"/>
    <x v="12"/>
    <n v="78"/>
    <s v="B2C"/>
    <d v="1899-12-30T03:18:00"/>
    <s v="Illimité 50Go"/>
    <n v="198"/>
    <n v="69.849999999999994"/>
    <n v="0"/>
    <n v="0"/>
    <x v="0"/>
  </r>
  <r>
    <s v="Clients_Churn_Part_06.xlsx"/>
    <s v="CLI-01695"/>
    <n v="0.41666666666666669"/>
    <x v="20"/>
    <n v="5"/>
    <s v="B2C"/>
    <d v="1899-12-30T06:24:00"/>
    <s v="Premium 5G 150Go"/>
    <n v="384"/>
    <n v="97.26"/>
    <n v="3"/>
    <n v="0.45"/>
    <x v="417"/>
  </r>
  <r>
    <s v="Clients_Churn_Part_15.xlsx"/>
    <s v="CLI-01697"/>
    <n v="7.25"/>
    <x v="5"/>
    <n v="87"/>
    <s v="B2B"/>
    <d v="1899-12-30T08:06:00"/>
    <s v="Pro Monde"/>
    <n v="486"/>
    <n v="58.26"/>
    <n v="0"/>
    <n v="0.45"/>
    <x v="418"/>
  </r>
  <r>
    <s v="Clients_Churn_Part_02.xlsx"/>
    <s v="CLI-01698"/>
    <n v="3.5"/>
    <x v="24"/>
    <n v="42"/>
    <s v="B2C"/>
    <d v="1899-12-30T06:25:00"/>
    <s v="Illimité 50Go"/>
    <n v="385"/>
    <n v="96.52"/>
    <n v="1"/>
    <n v="0.45"/>
    <x v="419"/>
  </r>
  <r>
    <s v="Clients_Churn_Part_14.xlsx"/>
    <s v="CLI-01701"/>
    <n v="8.5833333333333339"/>
    <x v="10"/>
    <n v="103"/>
    <s v="B2C"/>
    <d v="1899-12-30T06:26:00"/>
    <s v="Premium 5G 150Go"/>
    <n v="386"/>
    <n v="10.58"/>
    <n v="0"/>
    <n v="0.45"/>
    <x v="420"/>
  </r>
  <r>
    <s v="Clients_Churn_Part_05.xlsx"/>
    <s v="CLI-01702"/>
    <n v="5.25"/>
    <x v="0"/>
    <n v="63"/>
    <s v="B2C"/>
    <d v="1899-12-30T06:32:00"/>
    <s v="Bloqué 5Go"/>
    <n v="392"/>
    <n v="93.11"/>
    <n v="3"/>
    <n v="0.45"/>
    <x v="421"/>
  </r>
  <r>
    <s v="Clients_Churn_Part_12.xlsx"/>
    <s v="CLI-01704"/>
    <n v="4.333333333333333"/>
    <x v="4"/>
    <n v="52"/>
    <s v="B2C"/>
    <d v="1899-12-30T05:07:00"/>
    <s v="Bloqué 5Go"/>
    <n v="307"/>
    <n v="81.38"/>
    <n v="2"/>
    <n v="0.45"/>
    <x v="422"/>
  </r>
  <r>
    <s v="Clients_Churn_Part_02.xlsx"/>
    <s v="CLI-01705"/>
    <n v="4.75"/>
    <x v="13"/>
    <n v="57"/>
    <s v="B2C"/>
    <d v="1899-12-30T03:28:00"/>
    <s v="Bloqué 5Go"/>
    <n v="208"/>
    <n v="85.66"/>
    <n v="5"/>
    <n v="0"/>
    <x v="0"/>
  </r>
  <r>
    <s v="Clients_Churn_Part_07.xlsx"/>
    <s v="CLI-01706"/>
    <n v="4.583333333333333"/>
    <x v="0"/>
    <n v="55"/>
    <s v="B2C"/>
    <d v="1899-12-30T01:26:00"/>
    <s v="Premium 5G 150Go"/>
    <n v="86"/>
    <n v="17.440000000000001"/>
    <n v="2"/>
    <n v="0.45"/>
    <x v="423"/>
  </r>
  <r>
    <s v="Clients_Churn_Part_10.xlsx"/>
    <s v="CLI-01709"/>
    <n v="4.833333333333333"/>
    <x v="16"/>
    <n v="58"/>
    <s v="B2C"/>
    <d v="1899-12-30T08:05:00"/>
    <s v="Premium 5G 150Go"/>
    <n v="485"/>
    <n v="64.290000000000006"/>
    <n v="4"/>
    <n v="0.45"/>
    <x v="424"/>
  </r>
  <r>
    <s v="Clients_Churn_Part_14.xlsx"/>
    <s v="CLI-01714"/>
    <n v="0.75"/>
    <x v="1"/>
    <n v="9"/>
    <s v="B2C"/>
    <d v="1899-12-30T00:27:00"/>
    <s v="Bloqué 5Go"/>
    <n v="27"/>
    <n v="99.02"/>
    <n v="3"/>
    <n v="0"/>
    <x v="0"/>
  </r>
  <r>
    <s v="Clients_Churn_Part_11.xlsx"/>
    <s v="CLI-01719"/>
    <n v="7"/>
    <x v="8"/>
    <n v="84"/>
    <s v="B2C"/>
    <d v="1899-12-30T06:04:00"/>
    <s v="Bloqué 5Go"/>
    <n v="364"/>
    <n v="87.79"/>
    <n v="3"/>
    <n v="0.45"/>
    <x v="425"/>
  </r>
  <r>
    <s v="Clients_Churn_Part_01.xlsx"/>
    <s v="CLI-01720"/>
    <n v="2.25"/>
    <x v="16"/>
    <n v="27"/>
    <s v="B2C"/>
    <d v="1899-12-30T04:35:00"/>
    <s v="Bloqué 5Go"/>
    <n v="275"/>
    <n v="80.069999999999993"/>
    <n v="1"/>
    <n v="0.45"/>
    <x v="426"/>
  </r>
  <r>
    <s v="Clients_Churn_Part_09.xlsx"/>
    <s v="CLI-01721"/>
    <n v="4.666666666666667"/>
    <x v="15"/>
    <n v="56"/>
    <s v="B2C"/>
    <d v="1899-12-30T01:54:00"/>
    <s v="Bloqué 5Go"/>
    <n v="114"/>
    <n v="64.39"/>
    <n v="1"/>
    <n v="0"/>
    <x v="0"/>
  </r>
  <r>
    <s v="Clients_Churn_Part_12.xlsx"/>
    <s v="CLI-01722"/>
    <n v="4.25"/>
    <x v="21"/>
    <n v="51"/>
    <s v="B2C"/>
    <d v="1899-12-30T02:32:00"/>
    <s v="Illimité 50Go"/>
    <n v="152"/>
    <n v="34.630000000000003"/>
    <n v="2"/>
    <n v="0"/>
    <x v="0"/>
  </r>
  <r>
    <s v="Clients_Churn_Part_04.xlsx"/>
    <s v="CLI-01723"/>
    <n v="2.1666666666666665"/>
    <x v="2"/>
    <n v="26"/>
    <s v="B2C"/>
    <d v="1899-12-30T02:54:00"/>
    <s v="Bloqué 5Go"/>
    <n v="174"/>
    <n v="90.53"/>
    <n v="3"/>
    <n v="0"/>
    <x v="0"/>
  </r>
  <r>
    <s v="Clients_Churn_Part_03.xlsx"/>
    <s v="CLI-01724"/>
    <n v="5"/>
    <x v="18"/>
    <n v="60"/>
    <s v="B2C"/>
    <d v="1899-12-30T02:48:00"/>
    <s v="Bloqué 5Go"/>
    <n v="168"/>
    <n v="67.650000000000006"/>
    <n v="1"/>
    <n v="0"/>
    <x v="0"/>
  </r>
  <r>
    <s v="Clients_Churn_Part_01.xlsx"/>
    <s v="CLI-01726"/>
    <n v="3.9166666666666665"/>
    <x v="1"/>
    <n v="47"/>
    <s v="B2C"/>
    <d v="1899-12-30T03:19:00"/>
    <s v="Bloqué 5Go"/>
    <n v="199"/>
    <n v="23.19"/>
    <n v="2"/>
    <n v="0"/>
    <x v="0"/>
  </r>
  <r>
    <s v="Clients_Churn_Part_13.xlsx"/>
    <s v="CLI-01728"/>
    <n v="0.58333333333333337"/>
    <x v="9"/>
    <n v="7"/>
    <s v="B2C"/>
    <d v="1899-12-30T04:17:00"/>
    <s v="Bloqué 5Go"/>
    <n v="257"/>
    <n v="73.040000000000006"/>
    <n v="3"/>
    <n v="0.45"/>
    <x v="427"/>
  </r>
  <r>
    <s v="Clients_Churn_Part_07.xlsx"/>
    <s v="CLI-01729"/>
    <n v="4.916666666666667"/>
    <x v="8"/>
    <n v="59"/>
    <s v="B2B"/>
    <d v="1899-12-30T06:09:00"/>
    <s v="Pro Monde"/>
    <n v="369"/>
    <n v="26.64"/>
    <n v="4"/>
    <n v="0.45"/>
    <x v="428"/>
  </r>
  <r>
    <s v="Clients_Churn_Part_13.xlsx"/>
    <s v="CLI-01731"/>
    <n v="8.6666666666666661"/>
    <x v="3"/>
    <n v="104"/>
    <s v="B2C"/>
    <d v="1899-12-30T04:03:00"/>
    <s v="Bloqué 5Go"/>
    <n v="243"/>
    <n v="65.819999999999993"/>
    <n v="0"/>
    <n v="0.45"/>
    <x v="429"/>
  </r>
  <r>
    <s v="Clients_Churn_Part_06.xlsx"/>
    <s v="CLI-01732"/>
    <n v="4"/>
    <x v="5"/>
    <n v="48"/>
    <s v="B2C"/>
    <d v="1899-12-30T00:15:00"/>
    <s v="Illimité 50Go"/>
    <n v="15"/>
    <n v="50.67"/>
    <n v="1"/>
    <n v="0"/>
    <x v="0"/>
  </r>
  <r>
    <s v="Clients_Churn_Part_05.xlsx"/>
    <s v="CLI-01735"/>
    <n v="5.916666666666667"/>
    <x v="5"/>
    <n v="71"/>
    <s v="B2C"/>
    <d v="1899-12-30T06:04:00"/>
    <s v="Bloqué 5Go"/>
    <n v="364"/>
    <n v="39.58"/>
    <n v="1"/>
    <n v="0.45"/>
    <x v="430"/>
  </r>
  <r>
    <s v="Clients_Churn_Part_07.xlsx"/>
    <s v="CLI-01736"/>
    <n v="7.333333333333333"/>
    <x v="1"/>
    <n v="88"/>
    <s v="B2C"/>
    <d v="1899-12-30T02:34:00"/>
    <s v="Illimité 50Go"/>
    <n v="154"/>
    <n v="62.62"/>
    <n v="5"/>
    <n v="0"/>
    <x v="0"/>
  </r>
  <r>
    <s v="Clients_Churn_Part_11.xlsx"/>
    <s v="CLI-01739"/>
    <n v="9.9166666666666661"/>
    <x v="3"/>
    <n v="119"/>
    <s v="B2C"/>
    <d v="1899-12-30T03:51:00"/>
    <s v="Illimité 50Go"/>
    <n v="231"/>
    <n v="20.22"/>
    <n v="2"/>
    <n v="0"/>
    <x v="0"/>
  </r>
  <r>
    <s v="Clients_Churn_Part_06.xlsx"/>
    <s v="CLI-01740"/>
    <n v="6.75"/>
    <x v="5"/>
    <n v="81"/>
    <s v="B2B"/>
    <d v="1899-12-30T04:58:00"/>
    <s v="Pro Monde"/>
    <n v="298"/>
    <n v="53.61"/>
    <n v="2"/>
    <n v="0.45"/>
    <x v="431"/>
  </r>
  <r>
    <s v="Clients_Churn_Part_10.xlsx"/>
    <s v="CLI-01741"/>
    <n v="3.75"/>
    <x v="8"/>
    <n v="45"/>
    <s v="B2C"/>
    <d v="1899-12-30T04:04:00"/>
    <s v="Premium 5G 150Go"/>
    <n v="244"/>
    <n v="55.17"/>
    <n v="2"/>
    <n v="0.45"/>
    <x v="432"/>
  </r>
  <r>
    <s v="Clients_Churn_Part_01.xlsx"/>
    <s v="CLI-01746"/>
    <n v="7.166666666666667"/>
    <x v="15"/>
    <n v="86"/>
    <s v="B2C"/>
    <d v="1899-12-30T07:51:00"/>
    <s v="Premium 5G 150Go"/>
    <n v="471"/>
    <n v="33.380000000000003"/>
    <n v="4"/>
    <n v="0.45"/>
    <x v="433"/>
  </r>
  <r>
    <s v="Clients_Churn_Part_06.xlsx"/>
    <s v="CLI-01749"/>
    <n v="2.75"/>
    <x v="4"/>
    <n v="33"/>
    <s v="B2C"/>
    <d v="1899-12-30T07:24:00"/>
    <s v="Premium 5G 150Go"/>
    <n v="444"/>
    <n v="10.28"/>
    <n v="5"/>
    <n v="0.45"/>
    <x v="4"/>
  </r>
  <r>
    <s v="Clients_Churn_Part_03.xlsx"/>
    <s v="CLI-01757"/>
    <n v="8.6666666666666661"/>
    <x v="15"/>
    <n v="104"/>
    <s v="B2B"/>
    <d v="1899-12-30T05:17:00"/>
    <s v="Pro Monde"/>
    <n v="317"/>
    <n v="79.150000000000006"/>
    <n v="1"/>
    <n v="0.45"/>
    <x v="434"/>
  </r>
  <r>
    <s v="Clients_Churn_Part_13.xlsx"/>
    <s v="CLI-01759"/>
    <n v="7.5"/>
    <x v="12"/>
    <n v="90"/>
    <s v="B2B"/>
    <d v="1899-12-30T03:15:00"/>
    <s v="Pro Monde"/>
    <n v="195"/>
    <n v="52.71"/>
    <n v="2"/>
    <n v="0.1"/>
    <x v="435"/>
  </r>
  <r>
    <s v="Clients_Churn_Part_01.xlsx"/>
    <s v="CLI-01761"/>
    <n v="9"/>
    <x v="24"/>
    <n v="108"/>
    <s v="B2C"/>
    <d v="1899-12-30T04:38:00"/>
    <s v="Illimité 50Go"/>
    <n v="278"/>
    <n v="40.51"/>
    <n v="3"/>
    <n v="0.45"/>
    <x v="436"/>
  </r>
  <r>
    <s v="Clients_Churn_Part_15.xlsx"/>
    <s v="CLI-01765"/>
    <n v="4.75"/>
    <x v="20"/>
    <n v="57"/>
    <s v="B2C"/>
    <d v="1899-12-30T06:15:00"/>
    <s v="Illimité 50Go"/>
    <n v="375"/>
    <n v="64.73"/>
    <n v="1"/>
    <n v="0.45"/>
    <x v="437"/>
  </r>
  <r>
    <s v="Clients_Churn_Part_10.xlsx"/>
    <s v="CLI-01766"/>
    <n v="8.4166666666666661"/>
    <x v="11"/>
    <n v="101"/>
    <s v="B2B"/>
    <d v="1899-12-30T03:30:00"/>
    <s v="Pro Monde"/>
    <n v="210"/>
    <n v="35.4"/>
    <n v="1"/>
    <n v="0.1"/>
    <x v="438"/>
  </r>
  <r>
    <s v="Clients_Churn_Part_02.xlsx"/>
    <s v="CLI-01768"/>
    <n v="6"/>
    <x v="4"/>
    <n v="72"/>
    <s v="B2B"/>
    <d v="1899-12-30T05:33:00"/>
    <s v="Pro Monde"/>
    <n v="333"/>
    <n v="34.57"/>
    <n v="2"/>
    <n v="0.45"/>
    <x v="439"/>
  </r>
  <r>
    <s v="Clients_Churn_Part_06.xlsx"/>
    <s v="CLI-01773"/>
    <n v="7.583333333333333"/>
    <x v="9"/>
    <n v="91"/>
    <s v="B2C"/>
    <d v="1899-12-30T06:44:00"/>
    <s v="Illimité 50Go"/>
    <n v="404"/>
    <n v="76.53"/>
    <n v="5"/>
    <n v="0.45"/>
    <x v="440"/>
  </r>
  <r>
    <s v="Clients_Churn_Part_04.xlsx"/>
    <s v="CLI-01775"/>
    <n v="9.8333333333333339"/>
    <x v="15"/>
    <n v="118"/>
    <s v="B2C"/>
    <d v="1899-12-30T05:00:00"/>
    <s v="Bloqué 5Go"/>
    <n v="300"/>
    <n v="98.22"/>
    <n v="4"/>
    <n v="0.45"/>
    <x v="441"/>
  </r>
  <r>
    <s v="Clients_Churn_Part_01.xlsx"/>
    <s v="CLI-01776"/>
    <n v="6.583333333333333"/>
    <x v="11"/>
    <n v="79"/>
    <s v="B2C"/>
    <d v="1899-12-30T05:57:00"/>
    <s v="Bloqué 5Go"/>
    <n v="357"/>
    <n v="69.900000000000006"/>
    <n v="5"/>
    <n v="0.45"/>
    <x v="442"/>
  </r>
  <r>
    <s v="Clients_Churn_Part_13.xlsx"/>
    <s v="CLI-01780"/>
    <n v="9.3333333333333339"/>
    <x v="8"/>
    <n v="112"/>
    <s v="B2C"/>
    <d v="1899-12-30T04:41:00"/>
    <s v="Illimité 50Go"/>
    <n v="281"/>
    <n v="80.72"/>
    <n v="2"/>
    <n v="0.45"/>
    <x v="443"/>
  </r>
  <r>
    <s v="Clients_Churn_Part_10.xlsx"/>
    <s v="CLI-01782"/>
    <n v="7.75"/>
    <x v="7"/>
    <n v="93"/>
    <s v="B2B"/>
    <d v="1899-12-30T02:33:00"/>
    <s v="Pro Monde"/>
    <n v="153"/>
    <n v="86.19"/>
    <n v="0"/>
    <n v="0.1"/>
    <x v="444"/>
  </r>
  <r>
    <s v="Clients_Churn_Part_11.xlsx"/>
    <s v="CLI-01783"/>
    <n v="4"/>
    <x v="14"/>
    <n v="48"/>
    <s v="B2C"/>
    <d v="1899-12-30T08:02:00"/>
    <s v="Bloqué 5Go"/>
    <n v="482"/>
    <n v="83.24"/>
    <n v="0"/>
    <n v="0.45"/>
    <x v="445"/>
  </r>
  <r>
    <s v="Clients_Churn_Part_08.xlsx"/>
    <s v="CLI-01788"/>
    <n v="1.8333333333333333"/>
    <x v="18"/>
    <n v="22"/>
    <s v="B2B"/>
    <d v="1899-12-30T02:07:00"/>
    <s v="Pro Monde"/>
    <n v="127"/>
    <n v="49.06"/>
    <n v="2"/>
    <n v="0.1"/>
    <x v="446"/>
  </r>
  <r>
    <s v="Clients_Churn_Part_05.xlsx"/>
    <s v="CLI-01793"/>
    <n v="7.25"/>
    <x v="16"/>
    <n v="87"/>
    <s v="B2B"/>
    <d v="1899-12-30T03:25:00"/>
    <s v="Pro Monde"/>
    <n v="205"/>
    <n v="40.159999999999997"/>
    <n v="5"/>
    <n v="0.1"/>
    <x v="447"/>
  </r>
  <r>
    <s v="Clients_Churn_Part_08.xlsx"/>
    <s v="CLI-01794"/>
    <n v="8.3333333333333339"/>
    <x v="9"/>
    <n v="100"/>
    <s v="B2C"/>
    <d v="1899-12-30T07:51:00"/>
    <s v="Bloqué 5Go"/>
    <n v="471"/>
    <n v="61.2"/>
    <n v="3"/>
    <n v="0.45"/>
    <x v="448"/>
  </r>
  <r>
    <s v="Clients_Churn_Part_04.xlsx"/>
    <s v="CLI-01796"/>
    <n v="4.25"/>
    <x v="20"/>
    <n v="51"/>
    <s v="B2C"/>
    <d v="1899-12-30T07:13:00"/>
    <s v="Illimité 50Go"/>
    <n v="433"/>
    <n v="12.89"/>
    <n v="1"/>
    <n v="0.45"/>
    <x v="375"/>
  </r>
  <r>
    <s v="Clients_Churn_Part_15.xlsx"/>
    <s v="CLI-01797"/>
    <n v="1.25"/>
    <x v="16"/>
    <n v="15"/>
    <s v="B2C"/>
    <d v="1899-12-30T00:30:00"/>
    <s v="Bloqué 5Go"/>
    <n v="30"/>
    <n v="30.5"/>
    <n v="1"/>
    <n v="0"/>
    <x v="0"/>
  </r>
  <r>
    <s v="Clients_Churn_Part_03.xlsx"/>
    <s v="CLI-01802"/>
    <n v="4.583333333333333"/>
    <x v="0"/>
    <n v="55"/>
    <s v="B2C"/>
    <d v="1899-12-30T06:47:00"/>
    <s v="Bloqué 5Go"/>
    <n v="407"/>
    <n v="23.11"/>
    <n v="0"/>
    <n v="0.45"/>
    <x v="449"/>
  </r>
  <r>
    <s v="Clients_Churn_Part_11.xlsx"/>
    <s v="CLI-01804"/>
    <n v="8.25"/>
    <x v="7"/>
    <n v="99"/>
    <s v="B2B"/>
    <d v="1899-12-30T00:42:00"/>
    <s v="Pro Monde"/>
    <n v="42"/>
    <n v="98.77"/>
    <n v="3"/>
    <n v="0.1"/>
    <x v="450"/>
  </r>
  <r>
    <s v="Clients_Churn_Part_02.xlsx"/>
    <s v="CLI-01812"/>
    <n v="4.166666666666667"/>
    <x v="17"/>
    <n v="50"/>
    <s v="B2C"/>
    <d v="1899-12-30T04:18:00"/>
    <s v="Bloqué 5Go"/>
    <n v="258"/>
    <n v="25.06"/>
    <n v="4"/>
    <n v="0.45"/>
    <x v="451"/>
  </r>
  <r>
    <s v="Clients_Churn_Part_01.xlsx"/>
    <s v="CLI-01814"/>
    <n v="1.8333333333333333"/>
    <x v="19"/>
    <n v="22"/>
    <s v="B2C"/>
    <d v="1899-12-30T07:31:00"/>
    <s v="Illimité 50Go"/>
    <n v="451"/>
    <n v="76.38"/>
    <n v="3"/>
    <n v="0.45"/>
    <x v="452"/>
  </r>
  <r>
    <s v="Clients_Churn_Part_12.xlsx"/>
    <s v="CLI-01816"/>
    <n v="6.916666666666667"/>
    <x v="18"/>
    <n v="83"/>
    <s v="B2B"/>
    <d v="1899-12-30T01:31:00"/>
    <s v="Pro Monde"/>
    <n v="91"/>
    <n v="73.73"/>
    <n v="2"/>
    <n v="0.1"/>
    <x v="453"/>
  </r>
  <r>
    <s v="Clients_Churn_Part_08.xlsx"/>
    <s v="CLI-01818"/>
    <n v="2.9166666666666665"/>
    <x v="12"/>
    <n v="35"/>
    <s v="B2C"/>
    <d v="1899-12-30T07:01:00"/>
    <s v="Illimité 50Go"/>
    <n v="421"/>
    <n v="29.57"/>
    <n v="5"/>
    <n v="0.45"/>
    <x v="454"/>
  </r>
  <r>
    <s v="Clients_Churn_Part_12.xlsx"/>
    <s v="CLI-01820"/>
    <n v="8.25"/>
    <x v="18"/>
    <n v="99"/>
    <s v="B2C"/>
    <d v="1899-12-30T02:17:00"/>
    <s v="Illimité 50Go"/>
    <n v="137"/>
    <n v="23.05"/>
    <n v="4"/>
    <n v="0"/>
    <x v="0"/>
  </r>
  <r>
    <s v="Clients_Churn_Part_09.xlsx"/>
    <s v="CLI-01821"/>
    <n v="9.5833333333333339"/>
    <x v="0"/>
    <n v="115"/>
    <s v="B2B"/>
    <d v="1899-12-30T04:22:00"/>
    <s v="Pro Monde"/>
    <n v="262"/>
    <n v="66.34"/>
    <n v="3"/>
    <n v="0.45"/>
    <x v="455"/>
  </r>
  <r>
    <s v="Clients_Churn_Part_08.xlsx"/>
    <s v="CLI-01822"/>
    <n v="9.3333333333333339"/>
    <x v="10"/>
    <n v="112"/>
    <s v="B2C"/>
    <d v="1899-12-30T08:03:00"/>
    <s v="Illimité 50Go"/>
    <n v="483"/>
    <n v="93.98"/>
    <n v="0"/>
    <n v="0.45"/>
    <x v="456"/>
  </r>
  <r>
    <s v="Clients_Churn_Part_09.xlsx"/>
    <s v="CLI-01823"/>
    <n v="0.58333333333333337"/>
    <x v="4"/>
    <n v="7"/>
    <s v="B2C"/>
    <d v="1899-12-30T03:53:00"/>
    <s v="Bloqué 5Go"/>
    <n v="233"/>
    <n v="10.94"/>
    <n v="0"/>
    <n v="0"/>
    <x v="0"/>
  </r>
  <r>
    <s v="Clients_Churn_Part_04.xlsx"/>
    <s v="CLI-01824"/>
    <n v="3.5"/>
    <x v="18"/>
    <n v="42"/>
    <s v="B2B"/>
    <d v="1899-12-30T06:29:00"/>
    <s v="Pro Monde"/>
    <n v="389"/>
    <n v="80.08"/>
    <n v="1"/>
    <n v="0.45"/>
    <x v="457"/>
  </r>
  <r>
    <s v="Clients_Churn_Part_15.xlsx"/>
    <s v="CLI-01830"/>
    <n v="8.6666666666666661"/>
    <x v="14"/>
    <n v="104"/>
    <s v="B2C"/>
    <d v="1899-12-30T04:05:00"/>
    <s v="Bloqué 5Go"/>
    <n v="245"/>
    <n v="38.270000000000003"/>
    <n v="0"/>
    <n v="0.45"/>
    <x v="458"/>
  </r>
  <r>
    <s v="Clients_Churn_Part_15.xlsx"/>
    <s v="CLI-01832"/>
    <n v="1.9166666666666667"/>
    <x v="22"/>
    <n v="23"/>
    <s v="B2B"/>
    <d v="1899-12-30T02:00:00"/>
    <s v="Pro Monde"/>
    <n v="120"/>
    <n v="73.12"/>
    <n v="1"/>
    <n v="0.1"/>
    <x v="459"/>
  </r>
  <r>
    <s v="Clients_Churn_Part_07.xlsx"/>
    <s v="CLI-01835"/>
    <n v="6.333333333333333"/>
    <x v="2"/>
    <n v="76"/>
    <s v="B2C"/>
    <d v="1899-12-30T03:12:00"/>
    <s v="Bloqué 5Go"/>
    <n v="192"/>
    <n v="68.53"/>
    <n v="0"/>
    <n v="0"/>
    <x v="0"/>
  </r>
  <r>
    <s v="Clients_Churn_Part_08.xlsx"/>
    <s v="CLI-01836"/>
    <n v="2.9166666666666665"/>
    <x v="16"/>
    <n v="35"/>
    <s v="B2B"/>
    <d v="1899-12-30T08:16:00"/>
    <s v="Pro Monde"/>
    <n v="496"/>
    <n v="19.78"/>
    <n v="5"/>
    <n v="0.45"/>
    <x v="244"/>
  </r>
  <r>
    <s v="Clients_Churn_Part_01.xlsx"/>
    <s v="CLI-01837"/>
    <n v="8.0833333333333339"/>
    <x v="21"/>
    <n v="97"/>
    <s v="B2B"/>
    <d v="1899-12-30T05:19:00"/>
    <s v="Pro Monde"/>
    <n v="319"/>
    <n v="31.25"/>
    <n v="1"/>
    <n v="0.45"/>
    <x v="460"/>
  </r>
  <r>
    <s v="Clients_Churn_Part_04.xlsx"/>
    <s v="CLI-01839"/>
    <n v="9.5"/>
    <x v="4"/>
    <n v="114"/>
    <s v="B2C"/>
    <d v="1899-12-30T08:02:00"/>
    <s v="Premium 5G 150Go"/>
    <n v="482"/>
    <n v="16.25"/>
    <n v="3"/>
    <n v="0.45"/>
    <x v="461"/>
  </r>
  <r>
    <s v="Clients_Churn_Part_13.xlsx"/>
    <s v="CLI-01843"/>
    <n v="7.416666666666667"/>
    <x v="14"/>
    <n v="89"/>
    <s v="B2C"/>
    <d v="1899-12-30T07:54:00"/>
    <s v="Bloqué 5Go"/>
    <n v="474"/>
    <n v="28.51"/>
    <n v="5"/>
    <n v="0.45"/>
    <x v="462"/>
  </r>
  <r>
    <s v="Clients_Churn_Part_07.xlsx"/>
    <s v="CLI-01844"/>
    <n v="3.4166666666666665"/>
    <x v="14"/>
    <n v="41"/>
    <s v="B2B"/>
    <d v="1899-12-30T03:26:00"/>
    <s v="Pro Monde"/>
    <n v="206"/>
    <n v="83.16"/>
    <n v="2"/>
    <n v="0.1"/>
    <x v="463"/>
  </r>
  <r>
    <s v="Clients_Churn_Part_01.xlsx"/>
    <s v="CLI-01845"/>
    <n v="9.1666666666666661"/>
    <x v="11"/>
    <n v="110"/>
    <s v="B2C"/>
    <d v="1899-12-30T07:34:00"/>
    <s v="Illimité 50Go"/>
    <n v="454"/>
    <n v="31.05"/>
    <n v="1"/>
    <n v="0.45"/>
    <x v="464"/>
  </r>
  <r>
    <s v="Clients_Churn_Part_10.xlsx"/>
    <s v="CLI-01846"/>
    <n v="7.083333333333333"/>
    <x v="8"/>
    <n v="85"/>
    <s v="B2B"/>
    <d v="1899-12-30T01:15:00"/>
    <s v="Pro Monde"/>
    <n v="75"/>
    <n v="98.01"/>
    <n v="1"/>
    <n v="0.1"/>
    <x v="465"/>
  </r>
  <r>
    <s v="Clients_Churn_Part_12.xlsx"/>
    <s v="CLI-01847"/>
    <n v="6.583333333333333"/>
    <x v="12"/>
    <n v="79"/>
    <s v="B2C"/>
    <d v="1899-12-30T07:42:00"/>
    <s v="Bloqué 5Go"/>
    <n v="462"/>
    <n v="18.28"/>
    <n v="0"/>
    <n v="0.45"/>
    <x v="182"/>
  </r>
  <r>
    <s v="Clients_Churn_Part_14.xlsx"/>
    <s v="CLI-01848"/>
    <n v="3.8333333333333335"/>
    <x v="24"/>
    <n v="46"/>
    <s v="B2C"/>
    <d v="1899-12-30T00:43:00"/>
    <s v="Premium 5G 150Go"/>
    <n v="43"/>
    <n v="98.44"/>
    <n v="2"/>
    <n v="0.45"/>
    <x v="466"/>
  </r>
  <r>
    <s v="Clients_Churn_Part_03.xlsx"/>
    <s v="CLI-01850"/>
    <n v="8.3333333333333329E-2"/>
    <x v="10"/>
    <n v="1"/>
    <s v="B2B"/>
    <d v="1899-12-30T05:26:00"/>
    <s v="Pro Monde"/>
    <n v="326"/>
    <n v="54.63"/>
    <n v="3"/>
    <n v="0.45"/>
    <x v="467"/>
  </r>
  <r>
    <s v="Clients_Churn_Part_14.xlsx"/>
    <s v="CLI-01851"/>
    <n v="2.1666666666666665"/>
    <x v="12"/>
    <n v="26"/>
    <s v="B2C"/>
    <d v="1899-12-30T06:18:00"/>
    <s v="Premium 5G 150Go"/>
    <n v="378"/>
    <n v="45.21"/>
    <n v="5"/>
    <n v="0.45"/>
    <x v="468"/>
  </r>
  <r>
    <s v="Clients_Churn_Part_11.xlsx"/>
    <s v="CLI-01852"/>
    <n v="6.083333333333333"/>
    <x v="6"/>
    <n v="73"/>
    <s v="B2B"/>
    <d v="1899-12-30T04:28:00"/>
    <s v="Pro Monde"/>
    <n v="268"/>
    <n v="56.86"/>
    <n v="5"/>
    <n v="0.45"/>
    <x v="469"/>
  </r>
  <r>
    <s v="Clients_Churn_Part_03.xlsx"/>
    <s v="CLI-01854"/>
    <n v="1.3333333333333333"/>
    <x v="20"/>
    <n v="16"/>
    <s v="B2C"/>
    <d v="1899-12-30T00:13:00"/>
    <s v="Bloqué 5Go"/>
    <n v="13"/>
    <n v="14.91"/>
    <n v="1"/>
    <n v="0"/>
    <x v="0"/>
  </r>
  <r>
    <s v="Clients_Churn_Part_01.xlsx"/>
    <s v="CLI-01855"/>
    <n v="8.4166666666666661"/>
    <x v="11"/>
    <n v="101"/>
    <s v="B2C"/>
    <d v="1899-12-30T05:58:00"/>
    <s v="Illimité 50Go"/>
    <n v="358"/>
    <n v="29.24"/>
    <n v="3"/>
    <n v="0.45"/>
    <x v="470"/>
  </r>
  <r>
    <s v="Clients_Churn_Part_10.xlsx"/>
    <s v="CLI-01858"/>
    <n v="8.5833333333333339"/>
    <x v="6"/>
    <n v="103"/>
    <s v="B2C"/>
    <d v="1899-12-30T04:51:00"/>
    <s v="Illimité 50Go"/>
    <n v="291"/>
    <n v="60.34"/>
    <n v="5"/>
    <n v="0.45"/>
    <x v="471"/>
  </r>
  <r>
    <s v="Clients_Churn_Part_04.xlsx"/>
    <s v="CLI-01860"/>
    <n v="7.666666666666667"/>
    <x v="8"/>
    <n v="92"/>
    <s v="B2C"/>
    <d v="1899-12-30T01:56:00"/>
    <s v="Premium 5G 150Go"/>
    <n v="116"/>
    <n v="23.83"/>
    <n v="3"/>
    <n v="0"/>
    <x v="0"/>
  </r>
  <r>
    <s v="Clients_Churn_Part_13.xlsx"/>
    <s v="CLI-01861"/>
    <n v="9.6666666666666661"/>
    <x v="23"/>
    <n v="116"/>
    <s v="B2C"/>
    <d v="1899-12-30T03:51:00"/>
    <s v="Illimité 50Go"/>
    <n v="231"/>
    <n v="19.12"/>
    <n v="5"/>
    <n v="0"/>
    <x v="0"/>
  </r>
  <r>
    <s v="Clients_Churn_Part_13.xlsx"/>
    <s v="CLI-01868"/>
    <n v="7.416666666666667"/>
    <x v="22"/>
    <n v="89"/>
    <s v="B2B"/>
    <d v="1899-12-30T06:21:00"/>
    <s v="Pro Monde"/>
    <n v="381"/>
    <n v="68.17"/>
    <n v="0"/>
    <n v="0.45"/>
    <x v="472"/>
  </r>
  <r>
    <s v="Clients_Churn_Part_12.xlsx"/>
    <s v="CLI-01871"/>
    <n v="5.416666666666667"/>
    <x v="24"/>
    <n v="65"/>
    <s v="B2C"/>
    <d v="1899-12-30T00:15:00"/>
    <s v="Premium 5G 150Go"/>
    <n v="15"/>
    <n v="44.47"/>
    <n v="0"/>
    <n v="0"/>
    <x v="0"/>
  </r>
  <r>
    <s v="Clients_Churn_Part_09.xlsx"/>
    <s v="CLI-01873"/>
    <n v="5.083333333333333"/>
    <x v="1"/>
    <n v="61"/>
    <s v="B2B"/>
    <d v="1899-12-30T06:02:00"/>
    <s v="Pro Monde"/>
    <n v="362"/>
    <n v="75.03"/>
    <n v="0"/>
    <n v="0.45"/>
    <x v="473"/>
  </r>
  <r>
    <s v="Clients_Churn_Part_13.xlsx"/>
    <s v="CLI-01876"/>
    <n v="1.4166666666666667"/>
    <x v="23"/>
    <n v="17"/>
    <s v="B2B"/>
    <d v="1899-12-30T03:26:00"/>
    <s v="Pro Monde"/>
    <n v="206"/>
    <n v="63.46"/>
    <n v="3"/>
    <n v="0.1"/>
    <x v="474"/>
  </r>
  <r>
    <s v="Clients_Churn_Part_07.xlsx"/>
    <s v="CLI-01877"/>
    <n v="1.5833333333333333"/>
    <x v="21"/>
    <n v="19"/>
    <s v="B2C"/>
    <d v="1899-12-30T02:05:00"/>
    <s v="Bloqué 5Go"/>
    <n v="125"/>
    <n v="11.78"/>
    <n v="4"/>
    <n v="0"/>
    <x v="0"/>
  </r>
  <r>
    <s v="Clients_Churn_Part_08.xlsx"/>
    <s v="CLI-01880"/>
    <n v="1.0833333333333333"/>
    <x v="13"/>
    <n v="13"/>
    <s v="B2C"/>
    <d v="1899-12-30T03:00:00"/>
    <s v="Bloqué 5Go"/>
    <n v="180"/>
    <n v="24.01"/>
    <n v="0"/>
    <n v="0"/>
    <x v="0"/>
  </r>
  <r>
    <s v="Clients_Churn_Part_06.xlsx"/>
    <s v="CLI-01885"/>
    <n v="7.5"/>
    <x v="19"/>
    <n v="90"/>
    <s v="B2B"/>
    <d v="1899-12-30T04:59:00"/>
    <s v="Pro Monde"/>
    <n v="299"/>
    <n v="71.760000000000005"/>
    <n v="1"/>
    <n v="0.45"/>
    <x v="475"/>
  </r>
  <r>
    <s v="Clients_Churn_Part_03.xlsx"/>
    <s v="CLI-01888"/>
    <n v="3.4166666666666665"/>
    <x v="17"/>
    <n v="41"/>
    <s v="B2C"/>
    <d v="1899-12-30T01:04:00"/>
    <s v="Premium 5G 150Go"/>
    <n v="64"/>
    <n v="91.95"/>
    <n v="1"/>
    <n v="0.45"/>
    <x v="476"/>
  </r>
  <r>
    <s v="Clients_Churn_Part_15.xlsx"/>
    <s v="CLI-01890"/>
    <n v="6.166666666666667"/>
    <x v="23"/>
    <n v="74"/>
    <s v="B2C"/>
    <d v="1899-12-30T05:59:00"/>
    <s v="Illimité 50Go"/>
    <n v="359"/>
    <n v="92.63"/>
    <n v="0"/>
    <n v="0.45"/>
    <x v="477"/>
  </r>
  <r>
    <s v="Clients_Churn_Part_04.xlsx"/>
    <s v="CLI-01891"/>
    <n v="5.166666666666667"/>
    <x v="16"/>
    <n v="62"/>
    <s v="B2C"/>
    <d v="1899-12-30T01:56:00"/>
    <s v="Premium 5G 150Go"/>
    <n v="116"/>
    <n v="92.99"/>
    <n v="5"/>
    <n v="0"/>
    <x v="0"/>
  </r>
  <r>
    <s v="Clients_Churn_Part_10.xlsx"/>
    <s v="CLI-01893"/>
    <n v="9.8333333333333339"/>
    <x v="23"/>
    <n v="118"/>
    <s v="B2B"/>
    <d v="1899-12-30T01:20:00"/>
    <s v="Pro Monde"/>
    <n v="80"/>
    <n v="97.58"/>
    <n v="3"/>
    <n v="0.1"/>
    <x v="478"/>
  </r>
  <r>
    <s v="Clients_Churn_Part_07.xlsx"/>
    <s v="CLI-01906"/>
    <n v="8.25"/>
    <x v="21"/>
    <n v="99"/>
    <s v="B2C"/>
    <d v="1899-12-30T00:28:00"/>
    <s v="Bloqué 5Go"/>
    <n v="28"/>
    <n v="70.19"/>
    <n v="1"/>
    <n v="0"/>
    <x v="0"/>
  </r>
  <r>
    <s v="Clients_Churn_Part_02.xlsx"/>
    <s v="CLI-01908"/>
    <n v="6.666666666666667"/>
    <x v="24"/>
    <n v="80"/>
    <s v="B2C"/>
    <d v="1899-12-30T02:01:00"/>
    <s v="Premium 5G 150Go"/>
    <n v="121"/>
    <n v="83.14"/>
    <n v="5"/>
    <n v="0"/>
    <x v="0"/>
  </r>
  <r>
    <s v="Clients_Churn_Part_02.xlsx"/>
    <s v="CLI-01911"/>
    <n v="4.833333333333333"/>
    <x v="20"/>
    <n v="58"/>
    <s v="B2C"/>
    <d v="1899-12-30T01:01:00"/>
    <s v="Illimité 50Go"/>
    <n v="61"/>
    <n v="58.64"/>
    <n v="3"/>
    <n v="0"/>
    <x v="0"/>
  </r>
  <r>
    <s v="Clients_Churn_Part_02.xlsx"/>
    <s v="CLI-01916"/>
    <n v="0.33333333333333331"/>
    <x v="3"/>
    <n v="4"/>
    <s v="B2C"/>
    <d v="1899-12-30T07:33:00"/>
    <s v="Bloqué 5Go"/>
    <n v="453"/>
    <n v="75.260000000000005"/>
    <n v="5"/>
    <n v="0.45"/>
    <x v="479"/>
  </r>
  <r>
    <s v="Clients_Churn_Part_07.xlsx"/>
    <s v="CLI-01917"/>
    <n v="3.4166666666666665"/>
    <x v="4"/>
    <n v="41"/>
    <s v="B2C"/>
    <d v="1899-12-30T06:38:00"/>
    <s v="Bloqué 5Go"/>
    <n v="398"/>
    <n v="28.56"/>
    <n v="2"/>
    <n v="0.45"/>
    <x v="480"/>
  </r>
  <r>
    <s v="Clients_Churn_Part_08.xlsx"/>
    <s v="CLI-01920"/>
    <n v="4.083333333333333"/>
    <x v="15"/>
    <n v="49"/>
    <s v="B2B"/>
    <d v="1899-12-30T03:49:00"/>
    <s v="Pro Monde"/>
    <n v="229"/>
    <n v="53.94"/>
    <n v="5"/>
    <n v="0.1"/>
    <x v="481"/>
  </r>
  <r>
    <s v="Clients_Churn_Part_04.xlsx"/>
    <s v="CLI-01923"/>
    <n v="2.4166666666666665"/>
    <x v="21"/>
    <n v="29"/>
    <s v="B2C"/>
    <d v="1899-12-30T06:56:00"/>
    <s v="Illimité 50Go"/>
    <n v="416"/>
    <n v="61.26"/>
    <n v="0"/>
    <n v="0.45"/>
    <x v="482"/>
  </r>
  <r>
    <s v="Clients_Churn_Part_10.xlsx"/>
    <s v="CLI-01926"/>
    <n v="0.75"/>
    <x v="16"/>
    <n v="9"/>
    <s v="B2C"/>
    <d v="1899-12-30T03:47:00"/>
    <s v="Illimité 50Go"/>
    <n v="227"/>
    <n v="63.74"/>
    <n v="3"/>
    <n v="0"/>
    <x v="0"/>
  </r>
  <r>
    <s v="Clients_Churn_Part_08.xlsx"/>
    <s v="CLI-01927"/>
    <n v="8.0833333333333339"/>
    <x v="6"/>
    <n v="97"/>
    <s v="B2B"/>
    <d v="1899-12-30T04:36:00"/>
    <s v="Pro Monde"/>
    <n v="276"/>
    <n v="88.35"/>
    <n v="0"/>
    <n v="0.45"/>
    <x v="138"/>
  </r>
  <r>
    <s v="Clients_Churn_Part_06.xlsx"/>
    <s v="CLI-01929"/>
    <n v="2.6666666666666665"/>
    <x v="23"/>
    <n v="32"/>
    <s v="B2C"/>
    <d v="1899-12-30T00:31:00"/>
    <s v="Illimité 50Go"/>
    <n v="31"/>
    <n v="67.040000000000006"/>
    <n v="1"/>
    <n v="0"/>
    <x v="0"/>
  </r>
  <r>
    <s v="Clients_Churn_Part_07.xlsx"/>
    <s v="CLI-01931"/>
    <n v="7.25"/>
    <x v="16"/>
    <n v="87"/>
    <s v="B2C"/>
    <d v="1899-12-30T08:18:00"/>
    <s v="Illimité 50Go"/>
    <n v="498"/>
    <n v="61.57"/>
    <n v="0"/>
    <n v="0.45"/>
    <x v="483"/>
  </r>
  <r>
    <s v="Clients_Churn_Part_01.xlsx"/>
    <s v="CLI-01932"/>
    <n v="9.3333333333333339"/>
    <x v="1"/>
    <n v="112"/>
    <s v="B2B"/>
    <d v="1899-12-30T00:18:00"/>
    <s v="Pro Monde"/>
    <n v="18"/>
    <n v="27.33"/>
    <n v="5"/>
    <n v="0.1"/>
    <x v="484"/>
  </r>
  <r>
    <s v="Clients_Churn_Part_04.xlsx"/>
    <s v="CLI-01933"/>
    <n v="8.0833333333333339"/>
    <x v="19"/>
    <n v="97"/>
    <s v="B2C"/>
    <d v="1899-12-30T04:56:00"/>
    <s v="Premium 5G 150Go"/>
    <n v="296"/>
    <n v="10.87"/>
    <n v="4"/>
    <n v="0.45"/>
    <x v="485"/>
  </r>
  <r>
    <s v="Clients_Churn_Part_07.xlsx"/>
    <s v="CLI-01938"/>
    <n v="1.1666666666666667"/>
    <x v="9"/>
    <n v="14"/>
    <s v="B2B"/>
    <d v="1899-12-30T05:03:00"/>
    <s v="Pro Monde"/>
    <n v="303"/>
    <n v="61.43"/>
    <n v="1"/>
    <n v="0.45"/>
    <x v="486"/>
  </r>
  <r>
    <s v="Clients_Churn_Part_08.xlsx"/>
    <s v="CLI-01940"/>
    <n v="8.6666666666666661"/>
    <x v="20"/>
    <n v="104"/>
    <s v="B2C"/>
    <d v="1899-12-30T01:08:00"/>
    <s v="Premium 5G 150Go"/>
    <n v="68"/>
    <n v="21.15"/>
    <n v="2"/>
    <n v="0"/>
    <x v="0"/>
  </r>
  <r>
    <s v="Clients_Churn_Part_14.xlsx"/>
    <s v="CLI-01949"/>
    <n v="3.1666666666666665"/>
    <x v="2"/>
    <n v="38"/>
    <s v="B2C"/>
    <d v="1899-12-30T07:12:00"/>
    <s v="Premium 5G 150Go"/>
    <n v="432"/>
    <n v="53.65"/>
    <n v="4"/>
    <n v="0.45"/>
    <x v="487"/>
  </r>
  <r>
    <s v="Clients_Churn_Part_02.xlsx"/>
    <s v="CLI-01950"/>
    <n v="7.583333333333333"/>
    <x v="19"/>
    <n v="91"/>
    <s v="B2C"/>
    <d v="1899-12-30T07:47:00"/>
    <s v="Premium 5G 150Go"/>
    <n v="467"/>
    <n v="84.74"/>
    <n v="1"/>
    <n v="0.45"/>
    <x v="488"/>
  </r>
  <r>
    <s v="Clients_Churn_Part_01.xlsx"/>
    <s v="CLI-01957"/>
    <n v="1.1666666666666667"/>
    <x v="6"/>
    <n v="14"/>
    <s v="B2C"/>
    <d v="1899-12-30T06:55:00"/>
    <s v="Bloqué 5Go"/>
    <n v="415"/>
    <n v="36.93"/>
    <n v="5"/>
    <n v="0.45"/>
    <x v="489"/>
  </r>
  <r>
    <s v="Clients_Churn_Part_09.xlsx"/>
    <s v="CLI-01959"/>
    <n v="0.58333333333333337"/>
    <x v="15"/>
    <n v="7"/>
    <s v="B2B"/>
    <d v="1899-12-30T04:28:00"/>
    <s v="Pro Monde"/>
    <n v="268"/>
    <n v="33.04"/>
    <n v="5"/>
    <n v="0.45"/>
    <x v="490"/>
  </r>
  <r>
    <s v="Clients_Churn_Part_03.xlsx"/>
    <s v="CLI-01960"/>
    <n v="7.75"/>
    <x v="16"/>
    <n v="93"/>
    <s v="B2C"/>
    <d v="1899-12-30T06:05:00"/>
    <s v="Bloqué 5Go"/>
    <n v="365"/>
    <n v="72.319999999999993"/>
    <n v="1"/>
    <n v="0.45"/>
    <x v="491"/>
  </r>
  <r>
    <s v="Clients_Churn_Part_02.xlsx"/>
    <s v="CLI-01964"/>
    <n v="2.5"/>
    <x v="17"/>
    <n v="30"/>
    <s v="B2C"/>
    <d v="1899-12-30T03:17:00"/>
    <s v="Premium 5G 150Go"/>
    <n v="197"/>
    <n v="15.42"/>
    <n v="0"/>
    <n v="0.45"/>
    <x v="492"/>
  </r>
  <r>
    <s v="Clients_Churn_Part_15.xlsx"/>
    <s v="CLI-01966"/>
    <n v="4.833333333333333"/>
    <x v="16"/>
    <n v="58"/>
    <s v="B2C"/>
    <d v="1899-12-30T08:05:00"/>
    <s v="Premium 5G 150Go"/>
    <n v="485"/>
    <n v="65.41"/>
    <n v="5"/>
    <n v="0.45"/>
    <x v="493"/>
  </r>
  <r>
    <s v="Clients_Churn_Part_03.xlsx"/>
    <s v="CLI-01967"/>
    <n v="9.4166666666666661"/>
    <x v="14"/>
    <n v="113"/>
    <s v="B2C"/>
    <d v="1899-12-30T04:06:00"/>
    <s v="Premium 5G 150Go"/>
    <n v="246"/>
    <n v="29.18"/>
    <n v="2"/>
    <n v="0.45"/>
    <x v="280"/>
  </r>
  <r>
    <s v="Clients_Churn_Part_13.xlsx"/>
    <s v="CLI-01969"/>
    <n v="1.5833333333333333"/>
    <x v="23"/>
    <n v="19"/>
    <s v="B2C"/>
    <d v="1899-12-30T02:21:00"/>
    <s v="Bloqué 5Go"/>
    <n v="141"/>
    <n v="53.95"/>
    <n v="1"/>
    <n v="0"/>
    <x v="0"/>
  </r>
  <r>
    <s v="Clients_Churn_Part_05.xlsx"/>
    <s v="CLI-01970"/>
    <n v="2.75"/>
    <x v="3"/>
    <n v="33"/>
    <s v="B2C"/>
    <d v="1899-12-30T05:32:00"/>
    <s v="Bloqué 5Go"/>
    <n v="332"/>
    <n v="76.41"/>
    <n v="1"/>
    <n v="0.45"/>
    <x v="494"/>
  </r>
  <r>
    <s v="Clients_Churn_Part_12.xlsx"/>
    <s v="CLI-01971"/>
    <n v="8.5833333333333339"/>
    <x v="6"/>
    <n v="103"/>
    <s v="B2C"/>
    <d v="1899-12-30T01:38:00"/>
    <s v="Bloqué 5Go"/>
    <n v="98"/>
    <n v="38.69"/>
    <n v="4"/>
    <n v="0"/>
    <x v="0"/>
  </r>
  <r>
    <s v="Clients_Churn_Part_01.xlsx"/>
    <s v="CLI-01972"/>
    <n v="6"/>
    <x v="13"/>
    <n v="72"/>
    <s v="B2C"/>
    <d v="1899-12-30T05:32:00"/>
    <s v="Bloqué 5Go"/>
    <n v="332"/>
    <n v="83.36"/>
    <n v="4"/>
    <n v="0.45"/>
    <x v="495"/>
  </r>
  <r>
    <s v="Clients_Churn_Part_04.xlsx"/>
    <s v="CLI-01973"/>
    <n v="1.9166666666666667"/>
    <x v="15"/>
    <n v="23"/>
    <s v="B2B"/>
    <d v="1899-12-30T04:22:00"/>
    <s v="Pro Monde"/>
    <n v="262"/>
    <n v="46.3"/>
    <n v="1"/>
    <n v="0.45"/>
    <x v="496"/>
  </r>
  <r>
    <s v="Clients_Churn_Part_01.xlsx"/>
    <s v="CLI-01974"/>
    <n v="7.583333333333333"/>
    <x v="16"/>
    <n v="91"/>
    <s v="B2B"/>
    <d v="1899-12-30T05:58:00"/>
    <s v="Pro Monde"/>
    <n v="358"/>
    <n v="21.14"/>
    <n v="5"/>
    <n v="0.45"/>
    <x v="497"/>
  </r>
  <r>
    <s v="Clients_Churn_Part_14.xlsx"/>
    <s v="CLI-01975"/>
    <n v="5.416666666666667"/>
    <x v="22"/>
    <n v="65"/>
    <s v="B2B"/>
    <d v="1899-12-30T04:06:00"/>
    <s v="Pro Monde"/>
    <n v="246"/>
    <n v="69.17"/>
    <n v="0"/>
    <n v="0.45"/>
    <x v="498"/>
  </r>
  <r>
    <s v="Clients_Churn_Part_15.xlsx"/>
    <s v="CLI-01977"/>
    <n v="0.83333333333333337"/>
    <x v="0"/>
    <n v="10"/>
    <s v="B2C"/>
    <d v="1899-12-30T06:58:00"/>
    <s v="Illimité 50Go"/>
    <n v="418"/>
    <n v="27.66"/>
    <n v="2"/>
    <n v="0.45"/>
    <x v="499"/>
  </r>
  <r>
    <s v="Clients_Churn_Part_11.xlsx"/>
    <s v="CLI-01979"/>
    <n v="0.83333333333333337"/>
    <x v="2"/>
    <n v="10"/>
    <s v="B2B"/>
    <d v="1899-12-30T02:09:00"/>
    <s v="Pro Monde"/>
    <n v="129"/>
    <n v="70.12"/>
    <n v="0"/>
    <n v="0.1"/>
    <x v="500"/>
  </r>
  <r>
    <s v="Clients_Churn_Part_11.xlsx"/>
    <s v="CLI-01981"/>
    <n v="6.666666666666667"/>
    <x v="18"/>
    <n v="80"/>
    <s v="B2C"/>
    <d v="1899-12-30T01:41:00"/>
    <s v="Illimité 50Go"/>
    <n v="101"/>
    <n v="61.92"/>
    <n v="4"/>
    <n v="0"/>
    <x v="0"/>
  </r>
  <r>
    <s v="Clients_Churn_Part_04.xlsx"/>
    <s v="CLI-01982"/>
    <n v="5.083333333333333"/>
    <x v="21"/>
    <n v="61"/>
    <s v="B2C"/>
    <d v="1899-12-30T06:23:00"/>
    <s v="Bloqué 5Go"/>
    <n v="383"/>
    <n v="39.72"/>
    <n v="4"/>
    <n v="0.45"/>
    <x v="501"/>
  </r>
  <r>
    <s v="Clients_Churn_Part_03.xlsx"/>
    <s v="CLI-01986"/>
    <n v="8.3333333333333329E-2"/>
    <x v="5"/>
    <n v="1"/>
    <s v="B2C"/>
    <d v="1899-12-30T03:57:00"/>
    <s v="Bloqué 5Go"/>
    <n v="237"/>
    <n v="58.7"/>
    <n v="4"/>
    <n v="0"/>
    <x v="0"/>
  </r>
  <r>
    <s v="Clients_Churn_Part_09.xlsx"/>
    <s v="CLI-01988"/>
    <n v="9.25"/>
    <x v="21"/>
    <n v="111"/>
    <s v="B2B"/>
    <d v="1899-12-30T07:27:00"/>
    <s v="Pro Monde"/>
    <n v="447"/>
    <n v="51.35"/>
    <n v="0"/>
    <n v="0.45"/>
    <x v="502"/>
  </r>
  <r>
    <s v="Clients_Churn_Part_10.xlsx"/>
    <s v="CLI-01990"/>
    <n v="8.3333333333333339"/>
    <x v="1"/>
    <n v="100"/>
    <s v="B2C"/>
    <d v="1899-12-30T04:00:00"/>
    <s v="Illimité 50Go"/>
    <n v="240"/>
    <n v="24.83"/>
    <n v="4"/>
    <n v="0.45"/>
    <x v="503"/>
  </r>
  <r>
    <s v="Clients_Churn_Part_10.xlsx"/>
    <s v="CLI-01992"/>
    <n v="1.6666666666666667"/>
    <x v="1"/>
    <n v="20"/>
    <s v="B2C"/>
    <d v="1899-12-30T03:37:00"/>
    <s v="Illimité 50Go"/>
    <n v="217"/>
    <n v="55.3"/>
    <n v="4"/>
    <n v="0"/>
    <x v="0"/>
  </r>
  <r>
    <s v="Clients_Churn_Part_15.xlsx"/>
    <s v="CLI-01995"/>
    <n v="0.41666666666666669"/>
    <x v="6"/>
    <n v="5"/>
    <s v="B2C"/>
    <d v="1899-12-30T01:11:00"/>
    <s v="Premium 5G 150Go"/>
    <n v="71"/>
    <n v="93.81"/>
    <n v="3"/>
    <n v="0.45"/>
    <x v="504"/>
  </r>
  <r>
    <s v="Clients_Churn_Part_14.xlsx"/>
    <s v="CLI-01998"/>
    <n v="0.58333333333333337"/>
    <x v="20"/>
    <n v="7"/>
    <s v="B2B"/>
    <d v="1899-12-30T05:32:00"/>
    <s v="Pro Monde"/>
    <n v="332"/>
    <n v="83.95"/>
    <n v="4"/>
    <n v="0.45"/>
    <x v="505"/>
  </r>
  <r>
    <s v="Clients_Churn_Part_09.xlsx"/>
    <s v="CLI-01999"/>
    <n v="3.9166666666666665"/>
    <x v="16"/>
    <n v="47"/>
    <s v="B2B"/>
    <d v="1899-12-30T02:29:00"/>
    <s v="Pro Monde"/>
    <n v="149"/>
    <n v="28.35"/>
    <n v="1"/>
    <n v="0.1"/>
    <x v="50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8">
  <r>
    <s v="Logs_Reseau_Part_19.xlsx"/>
    <d v="2023-10-06T00:20:00"/>
    <d v="1899-12-30T00:35:00"/>
    <s v="ANT-0001"/>
    <n v="35"/>
    <s v="Non Résolu"/>
    <x v="0"/>
    <x v="0"/>
    <s v="ZTE"/>
  </r>
  <r>
    <s v="Logs_Reseau_Part_23.xlsx"/>
    <d v="2023-10-04T12:25:00"/>
    <d v="1899-12-30T00:26:00"/>
    <s v="ANT-0001"/>
    <n v="26"/>
    <s v="Résolu"/>
    <x v="0"/>
    <x v="0"/>
    <s v="ZTE"/>
  </r>
  <r>
    <s v="Logs_Reseau_Part_01.xlsx"/>
    <d v="2023-10-12T06:42:00"/>
    <d v="1899-12-30T01:15:00"/>
    <s v="ANT-0001"/>
    <n v="75"/>
    <s v="Résolu"/>
    <x v="0"/>
    <x v="0"/>
    <s v="ZTE"/>
  </r>
  <r>
    <s v="Logs_Reseau_Part_05.xlsx"/>
    <d v="2023-10-25T13:38:00"/>
    <d v="1899-12-30T00:27:00"/>
    <s v="ANT-0002"/>
    <n v="27"/>
    <s v="Résolu"/>
    <x v="1"/>
    <x v="0"/>
    <s v="Nokia"/>
  </r>
  <r>
    <s v="Logs_Reseau_Part_01.xlsx"/>
    <d v="2023-10-09T07:14:00"/>
    <n v="2.6388888888888889E-2"/>
    <s v="ANT-0004"/>
    <n v="38"/>
    <s v="Résolu"/>
    <x v="2"/>
    <x v="1"/>
    <s v="Pas de correspondance"/>
  </r>
  <r>
    <s v="Logs_Reseau_Part_13.xlsx"/>
    <d v="2023-10-17T22:49:00"/>
    <n v="8.3333333333333332E-3"/>
    <s v="ANT-0004"/>
    <n v="12"/>
    <s v="Résolu"/>
    <x v="2"/>
    <x v="1"/>
    <s v="Pas de correspondance"/>
  </r>
  <r>
    <s v="Logs_Reseau_Part_02.xlsx"/>
    <d v="2023-10-27T00:05:00"/>
    <n v="7.7083333333333337E-2"/>
    <s v="ANT-0004"/>
    <n v="111"/>
    <s v="Résolu"/>
    <x v="2"/>
    <x v="1"/>
    <s v="Pas de correspondance"/>
  </r>
  <r>
    <s v="Logs_Reseau_Part_12.xlsx"/>
    <d v="2023-10-31T20:50:00"/>
    <d v="1899-12-30T01:43:00"/>
    <s v="ANT-0006"/>
    <n v="103"/>
    <s v="En Cours"/>
    <x v="3"/>
    <x v="2"/>
    <s v="Huawei"/>
  </r>
  <r>
    <s v="Logs_Reseau_Part_24.xlsx"/>
    <d v="2023-10-31T10:18:00"/>
    <d v="1899-12-30T00:11:00"/>
    <s v="ANT-0006"/>
    <n v="11"/>
    <s v="En Cours"/>
    <x v="3"/>
    <x v="2"/>
    <s v="Huawei"/>
  </r>
  <r>
    <s v="Logs_Reseau_Part_14.xlsx"/>
    <d v="2023-10-22T13:35:00"/>
    <d v="1899-12-30T01:27:00"/>
    <s v="ANT-0007"/>
    <n v="87"/>
    <s v="Non Résolu"/>
    <x v="4"/>
    <x v="2"/>
    <s v="ZTE"/>
  </r>
  <r>
    <s v="Logs_Reseau_Part_21.xlsx"/>
    <d v="2023-10-23T12:02:00"/>
    <d v="1899-12-30T00:39:00"/>
    <s v="ANT-0008"/>
    <n v="39"/>
    <s v="Résolu"/>
    <x v="5"/>
    <x v="3"/>
    <s v="ZTE"/>
  </r>
  <r>
    <s v="Logs_Reseau_Part_22.xlsx"/>
    <d v="2023-10-11T20:03:00"/>
    <d v="1899-12-30T01:20:00"/>
    <s v="ANT-0010"/>
    <n v="80"/>
    <s v="Non Résolu"/>
    <x v="6"/>
    <x v="3"/>
    <s v="Ericsson"/>
  </r>
  <r>
    <s v="Logs_Reseau_Part_02.xlsx"/>
    <d v="2023-10-24T10:03:00"/>
    <d v="1899-12-30T01:29:00"/>
    <s v="ANT-0010"/>
    <n v="89"/>
    <s v="Résolu"/>
    <x v="6"/>
    <x v="3"/>
    <s v="Ericsson"/>
  </r>
  <r>
    <s v="Logs_Reseau_Part_04.xlsx"/>
    <d v="2023-10-03T20:27:00"/>
    <d v="1899-12-30T01:23:00"/>
    <s v="ANT-0011"/>
    <n v="83"/>
    <s v="Résolu"/>
    <x v="1"/>
    <x v="0"/>
    <s v="Ericsson"/>
  </r>
  <r>
    <s v="Logs_Reseau_Part_17.xlsx"/>
    <d v="2023-10-14T22:08:00"/>
    <n v="2.7777777777777776E-2"/>
    <s v="ANT-0013"/>
    <n v="40"/>
    <s v="Résolu"/>
    <x v="2"/>
    <x v="1"/>
    <s v="Pas de correspondance"/>
  </r>
  <r>
    <s v="Logs_Reseau_Part_14.xlsx"/>
    <d v="2023-10-23T13:26:00"/>
    <n v="1.8055555555555554E-2"/>
    <s v="ANT-0013"/>
    <n v="26"/>
    <s v="En Cours"/>
    <x v="2"/>
    <x v="1"/>
    <s v="Pas de correspondance"/>
  </r>
  <r>
    <s v="Logs_Reseau_Part_04.xlsx"/>
    <d v="2023-10-20T23:45:00"/>
    <n v="2.5000000000000001E-2"/>
    <s v="ANT-0018"/>
    <n v="36"/>
    <s v="Résolu"/>
    <x v="2"/>
    <x v="1"/>
    <s v="Pas de correspondance"/>
  </r>
  <r>
    <s v="Logs_Reseau_Part_14.xlsx"/>
    <d v="2023-10-31T13:35:00"/>
    <n v="5.1388888888888887E-2"/>
    <s v="ANT-0018"/>
    <n v="74"/>
    <s v="Résolu"/>
    <x v="2"/>
    <x v="1"/>
    <s v="Pas de correspondance"/>
  </r>
  <r>
    <s v="Logs_Reseau_Part_14.xlsx"/>
    <d v="2023-10-05T09:24:00"/>
    <n v="6.805555555555555E-2"/>
    <s v="ANT-0018"/>
    <n v="98"/>
    <s v="En Cours"/>
    <x v="2"/>
    <x v="1"/>
    <s v="Pas de correspondance"/>
  </r>
  <r>
    <s v="Logs_Reseau_Part_23.xlsx"/>
    <d v="2023-10-14T23:07:00"/>
    <n v="1.7361111111111112E-2"/>
    <s v="ANT-0019"/>
    <n v="25"/>
    <s v="Non Résolu"/>
    <x v="2"/>
    <x v="1"/>
    <s v="Pas de correspondance"/>
  </r>
  <r>
    <s v="Logs_Reseau_Part_01.xlsx"/>
    <d v="2023-10-18T23:15:00"/>
    <d v="1899-12-30T01:37:00"/>
    <s v="ANT-0020"/>
    <n v="97"/>
    <s v="Non Résolu"/>
    <x v="7"/>
    <x v="0"/>
    <s v="Huawei"/>
  </r>
  <r>
    <s v="Logs_Reseau_Part_19.xlsx"/>
    <d v="2023-10-18T15:22:00"/>
    <n v="7.8472222222222221E-2"/>
    <s v="ANT-0021"/>
    <n v="113"/>
    <s v="En Cours"/>
    <x v="2"/>
    <x v="1"/>
    <s v="Pas de correspondance"/>
  </r>
  <r>
    <s v="Logs_Reseau_Part_22.xlsx"/>
    <d v="2023-10-21T02:14:00"/>
    <n v="3.3333333333333333E-2"/>
    <s v="ANT-0021"/>
    <n v="48"/>
    <s v="Résolu"/>
    <x v="2"/>
    <x v="1"/>
    <s v="Pas de correspondance"/>
  </r>
  <r>
    <s v="Logs_Reseau_Part_08.xlsx"/>
    <d v="2023-10-05T21:30:00"/>
    <n v="2.9166666666666667E-2"/>
    <s v="ANT-0022"/>
    <n v="42"/>
    <s v="Non Résolu"/>
    <x v="2"/>
    <x v="1"/>
    <s v="Pas de correspondance"/>
  </r>
  <r>
    <s v="Logs_Reseau_Part_11.xlsx"/>
    <d v="2023-10-06T18:37:00"/>
    <n v="3.888888888888889E-2"/>
    <s v="ANT-0024"/>
    <n v="56"/>
    <s v="En Cours"/>
    <x v="2"/>
    <x v="1"/>
    <s v="Pas de correspondance"/>
  </r>
  <r>
    <s v="Logs_Reseau_Part_13.xlsx"/>
    <d v="2023-10-21T09:23:00"/>
    <n v="9.0277777777777769E-3"/>
    <s v="ANT-0024"/>
    <n v="13"/>
    <s v="Non Résolu"/>
    <x v="2"/>
    <x v="1"/>
    <s v="Pas de correspondance"/>
  </r>
  <r>
    <s v="Logs_Reseau_Part_15.xlsx"/>
    <d v="2023-10-26T20:09:00"/>
    <n v="4.1666666666666664E-2"/>
    <s v="ANT-0028"/>
    <n v="60"/>
    <s v="En Cours"/>
    <x v="2"/>
    <x v="1"/>
    <s v="Pas de correspondance"/>
  </r>
  <r>
    <s v="Logs_Reseau_Part_17.xlsx"/>
    <d v="2023-10-25T23:05:00"/>
    <n v="5.7638888888888892E-2"/>
    <s v="ANT-0028"/>
    <n v="83"/>
    <s v="En Cours"/>
    <x v="2"/>
    <x v="1"/>
    <s v="Pas de correspondance"/>
  </r>
  <r>
    <s v="Logs_Reseau_Part_19.xlsx"/>
    <d v="2023-10-07T12:23:00"/>
    <d v="1899-12-30T01:48:00"/>
    <s v="ANT-0029"/>
    <n v="108"/>
    <s v="Résolu"/>
    <x v="8"/>
    <x v="3"/>
    <s v="ZTE"/>
  </r>
  <r>
    <s v="Logs_Reseau_Part_05.xlsx"/>
    <d v="2023-10-23T12:17:00"/>
    <n v="3.888888888888889E-2"/>
    <s v="ANT-0030"/>
    <n v="56"/>
    <s v="Résolu"/>
    <x v="2"/>
    <x v="1"/>
    <s v="Pas de correspondance"/>
  </r>
  <r>
    <s v="Logs_Reseau_Part_10.xlsx"/>
    <d v="2023-10-23T15:40:00"/>
    <d v="1899-12-30T00:46:00"/>
    <s v="ANT-0032"/>
    <n v="46"/>
    <s v="En Cours"/>
    <x v="9"/>
    <x v="3"/>
    <s v="Ericsson"/>
  </r>
  <r>
    <s v="Logs_Reseau_Part_13.xlsx"/>
    <d v="2023-10-15T18:03:00"/>
    <n v="6.1805555555555558E-2"/>
    <s v="ANT-0033"/>
    <n v="89"/>
    <s v="Non Résolu"/>
    <x v="2"/>
    <x v="1"/>
    <s v="Pas de correspondance"/>
  </r>
  <r>
    <s v="Logs_Reseau_Part_16.xlsx"/>
    <d v="2023-10-26T09:58:00"/>
    <n v="1.0416666666666666E-2"/>
    <s v="ANT-0034"/>
    <n v="15"/>
    <s v="Résolu"/>
    <x v="2"/>
    <x v="1"/>
    <s v="Pas de correspondance"/>
  </r>
  <r>
    <s v="Logs_Reseau_Part_06.xlsx"/>
    <d v="2023-10-09T10:39:00"/>
    <d v="1899-12-30T00:07:00"/>
    <s v="ANT-0035"/>
    <n v="7"/>
    <s v="En Cours"/>
    <x v="5"/>
    <x v="0"/>
    <s v="ZTE"/>
  </r>
  <r>
    <s v="Logs_Reseau_Part_20.xlsx"/>
    <d v="2023-10-07T13:44:00"/>
    <n v="6.9444444444444441E-3"/>
    <s v="ANT-0036"/>
    <n v="10"/>
    <s v="Résolu"/>
    <x v="2"/>
    <x v="1"/>
    <s v="Pas de correspondance"/>
  </r>
  <r>
    <s v="Logs_Reseau_Part_10.xlsx"/>
    <d v="2023-10-27T17:30:00"/>
    <n v="4.3055555555555555E-2"/>
    <s v="ANT-0036"/>
    <n v="62"/>
    <s v="Non Résolu"/>
    <x v="2"/>
    <x v="1"/>
    <s v="Pas de correspondance"/>
  </r>
  <r>
    <s v="Logs_Reseau_Part_23.xlsx"/>
    <d v="2023-10-12T14:39:00"/>
    <d v="1899-12-30T01:54:00"/>
    <s v="ANT-0037"/>
    <n v="114"/>
    <s v="Résolu"/>
    <x v="10"/>
    <x v="3"/>
    <s v="Nokia"/>
  </r>
  <r>
    <s v="Logs_Reseau_Part_02.xlsx"/>
    <d v="2023-10-20T02:26:00"/>
    <d v="1899-12-30T01:15:00"/>
    <s v="ANT-0037"/>
    <n v="75"/>
    <s v="Résolu"/>
    <x v="10"/>
    <x v="3"/>
    <s v="Nokia"/>
  </r>
  <r>
    <s v="Logs_Reseau_Part_19.xlsx"/>
    <d v="2023-10-03T08:24:00"/>
    <d v="1899-12-30T01:18:00"/>
    <s v="ANT-0039"/>
    <n v="78"/>
    <s v="Résolu"/>
    <x v="11"/>
    <x v="3"/>
    <s v="Huawei"/>
  </r>
  <r>
    <s v="Logs_Reseau_Part_24.xlsx"/>
    <d v="2023-10-24T17:40:00"/>
    <d v="1899-12-30T01:56:00"/>
    <s v="ANT-0041"/>
    <n v="116"/>
    <s v="Non Résolu"/>
    <x v="6"/>
    <x v="2"/>
    <s v="Huawei"/>
  </r>
  <r>
    <s v="Logs_Reseau_Part_06.xlsx"/>
    <d v="2023-10-17T14:00:00"/>
    <d v="1899-12-30T01:18:00"/>
    <s v="ANT-0041"/>
    <n v="78"/>
    <s v="En Cours"/>
    <x v="6"/>
    <x v="2"/>
    <s v="Huawei"/>
  </r>
  <r>
    <s v="Logs_Reseau_Part_24.xlsx"/>
    <d v="2023-10-18T13:53:00"/>
    <d v="1899-12-30T01:33:00"/>
    <s v="ANT-0042"/>
    <n v="93"/>
    <s v="Non Résolu"/>
    <x v="12"/>
    <x v="3"/>
    <s v="Ericsson"/>
  </r>
  <r>
    <s v="Logs_Reseau_Part_16.xlsx"/>
    <d v="2023-10-29T06:28:00"/>
    <n v="7.5694444444444439E-2"/>
    <s v="ANT-0043"/>
    <n v="109"/>
    <s v="Non Résolu"/>
    <x v="2"/>
    <x v="1"/>
    <s v="Pas de correspondance"/>
  </r>
  <r>
    <s v="Logs_Reseau_Part_02.xlsx"/>
    <d v="2023-10-25T02:00:00"/>
    <n v="2.1527777777777778E-2"/>
    <s v="ANT-0043"/>
    <n v="31"/>
    <s v="Résolu"/>
    <x v="2"/>
    <x v="1"/>
    <s v="Pas de correspondance"/>
  </r>
  <r>
    <s v="Logs_Reseau_Part_10.xlsx"/>
    <d v="2023-10-03T03:53:00"/>
    <d v="1899-12-30T01:01:00"/>
    <s v="ANT-0044"/>
    <n v="61"/>
    <s v="Non Résolu"/>
    <x v="13"/>
    <x v="3"/>
    <s v="Huawei"/>
  </r>
  <r>
    <s v="Logs_Reseau_Part_18.xlsx"/>
    <d v="2023-10-06T11:08:00"/>
    <d v="1899-12-30T01:43:00"/>
    <s v="ANT-0045"/>
    <n v="103"/>
    <s v="Résolu"/>
    <x v="13"/>
    <x v="2"/>
    <s v="Nokia"/>
  </r>
  <r>
    <s v="Logs_Reseau_Part_02.xlsx"/>
    <d v="2023-10-02T20:34:00"/>
    <n v="4.2361111111111113E-2"/>
    <s v="ANT-0046"/>
    <n v="61"/>
    <s v="Résolu"/>
    <x v="2"/>
    <x v="1"/>
    <s v="Pas de correspondance"/>
  </r>
  <r>
    <s v="Logs_Reseau_Part_22.xlsx"/>
    <d v="2023-10-12T07:47:00"/>
    <n v="8.3333333333333329E-2"/>
    <s v="ANT-0050"/>
    <n v="120"/>
    <s v="En Cours"/>
    <x v="2"/>
    <x v="1"/>
    <s v="Pas de correspondance"/>
  </r>
  <r>
    <s v="Logs_Reseau_Part_11.xlsx"/>
    <d v="2023-10-06T11:32:00"/>
    <n v="2.9861111111111113E-2"/>
    <s v="ANT-0052"/>
    <n v="43"/>
    <s v="Non Résolu"/>
    <x v="2"/>
    <x v="1"/>
    <s v="Pas de correspondance"/>
  </r>
  <r>
    <s v="Logs_Reseau_Part_12.xlsx"/>
    <d v="2023-10-02T01:02:00"/>
    <n v="3.125E-2"/>
    <s v="ANT-0052"/>
    <n v="45"/>
    <s v="Non Résolu"/>
    <x v="2"/>
    <x v="1"/>
    <s v="Pas de correspondance"/>
  </r>
  <r>
    <s v="Logs_Reseau_Part_05.xlsx"/>
    <d v="2023-10-15T02:43:00"/>
    <n v="3.2638888888888891E-2"/>
    <s v="ANT-0053"/>
    <n v="47"/>
    <s v="En Cours"/>
    <x v="2"/>
    <x v="1"/>
    <s v="Pas de correspondance"/>
  </r>
  <r>
    <s v="Logs_Reseau_Part_02.xlsx"/>
    <d v="2023-10-28T03:15:00"/>
    <n v="9.0277777777777769E-3"/>
    <s v="ANT-0053"/>
    <n v="13"/>
    <s v="Non Résolu"/>
    <x v="2"/>
    <x v="1"/>
    <s v="Pas de correspondance"/>
  </r>
  <r>
    <s v="Logs_Reseau_Part_24.xlsx"/>
    <d v="2023-10-21T05:32:00"/>
    <n v="7.7083333333333337E-2"/>
    <s v="ANT-0053"/>
    <n v="111"/>
    <s v="En Cours"/>
    <x v="2"/>
    <x v="1"/>
    <s v="Pas de correspondance"/>
  </r>
  <r>
    <s v="Logs_Reseau_Part_09.xlsx"/>
    <d v="2023-10-22T12:08:00"/>
    <d v="1899-12-30T00:51:00"/>
    <s v="ANT-0054"/>
    <n v="51"/>
    <s v="Résolu"/>
    <x v="11"/>
    <x v="3"/>
    <s v="Ericsson"/>
  </r>
  <r>
    <s v="Logs_Reseau_Part_12.xlsx"/>
    <d v="2023-10-24T09:37:00"/>
    <d v="1899-12-30T00:41:00"/>
    <s v="ANT-0054"/>
    <n v="41"/>
    <s v="En Cours"/>
    <x v="11"/>
    <x v="3"/>
    <s v="Ericsson"/>
  </r>
  <r>
    <s v="Logs_Reseau_Part_17.xlsx"/>
    <d v="2023-10-07T22:58:00"/>
    <d v="1899-12-30T00:32:00"/>
    <s v="ANT-0056"/>
    <n v="32"/>
    <s v="Non Résolu"/>
    <x v="1"/>
    <x v="0"/>
    <s v="Huawei"/>
  </r>
  <r>
    <s v="Logs_Reseau_Part_05.xlsx"/>
    <d v="2023-10-02T19:47:00"/>
    <d v="1899-12-30T00:28:00"/>
    <s v="ANT-0056"/>
    <n v="28"/>
    <s v="Non Résolu"/>
    <x v="1"/>
    <x v="0"/>
    <s v="Huawei"/>
  </r>
  <r>
    <s v="Logs_Reseau_Part_23.xlsx"/>
    <d v="2023-10-25T23:36:00"/>
    <d v="1899-12-30T01:47:00"/>
    <s v="ANT-0056"/>
    <n v="107"/>
    <s v="En Cours"/>
    <x v="1"/>
    <x v="0"/>
    <s v="Huawei"/>
  </r>
  <r>
    <s v="Logs_Reseau_Part_25.xlsx"/>
    <d v="2023-10-24T13:41:00"/>
    <d v="1899-12-30T00:10:00"/>
    <s v="ANT-0056"/>
    <n v="10"/>
    <s v="Non Résolu"/>
    <x v="1"/>
    <x v="0"/>
    <s v="Huawei"/>
  </r>
  <r>
    <s v="Logs_Reseau_Part_19.xlsx"/>
    <d v="2023-10-21T16:15:00"/>
    <d v="1899-12-30T01:47:00"/>
    <s v="ANT-0058"/>
    <n v="107"/>
    <s v="En Cours"/>
    <x v="4"/>
    <x v="0"/>
    <s v="ZTE"/>
  </r>
  <r>
    <s v="Logs_Reseau_Part_10.xlsx"/>
    <d v="2023-10-17T17:01:00"/>
    <d v="1899-12-30T00:39:00"/>
    <s v="ANT-0059"/>
    <n v="39"/>
    <s v="Résolu"/>
    <x v="10"/>
    <x v="2"/>
    <s v="Ericsson"/>
  </r>
  <r>
    <s v="Logs_Reseau_Part_21.xlsx"/>
    <d v="2023-10-02T05:54:00"/>
    <d v="1899-12-30T01:31:00"/>
    <s v="ANT-0059"/>
    <n v="91"/>
    <s v="Non Résolu"/>
    <x v="10"/>
    <x v="2"/>
    <s v="Ericsson"/>
  </r>
  <r>
    <s v="Logs_Reseau_Part_01.xlsx"/>
    <d v="2023-10-23T10:13:00"/>
    <n v="3.3333333333333333E-2"/>
    <s v="ANT-0060"/>
    <n v="48"/>
    <s v="Résolu"/>
    <x v="2"/>
    <x v="1"/>
    <s v="Pas de correspondance"/>
  </r>
  <r>
    <s v="Logs_Reseau_Part_12.xlsx"/>
    <d v="2023-10-18T11:43:00"/>
    <n v="6.5277777777777782E-2"/>
    <s v="ANT-0061"/>
    <n v="94"/>
    <s v="Résolu"/>
    <x v="2"/>
    <x v="1"/>
    <s v="Pas de correspondance"/>
  </r>
  <r>
    <s v="Logs_Reseau_Part_18.xlsx"/>
    <d v="2023-10-22T23:11:00"/>
    <n v="5.8333333333333334E-2"/>
    <s v="ANT-0062"/>
    <n v="84"/>
    <s v="En Cours"/>
    <x v="2"/>
    <x v="1"/>
    <s v="Pas de correspondance"/>
  </r>
  <r>
    <s v="Logs_Reseau_Part_20.xlsx"/>
    <d v="2023-10-04T23:00:00"/>
    <n v="4.5138888888888888E-2"/>
    <s v="ANT-0063"/>
    <n v="65"/>
    <s v="En Cours"/>
    <x v="2"/>
    <x v="1"/>
    <s v="Pas de correspondance"/>
  </r>
  <r>
    <s v="Logs_Reseau_Part_20.xlsx"/>
    <d v="2023-10-10T04:11:00"/>
    <n v="3.472222222222222E-3"/>
    <s v="ANT-0064"/>
    <n v="5"/>
    <s v="Résolu"/>
    <x v="2"/>
    <x v="1"/>
    <s v="Pas de correspondance"/>
  </r>
  <r>
    <s v="Logs_Reseau_Part_18.xlsx"/>
    <d v="2023-10-12T03:32:00"/>
    <n v="6.1805555555555558E-2"/>
    <s v="ANT-0064"/>
    <n v="89"/>
    <s v="Non Résolu"/>
    <x v="2"/>
    <x v="1"/>
    <s v="Pas de correspondance"/>
  </r>
  <r>
    <s v="Logs_Reseau_Part_21.xlsx"/>
    <d v="2023-10-12T01:32:00"/>
    <d v="1899-12-30T00:06:00"/>
    <s v="ANT-0066"/>
    <n v="6"/>
    <s v="En Cours"/>
    <x v="14"/>
    <x v="2"/>
    <s v="Huawei"/>
  </r>
  <r>
    <s v="Logs_Reseau_Part_07.xlsx"/>
    <d v="2023-10-22T11:34:00"/>
    <n v="5.5555555555555552E-2"/>
    <s v="ANT-0068"/>
    <n v="80"/>
    <s v="En Cours"/>
    <x v="2"/>
    <x v="1"/>
    <s v="Pas de correspondance"/>
  </r>
  <r>
    <s v="Logs_Reseau_Part_25.xlsx"/>
    <d v="2023-10-13T21:07:00"/>
    <n v="6.8750000000000006E-2"/>
    <s v="ANT-0069"/>
    <n v="99"/>
    <s v="Résolu"/>
    <x v="2"/>
    <x v="1"/>
    <s v="Pas de correspondance"/>
  </r>
  <r>
    <s v="Logs_Reseau_Part_10.xlsx"/>
    <d v="2023-10-21T06:18:00"/>
    <n v="6.6666666666666666E-2"/>
    <s v="ANT-0069"/>
    <n v="96"/>
    <s v="Résolu"/>
    <x v="2"/>
    <x v="1"/>
    <s v="Pas de correspondance"/>
  </r>
  <r>
    <s v="Logs_Reseau_Part_24.xlsx"/>
    <d v="2023-10-08T16:50:00"/>
    <d v="1899-12-30T00:27:00"/>
    <s v="ANT-0070"/>
    <n v="27"/>
    <s v="En Cours"/>
    <x v="15"/>
    <x v="0"/>
    <s v="Nokia"/>
  </r>
  <r>
    <s v="Logs_Reseau_Part_15.xlsx"/>
    <d v="2023-10-10T13:24:00"/>
    <d v="1899-12-30T01:06:00"/>
    <s v="ANT-0071"/>
    <n v="66"/>
    <s v="Non Résolu"/>
    <x v="10"/>
    <x v="0"/>
    <s v="Huawei"/>
  </r>
  <r>
    <s v="Logs_Reseau_Part_17.xlsx"/>
    <d v="2023-10-22T14:00:00"/>
    <n v="7.3611111111111113E-2"/>
    <s v="ANT-0073"/>
    <n v="106"/>
    <s v="En Cours"/>
    <x v="2"/>
    <x v="1"/>
    <s v="Pas de correspondance"/>
  </r>
  <r>
    <s v="Logs_Reseau_Part_25.xlsx"/>
    <d v="2023-10-09T13:24:00"/>
    <d v="1899-12-30T00:44:00"/>
    <s v="ANT-0075"/>
    <n v="44"/>
    <s v="En Cours"/>
    <x v="12"/>
    <x v="2"/>
    <s v="Huawei"/>
  </r>
  <r>
    <s v="Logs_Reseau_Part_24.xlsx"/>
    <d v="2023-10-26T05:18:00"/>
    <d v="1899-12-30T01:44:00"/>
    <s v="ANT-0075"/>
    <n v="104"/>
    <s v="Non Résolu"/>
    <x v="12"/>
    <x v="2"/>
    <s v="Huawei"/>
  </r>
  <r>
    <s v="Logs_Reseau_Part_07.xlsx"/>
    <d v="2023-10-05T13:41:00"/>
    <n v="9.0277777777777769E-3"/>
    <s v="ANT-0076"/>
    <n v="13"/>
    <s v="En Cours"/>
    <x v="2"/>
    <x v="1"/>
    <s v="Pas de correspondance"/>
  </r>
  <r>
    <s v="Logs_Reseau_Part_10.xlsx"/>
    <d v="2023-10-13T15:02:00"/>
    <n v="7.4305555555555555E-2"/>
    <s v="ANT-0077"/>
    <n v="107"/>
    <s v="Non Résolu"/>
    <x v="2"/>
    <x v="1"/>
    <s v="Pas de correspondance"/>
  </r>
  <r>
    <s v="Logs_Reseau_Part_18.xlsx"/>
    <d v="2023-10-11T07:26:00"/>
    <n v="3.2638888888888891E-2"/>
    <s v="ANT-0077"/>
    <n v="47"/>
    <s v="Non Résolu"/>
    <x v="2"/>
    <x v="1"/>
    <s v="Pas de correspondance"/>
  </r>
  <r>
    <s v="Logs_Reseau_Part_02.xlsx"/>
    <d v="2023-10-17T16:10:00"/>
    <d v="1899-12-30T01:57:00"/>
    <s v="ANT-0078"/>
    <n v="117"/>
    <s v="Résolu"/>
    <x v="16"/>
    <x v="2"/>
    <s v="Ericsson"/>
  </r>
  <r>
    <s v="Logs_Reseau_Part_08.xlsx"/>
    <d v="2023-10-22T09:02:00"/>
    <d v="1899-12-30T00:59:00"/>
    <s v="ANT-0079"/>
    <n v="59"/>
    <s v="En Cours"/>
    <x v="17"/>
    <x v="2"/>
    <s v="Ericsson"/>
  </r>
  <r>
    <s v="Logs_Reseau_Part_03.xlsx"/>
    <d v="2023-10-07T04:01:00"/>
    <d v="1899-12-30T01:04:00"/>
    <s v="ANT-0080"/>
    <n v="64"/>
    <s v="Non Résolu"/>
    <x v="10"/>
    <x v="0"/>
    <s v="Huawei"/>
  </r>
  <r>
    <s v="Logs_Reseau_Part_14.xlsx"/>
    <d v="2023-10-26T23:30:00"/>
    <d v="1899-12-30T00:06:00"/>
    <s v="ANT-0081"/>
    <n v="6"/>
    <s v="Résolu"/>
    <x v="18"/>
    <x v="0"/>
    <s v="ZTE"/>
  </r>
  <r>
    <s v="Logs_Reseau_Part_08.xlsx"/>
    <d v="2023-10-03T01:09:00"/>
    <d v="1899-12-30T01:55:00"/>
    <s v="ANT-0081"/>
    <n v="115"/>
    <s v="Non Résolu"/>
    <x v="18"/>
    <x v="0"/>
    <s v="ZTE"/>
  </r>
  <r>
    <s v="Logs_Reseau_Part_20.xlsx"/>
    <d v="2023-10-20T15:45:00"/>
    <d v="1899-12-30T01:58:00"/>
    <s v="ANT-0081"/>
    <n v="118"/>
    <s v="Non Résolu"/>
    <x v="18"/>
    <x v="0"/>
    <s v="ZTE"/>
  </r>
  <r>
    <s v="Logs_Reseau_Part_14.xlsx"/>
    <d v="2023-10-27T15:46:00"/>
    <n v="4.8611111111111112E-3"/>
    <s v="ANT-0083"/>
    <n v="7"/>
    <s v="Résolu"/>
    <x v="2"/>
    <x v="1"/>
    <s v="Pas de correspondance"/>
  </r>
  <r>
    <s v="Logs_Reseau_Part_07.xlsx"/>
    <d v="2023-10-14T08:02:00"/>
    <n v="4.3055555555555555E-2"/>
    <s v="ANT-0083"/>
    <n v="62"/>
    <s v="Résolu"/>
    <x v="2"/>
    <x v="1"/>
    <s v="Pas de correspondance"/>
  </r>
  <r>
    <s v="Logs_Reseau_Part_09.xlsx"/>
    <d v="2023-10-26T03:32:00"/>
    <d v="1899-12-30T00:44:00"/>
    <s v="ANT-0086"/>
    <n v="44"/>
    <s v="Résolu"/>
    <x v="19"/>
    <x v="3"/>
    <s v="Ericsson"/>
  </r>
  <r>
    <s v="Logs_Reseau_Part_18.xlsx"/>
    <d v="2023-10-04T07:47:00"/>
    <n v="2.361111111111111E-2"/>
    <s v="ANT-0087"/>
    <n v="34"/>
    <s v="Résolu"/>
    <x v="2"/>
    <x v="1"/>
    <s v="Pas de correspondance"/>
  </r>
  <r>
    <s v="Logs_Reseau_Part_20.xlsx"/>
    <d v="2023-10-21T18:06:00"/>
    <d v="1899-12-30T01:25:00"/>
    <s v="ANT-0088"/>
    <n v="85"/>
    <s v="Résolu"/>
    <x v="20"/>
    <x v="0"/>
    <s v="Ericsson"/>
  </r>
  <r>
    <s v="Logs_Reseau_Part_04.xlsx"/>
    <d v="2023-10-11T10:48:00"/>
    <d v="1899-12-30T01:06:00"/>
    <s v="ANT-0088"/>
    <n v="66"/>
    <s v="Résolu"/>
    <x v="20"/>
    <x v="0"/>
    <s v="Ericsson"/>
  </r>
  <r>
    <s v="Logs_Reseau_Part_16.xlsx"/>
    <d v="2023-10-13T13:38:00"/>
    <d v="1899-12-30T00:42:00"/>
    <s v="ANT-0090"/>
    <n v="42"/>
    <s v="Non Résolu"/>
    <x v="12"/>
    <x v="3"/>
    <s v="Nokia"/>
  </r>
  <r>
    <s v="Logs_Reseau_Part_08.xlsx"/>
    <d v="2023-10-06T04:36:00"/>
    <d v="1899-12-30T00:34:00"/>
    <s v="ANT-0091"/>
    <n v="34"/>
    <s v="Résolu"/>
    <x v="15"/>
    <x v="3"/>
    <s v="ZTE"/>
  </r>
  <r>
    <s v="Logs_Reseau_Part_12.xlsx"/>
    <d v="2023-10-20T15:12:00"/>
    <n v="1.2500000000000001E-2"/>
    <s v="ANT-0092"/>
    <n v="18"/>
    <s v="En Cours"/>
    <x v="2"/>
    <x v="1"/>
    <s v="Pas de correspondance"/>
  </r>
  <r>
    <s v="Logs_Reseau_Part_06.xlsx"/>
    <d v="2023-10-23T15:55:00"/>
    <d v="1899-12-30T00:06:00"/>
    <s v="ANT-0093"/>
    <n v="6"/>
    <s v="En Cours"/>
    <x v="21"/>
    <x v="0"/>
    <s v="Huawei"/>
  </r>
  <r>
    <s v="Logs_Reseau_Part_19.xlsx"/>
    <d v="2023-10-05T13:12:00"/>
    <d v="1899-12-30T01:53:00"/>
    <s v="ANT-0093"/>
    <n v="113"/>
    <s v="Non Résolu"/>
    <x v="21"/>
    <x v="0"/>
    <s v="Huawei"/>
  </r>
  <r>
    <s v="Logs_Reseau_Part_11.xlsx"/>
    <d v="2023-10-05T05:42:00"/>
    <d v="1899-12-30T00:21:00"/>
    <s v="ANT-0093"/>
    <n v="21"/>
    <s v="Non Résolu"/>
    <x v="21"/>
    <x v="0"/>
    <s v="Huawei"/>
  </r>
  <r>
    <s v="Logs_Reseau_Part_23.xlsx"/>
    <d v="2023-10-27T12:44:00"/>
    <d v="1899-12-30T01:41:00"/>
    <s v="ANT-0094"/>
    <n v="101"/>
    <s v="En Cours"/>
    <x v="17"/>
    <x v="0"/>
    <s v="Nokia"/>
  </r>
  <r>
    <s v="Logs_Reseau_Part_02.xlsx"/>
    <d v="2023-10-07T06:34:00"/>
    <n v="8.1250000000000003E-2"/>
    <s v="ANT-0095"/>
    <n v="117"/>
    <s v="En Cours"/>
    <x v="2"/>
    <x v="1"/>
    <s v="Pas de correspondance"/>
  </r>
  <r>
    <s v="Logs_Reseau_Part_18.xlsx"/>
    <d v="2023-10-27T23:16:00"/>
    <d v="1899-12-30T01:08:00"/>
    <s v="ANT-0096"/>
    <n v="68"/>
    <s v="Résolu"/>
    <x v="4"/>
    <x v="3"/>
    <s v="ZTE"/>
  </r>
  <r>
    <s v="Logs_Reseau_Part_04.xlsx"/>
    <d v="2023-10-04T05:19:00"/>
    <d v="1899-12-30T01:41:00"/>
    <s v="ANT-0096"/>
    <n v="101"/>
    <s v="Résolu"/>
    <x v="4"/>
    <x v="3"/>
    <s v="ZTE"/>
  </r>
  <r>
    <s v="Logs_Reseau_Part_18.xlsx"/>
    <d v="2023-10-28T00:15:00"/>
    <n v="3.4027777777777775E-2"/>
    <s v="ANT-0098"/>
    <n v="49"/>
    <s v="En Cours"/>
    <x v="2"/>
    <x v="1"/>
    <s v="Pas de correspondance"/>
  </r>
  <r>
    <s v="Logs_Reseau_Part_14.xlsx"/>
    <d v="2023-10-16T06:55:00"/>
    <d v="1899-12-30T01:49:00"/>
    <s v="ANT-0099"/>
    <n v="109"/>
    <s v="Résolu"/>
    <x v="21"/>
    <x v="2"/>
    <s v="ZTE"/>
  </r>
  <r>
    <s v="Logs_Reseau_Part_20.xlsx"/>
    <d v="2023-10-30T19:14:00"/>
    <n v="6.1805555555555558E-2"/>
    <s v="ANT-0100"/>
    <n v="89"/>
    <s v="Résolu"/>
    <x v="2"/>
    <x v="1"/>
    <s v="Pas de correspondance"/>
  </r>
  <r>
    <s v="Logs_Reseau_Part_11.xlsx"/>
    <d v="2023-10-23T22:40:00"/>
    <n v="6.0416666666666667E-2"/>
    <s v="ANT-0100"/>
    <n v="87"/>
    <s v="Non Résolu"/>
    <x v="2"/>
    <x v="1"/>
    <s v="Pas de correspondance"/>
  </r>
  <r>
    <s v="Logs_Reseau_Part_06.xlsx"/>
    <d v="2023-10-16T01:08:00"/>
    <n v="2.4305555555555556E-2"/>
    <s v="ANT-0100"/>
    <n v="35"/>
    <s v="Résolu"/>
    <x v="2"/>
    <x v="1"/>
    <s v="Pas de correspondance"/>
  </r>
  <r>
    <s v="Logs_Reseau_Part_25.xlsx"/>
    <d v="2023-10-24T19:04:00"/>
    <d v="1899-12-30T01:37:00"/>
    <s v="ANT-0101"/>
    <n v="97"/>
    <s v="Résolu"/>
    <x v="22"/>
    <x v="0"/>
    <s v="Nokia"/>
  </r>
  <r>
    <s v="Logs_Reseau_Part_07.xlsx"/>
    <d v="2023-10-28T00:08:00"/>
    <n v="4.583333333333333E-2"/>
    <s v="ANT-0102"/>
    <n v="66"/>
    <s v="En Cours"/>
    <x v="2"/>
    <x v="1"/>
    <s v="Pas de correspondance"/>
  </r>
  <r>
    <s v="Logs_Reseau_Part_25.xlsx"/>
    <d v="2023-10-31T20:09:00"/>
    <d v="1899-12-30T01:23:00"/>
    <s v="ANT-0103"/>
    <n v="83"/>
    <s v="En Cours"/>
    <x v="23"/>
    <x v="2"/>
    <s v="Huawei"/>
  </r>
  <r>
    <s v="Logs_Reseau_Part_12.xlsx"/>
    <d v="2023-10-11T16:53:00"/>
    <d v="1899-12-30T00:20:00"/>
    <s v="ANT-0103"/>
    <n v="20"/>
    <s v="Résolu"/>
    <x v="23"/>
    <x v="2"/>
    <s v="Huawei"/>
  </r>
  <r>
    <s v="Logs_Reseau_Part_12.xlsx"/>
    <d v="2023-10-14T18:19:00"/>
    <d v="1899-12-30T01:59:00"/>
    <s v="ANT-0103"/>
    <n v="119"/>
    <s v="En Cours"/>
    <x v="23"/>
    <x v="2"/>
    <s v="Huawei"/>
  </r>
  <r>
    <s v="Logs_Reseau_Part_22.xlsx"/>
    <d v="2023-10-26T02:08:00"/>
    <n v="3.5416666666666666E-2"/>
    <s v="ANT-0104"/>
    <n v="51"/>
    <s v="Résolu"/>
    <x v="2"/>
    <x v="1"/>
    <s v="Pas de correspondance"/>
  </r>
  <r>
    <s v="Logs_Reseau_Part_21.xlsx"/>
    <d v="2023-10-20T19:43:00"/>
    <n v="2.1527777777777778E-2"/>
    <s v="ANT-0105"/>
    <n v="31"/>
    <s v="Non Résolu"/>
    <x v="2"/>
    <x v="1"/>
    <s v="Pas de correspondance"/>
  </r>
  <r>
    <s v="Logs_Reseau_Part_16.xlsx"/>
    <d v="2023-10-15T03:16:00"/>
    <n v="6.3888888888888884E-2"/>
    <s v="ANT-0105"/>
    <n v="92"/>
    <s v="Résolu"/>
    <x v="2"/>
    <x v="1"/>
    <s v="Pas de correspondance"/>
  </r>
  <r>
    <s v="Logs_Reseau_Part_09.xlsx"/>
    <d v="2023-10-21T21:27:00"/>
    <d v="1899-12-30T01:41:00"/>
    <s v="ANT-0106"/>
    <n v="101"/>
    <s v="En Cours"/>
    <x v="3"/>
    <x v="0"/>
    <s v="Huawei"/>
  </r>
  <r>
    <s v="Logs_Reseau_Part_23.xlsx"/>
    <d v="2023-10-04T01:00:00"/>
    <d v="1899-12-30T01:09:00"/>
    <s v="ANT-0106"/>
    <n v="69"/>
    <s v="En Cours"/>
    <x v="3"/>
    <x v="0"/>
    <s v="Huawei"/>
  </r>
  <r>
    <s v="Logs_Reseau_Part_22.xlsx"/>
    <d v="2023-10-12T09:08:00"/>
    <n v="5.8333333333333334E-2"/>
    <s v="ANT-0108"/>
    <n v="84"/>
    <s v="Résolu"/>
    <x v="2"/>
    <x v="1"/>
    <s v="Pas de correspondance"/>
  </r>
  <r>
    <s v="Logs_Reseau_Part_08.xlsx"/>
    <d v="2023-10-01T02:47:00"/>
    <n v="7.7083333333333337E-2"/>
    <s v="ANT-0109"/>
    <n v="111"/>
    <s v="En Cours"/>
    <x v="2"/>
    <x v="1"/>
    <s v="Pas de correspondance"/>
  </r>
  <r>
    <s v="Logs_Reseau_Part_01.xlsx"/>
    <d v="2023-10-26T05:44:00"/>
    <n v="1.1111111111111112E-2"/>
    <s v="ANT-0109"/>
    <n v="16"/>
    <s v="Non Résolu"/>
    <x v="2"/>
    <x v="1"/>
    <s v="Pas de correspondance"/>
  </r>
  <r>
    <s v="Logs_Reseau_Part_14.xlsx"/>
    <d v="2023-10-26T18:46:00"/>
    <d v="1899-12-30T01:53:00"/>
    <s v="ANT-0110"/>
    <n v="113"/>
    <s v="Non Résolu"/>
    <x v="24"/>
    <x v="3"/>
    <s v="ZTE"/>
  </r>
  <r>
    <s v="Logs_Reseau_Part_07.xlsx"/>
    <d v="2023-10-08T17:08:00"/>
    <n v="6.8750000000000006E-2"/>
    <s v="ANT-0111"/>
    <n v="99"/>
    <s v="Non Résolu"/>
    <x v="2"/>
    <x v="1"/>
    <s v="Pas de correspondance"/>
  </r>
  <r>
    <s v="Logs_Reseau_Part_21.xlsx"/>
    <d v="2023-10-27T13:47:00"/>
    <n v="5.6250000000000001E-2"/>
    <s v="ANT-0111"/>
    <n v="81"/>
    <s v="Non Résolu"/>
    <x v="2"/>
    <x v="1"/>
    <s v="Pas de correspondance"/>
  </r>
  <r>
    <s v="Logs_Reseau_Part_01.xlsx"/>
    <d v="2023-10-06T14:24:00"/>
    <n v="1.3194444444444444E-2"/>
    <s v="ANT-0115"/>
    <n v="19"/>
    <s v="Non Résolu"/>
    <x v="2"/>
    <x v="1"/>
    <s v="Pas de correspondance"/>
  </r>
  <r>
    <s v="Logs_Reseau_Part_02.xlsx"/>
    <d v="2023-10-02T18:30:00"/>
    <n v="1.2500000000000001E-2"/>
    <s v="ANT-0115"/>
    <n v="18"/>
    <s v="En Cours"/>
    <x v="2"/>
    <x v="1"/>
    <s v="Pas de correspondance"/>
  </r>
  <r>
    <s v="Logs_Reseau_Part_17.xlsx"/>
    <d v="2023-10-25T07:27:00"/>
    <n v="6.805555555555555E-2"/>
    <s v="ANT-0116"/>
    <n v="98"/>
    <s v="Non Résolu"/>
    <x v="2"/>
    <x v="1"/>
    <s v="Pas de correspondance"/>
  </r>
  <r>
    <s v="Logs_Reseau_Part_13.xlsx"/>
    <d v="2023-10-05T16:26:00"/>
    <n v="6.3888888888888884E-2"/>
    <s v="ANT-0116"/>
    <n v="92"/>
    <s v="Résolu"/>
    <x v="2"/>
    <x v="1"/>
    <s v="Pas de correspondance"/>
  </r>
  <r>
    <s v="Logs_Reseau_Part_16.xlsx"/>
    <d v="2023-10-26T22:07:00"/>
    <n v="3.125E-2"/>
    <s v="ANT-0116"/>
    <n v="45"/>
    <s v="Résolu"/>
    <x v="2"/>
    <x v="1"/>
    <s v="Pas de correspondance"/>
  </r>
  <r>
    <s v="Logs_Reseau_Part_22.xlsx"/>
    <d v="2023-10-17T10:27:00"/>
    <d v="1899-12-30T01:28:00"/>
    <s v="ANT-0117"/>
    <n v="88"/>
    <s v="Résolu"/>
    <x v="17"/>
    <x v="0"/>
    <s v="Nokia"/>
  </r>
  <r>
    <s v="Logs_Reseau_Part_16.xlsx"/>
    <d v="2023-10-04T21:51:00"/>
    <d v="1899-12-30T01:02:00"/>
    <s v="ANT-0117"/>
    <n v="62"/>
    <s v="Résolu"/>
    <x v="17"/>
    <x v="0"/>
    <s v="Nokia"/>
  </r>
  <r>
    <s v="Logs_Reseau_Part_15.xlsx"/>
    <d v="2023-10-13T10:01:00"/>
    <d v="1899-12-30T00:55:00"/>
    <s v="ANT-0117"/>
    <n v="55"/>
    <s v="Non Résolu"/>
    <x v="17"/>
    <x v="0"/>
    <s v="Nokia"/>
  </r>
  <r>
    <s v="Logs_Reseau_Part_07.xlsx"/>
    <d v="2023-10-11T00:11:00"/>
    <n v="4.0972222222222222E-2"/>
    <s v="ANT-0118"/>
    <n v="59"/>
    <s v="Non Résolu"/>
    <x v="2"/>
    <x v="1"/>
    <s v="Pas de correspondance"/>
  </r>
  <r>
    <s v="Logs_Reseau_Part_25.xlsx"/>
    <d v="2023-10-01T20:04:00"/>
    <n v="4.1666666666666666E-3"/>
    <s v="ANT-0118"/>
    <n v="6"/>
    <s v="Résolu"/>
    <x v="2"/>
    <x v="1"/>
    <s v="Pas de correspondance"/>
  </r>
  <r>
    <s v="Logs_Reseau_Part_08.xlsx"/>
    <d v="2023-10-10T11:06:00"/>
    <n v="7.0833333333333331E-2"/>
    <s v="ANT-0118"/>
    <n v="102"/>
    <s v="En Cours"/>
    <x v="2"/>
    <x v="1"/>
    <s v="Pas de correspondance"/>
  </r>
  <r>
    <s v="Logs_Reseau_Part_05.xlsx"/>
    <d v="2023-10-31T15:07:00"/>
    <n v="6.3194444444444442E-2"/>
    <s v="ANT-0119"/>
    <n v="91"/>
    <s v="Résolu"/>
    <x v="2"/>
    <x v="1"/>
    <s v="Pas de correspondance"/>
  </r>
  <r>
    <s v="Logs_Reseau_Part_22.xlsx"/>
    <d v="2023-10-26T10:23:00"/>
    <n v="3.4722222222222224E-2"/>
    <s v="ANT-0119"/>
    <n v="50"/>
    <s v="Non Résolu"/>
    <x v="2"/>
    <x v="1"/>
    <s v="Pas de correspondance"/>
  </r>
  <r>
    <s v="Logs_Reseau_Part_22.xlsx"/>
    <d v="2023-10-31T09:29:00"/>
    <d v="1899-12-30T01:29:00"/>
    <s v="ANT-0121"/>
    <n v="89"/>
    <s v="En Cours"/>
    <x v="3"/>
    <x v="0"/>
    <s v="Huawei"/>
  </r>
  <r>
    <s v="Logs_Reseau_Part_13.xlsx"/>
    <d v="2023-10-08T00:16:00"/>
    <d v="1899-12-30T00:32:00"/>
    <s v="ANT-0122"/>
    <n v="32"/>
    <s v="Résolu"/>
    <x v="12"/>
    <x v="3"/>
    <s v="Nokia"/>
  </r>
  <r>
    <s v="Logs_Reseau_Part_24.xlsx"/>
    <d v="2023-10-05T15:00:00"/>
    <d v="1899-12-30T01:34:00"/>
    <s v="ANT-0123"/>
    <n v="94"/>
    <s v="En Cours"/>
    <x v="3"/>
    <x v="0"/>
    <s v="Huawei"/>
  </r>
  <r>
    <s v="Logs_Reseau_Part_05.xlsx"/>
    <d v="2023-10-15T22:19:00"/>
    <n v="6.1805555555555558E-2"/>
    <s v="ANT-0125"/>
    <n v="89"/>
    <s v="En Cours"/>
    <x v="2"/>
    <x v="1"/>
    <s v="Pas de correspondance"/>
  </r>
  <r>
    <s v="Logs_Reseau_Part_11.xlsx"/>
    <d v="2023-10-03T21:54:00"/>
    <n v="4.7222222222222221E-2"/>
    <s v="ANT-0126"/>
    <n v="68"/>
    <s v="En Cours"/>
    <x v="2"/>
    <x v="1"/>
    <s v="Pas de correspondance"/>
  </r>
  <r>
    <s v="Logs_Reseau_Part_22.xlsx"/>
    <d v="2023-10-19T19:04:00"/>
    <n v="7.4999999999999997E-2"/>
    <s v="ANT-0127"/>
    <n v="108"/>
    <s v="Résolu"/>
    <x v="2"/>
    <x v="1"/>
    <s v="Pas de correspondance"/>
  </r>
  <r>
    <s v="Logs_Reseau_Part_09.xlsx"/>
    <d v="2023-10-08T04:09:00"/>
    <n v="5.0694444444444445E-2"/>
    <s v="ANT-0128"/>
    <n v="73"/>
    <s v="En Cours"/>
    <x v="2"/>
    <x v="1"/>
    <s v="Pas de correspondance"/>
  </r>
  <r>
    <s v="Logs_Reseau_Part_10.xlsx"/>
    <d v="2023-10-09T01:48:00"/>
    <n v="5.6944444444444443E-2"/>
    <s v="ANT-0130"/>
    <n v="82"/>
    <s v="En Cours"/>
    <x v="2"/>
    <x v="1"/>
    <s v="Pas de correspondance"/>
  </r>
  <r>
    <s v="Logs_Reseau_Part_07.xlsx"/>
    <d v="2023-10-29T20:22:00"/>
    <n v="1.2500000000000001E-2"/>
    <s v="ANT-0130"/>
    <n v="18"/>
    <s v="En Cours"/>
    <x v="2"/>
    <x v="1"/>
    <s v="Pas de correspondance"/>
  </r>
  <r>
    <s v="Logs_Reseau_Part_13.xlsx"/>
    <d v="2023-10-21T11:44:00"/>
    <d v="1899-12-30T00:49:00"/>
    <s v="ANT-0131"/>
    <n v="49"/>
    <s v="En Cours"/>
    <x v="16"/>
    <x v="2"/>
    <s v="Nokia"/>
  </r>
  <r>
    <s v="Logs_Reseau_Part_02.xlsx"/>
    <d v="2023-10-15T10:59:00"/>
    <d v="1899-12-30T00:48:00"/>
    <s v="ANT-0131"/>
    <n v="48"/>
    <s v="En Cours"/>
    <x v="16"/>
    <x v="2"/>
    <s v="Nokia"/>
  </r>
  <r>
    <s v="Logs_Reseau_Part_25.xlsx"/>
    <d v="2023-10-13T21:01:00"/>
    <d v="1899-12-30T00:23:00"/>
    <s v="ANT-0132"/>
    <n v="23"/>
    <s v="Résolu"/>
    <x v="25"/>
    <x v="3"/>
    <s v="Nokia"/>
  </r>
  <r>
    <s v="Logs_Reseau_Part_24.xlsx"/>
    <d v="2023-10-13T21:38:00"/>
    <d v="1899-12-30T00:58:00"/>
    <s v="ANT-0134"/>
    <n v="58"/>
    <s v="Résolu"/>
    <x v="26"/>
    <x v="0"/>
    <s v="Huawei"/>
  </r>
  <r>
    <s v="Logs_Reseau_Part_18.xlsx"/>
    <d v="2023-10-29T14:55:00"/>
    <d v="1899-12-30T01:38:00"/>
    <s v="ANT-0134"/>
    <n v="98"/>
    <s v="En Cours"/>
    <x v="26"/>
    <x v="0"/>
    <s v="Huawei"/>
  </r>
  <r>
    <s v="Logs_Reseau_Part_02.xlsx"/>
    <d v="2023-10-07T12:57:00"/>
    <d v="1899-12-30T00:43:00"/>
    <s v="ANT-0134"/>
    <n v="43"/>
    <s v="Résolu"/>
    <x v="26"/>
    <x v="0"/>
    <s v="Huawei"/>
  </r>
  <r>
    <s v="Logs_Reseau_Part_06.xlsx"/>
    <d v="2023-10-31T10:40:00"/>
    <n v="2.7777777777777776E-2"/>
    <s v="ANT-0135"/>
    <n v="40"/>
    <s v="Résolu"/>
    <x v="2"/>
    <x v="1"/>
    <s v="Pas de correspondance"/>
  </r>
  <r>
    <s v="Logs_Reseau_Part_05.xlsx"/>
    <d v="2023-10-04T17:14:00"/>
    <n v="7.9166666666666663E-2"/>
    <s v="ANT-0135"/>
    <n v="114"/>
    <s v="Non Résolu"/>
    <x v="2"/>
    <x v="1"/>
    <s v="Pas de correspondance"/>
  </r>
  <r>
    <s v="Logs_Reseau_Part_17.xlsx"/>
    <d v="2023-10-11T11:56:00"/>
    <d v="1899-12-30T01:15:00"/>
    <s v="ANT-0136"/>
    <n v="75"/>
    <s v="En Cours"/>
    <x v="19"/>
    <x v="3"/>
    <s v="Nokia"/>
  </r>
  <r>
    <s v="Logs_Reseau_Part_06.xlsx"/>
    <d v="2023-10-29T00:02:00"/>
    <d v="1899-12-30T01:40:00"/>
    <s v="ANT-0136"/>
    <n v="100"/>
    <s v="Non Résolu"/>
    <x v="19"/>
    <x v="3"/>
    <s v="Nokia"/>
  </r>
  <r>
    <s v="Logs_Reseau_Part_18.xlsx"/>
    <d v="2023-10-13T04:11:00"/>
    <n v="7.7777777777777779E-2"/>
    <s v="ANT-0137"/>
    <n v="112"/>
    <s v="En Cours"/>
    <x v="2"/>
    <x v="1"/>
    <s v="Pas de correspondance"/>
  </r>
  <r>
    <s v="Logs_Reseau_Part_06.xlsx"/>
    <d v="2023-10-23T12:24:00"/>
    <n v="4.583333333333333E-2"/>
    <s v="ANT-0141"/>
    <n v="66"/>
    <s v="Résolu"/>
    <x v="2"/>
    <x v="1"/>
    <s v="Pas de correspondance"/>
  </r>
  <r>
    <s v="Logs_Reseau_Part_22.xlsx"/>
    <d v="2023-10-11T16:12:00"/>
    <n v="5.9722222222222225E-2"/>
    <s v="ANT-0141"/>
    <n v="86"/>
    <s v="En Cours"/>
    <x v="2"/>
    <x v="1"/>
    <s v="Pas de correspondance"/>
  </r>
  <r>
    <s v="Logs_Reseau_Part_12.xlsx"/>
    <d v="2023-10-20T15:16:00"/>
    <n v="3.4027777777777775E-2"/>
    <s v="ANT-0141"/>
    <n v="49"/>
    <s v="Résolu"/>
    <x v="2"/>
    <x v="1"/>
    <s v="Pas de correspondance"/>
  </r>
  <r>
    <s v="Logs_Reseau_Part_09.xlsx"/>
    <d v="2023-10-03T18:42:00"/>
    <d v="1899-12-30T01:01:00"/>
    <s v="ANT-0142"/>
    <n v="61"/>
    <s v="En Cours"/>
    <x v="24"/>
    <x v="0"/>
    <s v="Nokia"/>
  </r>
  <r>
    <s v="Logs_Reseau_Part_15.xlsx"/>
    <d v="2023-10-14T08:26:00"/>
    <d v="1899-12-30T01:26:00"/>
    <s v="ANT-0143"/>
    <n v="86"/>
    <s v="En Cours"/>
    <x v="17"/>
    <x v="0"/>
    <s v="Huawei"/>
  </r>
  <r>
    <s v="Logs_Reseau_Part_11.xlsx"/>
    <d v="2023-10-10T05:45:00"/>
    <n v="2.9166666666666667E-2"/>
    <s v="ANT-0145"/>
    <n v="42"/>
    <s v="En Cours"/>
    <x v="2"/>
    <x v="1"/>
    <s v="Pas de correspondance"/>
  </r>
  <r>
    <s v="Logs_Reseau_Part_19.xlsx"/>
    <d v="2023-10-28T10:07:00"/>
    <n v="1.7361111111111112E-2"/>
    <s v="ANT-0146"/>
    <n v="25"/>
    <s v="Non Résolu"/>
    <x v="2"/>
    <x v="1"/>
    <s v="Pas de correspondance"/>
  </r>
  <r>
    <s v="Logs_Reseau_Part_18.xlsx"/>
    <d v="2023-10-05T22:00:00"/>
    <n v="4.4444444444444446E-2"/>
    <s v="ANT-0146"/>
    <n v="64"/>
    <s v="En Cours"/>
    <x v="2"/>
    <x v="1"/>
    <s v="Pas de correspondance"/>
  </r>
  <r>
    <s v="Logs_Reseau_Part_10.xlsx"/>
    <d v="2023-10-06T04:04:00"/>
    <d v="1899-12-30T00:18:00"/>
    <s v="ANT-0147"/>
    <n v="18"/>
    <s v="Non Résolu"/>
    <x v="7"/>
    <x v="3"/>
    <s v="Huawei"/>
  </r>
  <r>
    <s v="Logs_Reseau_Part_02.xlsx"/>
    <d v="2023-10-09T12:08:00"/>
    <n v="2.1527777777777778E-2"/>
    <s v="ANT-0152"/>
    <n v="31"/>
    <s v="En Cours"/>
    <x v="2"/>
    <x v="1"/>
    <s v="Pas de correspondance"/>
  </r>
  <r>
    <s v="Logs_Reseau_Part_07.xlsx"/>
    <d v="2023-10-28T11:06:00"/>
    <n v="4.8611111111111112E-2"/>
    <s v="ANT-0152"/>
    <n v="70"/>
    <s v="En Cours"/>
    <x v="2"/>
    <x v="1"/>
    <s v="Pas de correspondance"/>
  </r>
  <r>
    <s v="Logs_Reseau_Part_02.xlsx"/>
    <d v="2023-10-04T18:15:00"/>
    <d v="1899-12-30T00:18:00"/>
    <s v="ANT-0153"/>
    <n v="18"/>
    <s v="En Cours"/>
    <x v="0"/>
    <x v="2"/>
    <s v="Nokia"/>
  </r>
  <r>
    <s v="Logs_Reseau_Part_14.xlsx"/>
    <d v="2023-10-31T00:13:00"/>
    <d v="1899-12-30T00:11:00"/>
    <s v="ANT-0153"/>
    <n v="11"/>
    <s v="Non Résolu"/>
    <x v="0"/>
    <x v="2"/>
    <s v="Nokia"/>
  </r>
  <r>
    <s v="Logs_Reseau_Part_21.xlsx"/>
    <d v="2023-10-06T15:37:00"/>
    <d v="1899-12-30T01:03:00"/>
    <s v="ANT-0154"/>
    <n v="63"/>
    <s v="Résolu"/>
    <x v="21"/>
    <x v="2"/>
    <s v="ZTE"/>
  </r>
  <r>
    <s v="Logs_Reseau_Part_20.xlsx"/>
    <d v="2023-10-24T00:44:00"/>
    <n v="4.0972222222222222E-2"/>
    <s v="ANT-0155"/>
    <n v="59"/>
    <s v="Résolu"/>
    <x v="2"/>
    <x v="1"/>
    <s v="Pas de correspondance"/>
  </r>
  <r>
    <s v="Logs_Reseau_Part_22.xlsx"/>
    <d v="2023-10-07T10:26:00"/>
    <n v="6.805555555555555E-2"/>
    <s v="ANT-0157"/>
    <n v="98"/>
    <s v="Résolu"/>
    <x v="2"/>
    <x v="1"/>
    <s v="Pas de correspondance"/>
  </r>
  <r>
    <s v="Logs_Reseau_Part_01.xlsx"/>
    <d v="2023-10-18T09:53:00"/>
    <n v="6.3888888888888884E-2"/>
    <s v="ANT-0157"/>
    <n v="92"/>
    <s v="En Cours"/>
    <x v="2"/>
    <x v="1"/>
    <s v="Pas de correspondance"/>
  </r>
  <r>
    <s v="Logs_Reseau_Part_24.xlsx"/>
    <d v="2023-10-07T06:13:00"/>
    <n v="7.2222222222222215E-2"/>
    <s v="ANT-0158"/>
    <n v="104"/>
    <s v="Résolu"/>
    <x v="2"/>
    <x v="1"/>
    <s v="Pas de correspondance"/>
  </r>
  <r>
    <s v="Logs_Reseau_Part_13.xlsx"/>
    <d v="2023-10-17T06:36:00"/>
    <d v="1899-12-30T01:59:00"/>
    <s v="ANT-0159"/>
    <n v="119"/>
    <s v="En Cours"/>
    <x v="19"/>
    <x v="2"/>
    <s v="Nokia"/>
  </r>
  <r>
    <s v="Logs_Reseau_Part_24.xlsx"/>
    <d v="2023-10-28T10:45:00"/>
    <d v="1899-12-30T01:24:00"/>
    <s v="ANT-0159"/>
    <n v="84"/>
    <s v="Non Résolu"/>
    <x v="19"/>
    <x v="2"/>
    <s v="Nokia"/>
  </r>
  <r>
    <s v="Logs_Reseau_Part_12.xlsx"/>
    <d v="2023-10-17T20:46:00"/>
    <d v="1899-12-30T00:10:00"/>
    <s v="ANT-0162"/>
    <n v="10"/>
    <s v="Non Résolu"/>
    <x v="14"/>
    <x v="0"/>
    <s v="Huawei"/>
  </r>
  <r>
    <s v="Logs_Reseau_Part_05.xlsx"/>
    <d v="2023-10-28T18:37:00"/>
    <n v="3.125E-2"/>
    <s v="ANT-0163"/>
    <n v="45"/>
    <s v="En Cours"/>
    <x v="2"/>
    <x v="1"/>
    <s v="Pas de correspondance"/>
  </r>
  <r>
    <s v="Logs_Reseau_Part_03.xlsx"/>
    <d v="2023-10-22T13:20:00"/>
    <n v="7.1527777777777773E-2"/>
    <s v="ANT-0163"/>
    <n v="103"/>
    <s v="Non Résolu"/>
    <x v="2"/>
    <x v="1"/>
    <s v="Pas de correspondance"/>
  </r>
  <r>
    <s v="Logs_Reseau_Part_10.xlsx"/>
    <d v="2023-10-27T20:11:00"/>
    <d v="1899-12-30T01:14:00"/>
    <s v="ANT-0164"/>
    <n v="74"/>
    <s v="Non Résolu"/>
    <x v="8"/>
    <x v="2"/>
    <s v="ZTE"/>
  </r>
  <r>
    <s v="Logs_Reseau_Part_11.xlsx"/>
    <d v="2023-10-19T02:08:00"/>
    <d v="1899-12-30T00:12:00"/>
    <s v="ANT-0164"/>
    <n v="12"/>
    <s v="En Cours"/>
    <x v="8"/>
    <x v="2"/>
    <s v="ZTE"/>
  </r>
  <r>
    <s v="Logs_Reseau_Part_11.xlsx"/>
    <d v="2023-10-10T05:10:00"/>
    <d v="1899-12-30T00:23:00"/>
    <s v="ANT-0164"/>
    <n v="23"/>
    <s v="En Cours"/>
    <x v="8"/>
    <x v="2"/>
    <s v="ZTE"/>
  </r>
  <r>
    <s v="Logs_Reseau_Part_24.xlsx"/>
    <d v="2023-10-20T10:32:00"/>
    <d v="1899-12-30T01:45:00"/>
    <s v="ANT-0165"/>
    <n v="105"/>
    <s v="Non Résolu"/>
    <x v="16"/>
    <x v="2"/>
    <s v="ZTE"/>
  </r>
  <r>
    <s v="Logs_Reseau_Part_01.xlsx"/>
    <d v="2023-10-07T22:04:00"/>
    <d v="1899-12-30T00:13:00"/>
    <s v="ANT-0166"/>
    <n v="13"/>
    <s v="Non Résolu"/>
    <x v="16"/>
    <x v="2"/>
    <s v="Ericsson"/>
  </r>
  <r>
    <s v="Logs_Reseau_Part_02.xlsx"/>
    <d v="2023-10-30T14:18:00"/>
    <d v="1899-12-30T01:28:00"/>
    <s v="ANT-0166"/>
    <n v="88"/>
    <s v="En Cours"/>
    <x v="16"/>
    <x v="2"/>
    <s v="Ericsson"/>
  </r>
  <r>
    <s v="Logs_Reseau_Part_09.xlsx"/>
    <d v="2023-10-03T10:06:00"/>
    <d v="1899-12-30T01:24:00"/>
    <s v="ANT-0166"/>
    <n v="84"/>
    <s v="Résolu"/>
    <x v="16"/>
    <x v="2"/>
    <s v="Ericsson"/>
  </r>
  <r>
    <s v="Logs_Reseau_Part_06.xlsx"/>
    <d v="2023-10-09T14:16:00"/>
    <n v="3.4722222222222224E-2"/>
    <s v="ANT-0169"/>
    <n v="50"/>
    <s v="Résolu"/>
    <x v="2"/>
    <x v="1"/>
    <s v="Pas de correspondance"/>
  </r>
  <r>
    <s v="Logs_Reseau_Part_08.xlsx"/>
    <d v="2023-10-19T15:33:00"/>
    <n v="5.4166666666666669E-2"/>
    <s v="ANT-0173"/>
    <n v="78"/>
    <s v="Résolu"/>
    <x v="2"/>
    <x v="1"/>
    <s v="Pas de correspondance"/>
  </r>
  <r>
    <s v="Logs_Reseau_Part_16.xlsx"/>
    <d v="2023-10-01T15:06:00"/>
    <n v="5.0694444444444445E-2"/>
    <s v="ANT-0173"/>
    <n v="73"/>
    <s v="Non Résolu"/>
    <x v="2"/>
    <x v="1"/>
    <s v="Pas de correspondance"/>
  </r>
  <r>
    <s v="Logs_Reseau_Part_08.xlsx"/>
    <d v="2023-10-04T08:36:00"/>
    <n v="3.472222222222222E-3"/>
    <s v="ANT-0176"/>
    <n v="5"/>
    <s v="Résolu"/>
    <x v="2"/>
    <x v="1"/>
    <s v="Pas de correspondance"/>
  </r>
  <r>
    <s v="Logs_Reseau_Part_06.xlsx"/>
    <d v="2023-10-28T03:28:00"/>
    <d v="1899-12-30T00:11:00"/>
    <s v="ANT-0180"/>
    <n v="11"/>
    <s v="Non Résolu"/>
    <x v="4"/>
    <x v="2"/>
    <s v="Ericsson"/>
  </r>
  <r>
    <s v="Logs_Reseau_Part_19.xlsx"/>
    <d v="2023-10-16T13:56:00"/>
    <d v="1899-12-30T01:42:00"/>
    <s v="ANT-0180"/>
    <n v="102"/>
    <s v="En Cours"/>
    <x v="4"/>
    <x v="2"/>
    <s v="Ericsson"/>
  </r>
  <r>
    <s v="Logs_Reseau_Part_13.xlsx"/>
    <d v="2023-10-13T07:28:00"/>
    <d v="1899-12-30T01:19:00"/>
    <s v="ANT-0183"/>
    <n v="79"/>
    <s v="Résolu"/>
    <x v="26"/>
    <x v="2"/>
    <s v="Ericsson"/>
  </r>
  <r>
    <s v="Logs_Reseau_Part_01.xlsx"/>
    <d v="2023-10-14T07:28:00"/>
    <d v="1899-12-30T00:22:00"/>
    <s v="ANT-0183"/>
    <n v="22"/>
    <s v="Non Résolu"/>
    <x v="26"/>
    <x v="2"/>
    <s v="Ericsson"/>
  </r>
  <r>
    <s v="Logs_Reseau_Part_14.xlsx"/>
    <d v="2023-10-28T02:12:00"/>
    <d v="1899-12-30T01:52:00"/>
    <s v="ANT-0184"/>
    <n v="112"/>
    <s v="Résolu"/>
    <x v="25"/>
    <x v="3"/>
    <s v="Nokia"/>
  </r>
  <r>
    <s v="Logs_Reseau_Part_15.xlsx"/>
    <d v="2023-10-03T19:18:00"/>
    <d v="1899-12-30T01:55:00"/>
    <s v="ANT-0185"/>
    <n v="115"/>
    <s v="Non Résolu"/>
    <x v="22"/>
    <x v="2"/>
    <s v="ZTE"/>
  </r>
  <r>
    <s v="Logs_Reseau_Part_25.xlsx"/>
    <d v="2023-10-07T21:40:00"/>
    <n v="5.2083333333333336E-2"/>
    <s v="ANT-0186"/>
    <n v="75"/>
    <s v="En Cours"/>
    <x v="2"/>
    <x v="1"/>
    <s v="Pas de correspondance"/>
  </r>
  <r>
    <s v="Logs_Reseau_Part_24.xlsx"/>
    <d v="2023-10-18T07:47:00"/>
    <n v="9.7222222222222224E-3"/>
    <s v="ANT-0189"/>
    <n v="14"/>
    <s v="Non Résolu"/>
    <x v="2"/>
    <x v="1"/>
    <s v="Pas de correspondance"/>
  </r>
  <r>
    <s v="Logs_Reseau_Part_19.xlsx"/>
    <d v="2023-10-27T23:25:00"/>
    <n v="6.1805555555555558E-2"/>
    <s v="ANT-0193"/>
    <n v="89"/>
    <s v="En Cours"/>
    <x v="2"/>
    <x v="1"/>
    <s v="Pas de correspondance"/>
  </r>
  <r>
    <s v="Logs_Reseau_Part_05.xlsx"/>
    <d v="2023-10-04T06:40:00"/>
    <n v="5.486111111111111E-2"/>
    <s v="ANT-0193"/>
    <n v="79"/>
    <s v="Non Résolu"/>
    <x v="2"/>
    <x v="1"/>
    <s v="Pas de correspondance"/>
  </r>
  <r>
    <s v="Logs_Reseau_Part_21.xlsx"/>
    <d v="2023-10-16T19:28:00"/>
    <n v="3.4027777777777775E-2"/>
    <s v="ANT-0193"/>
    <n v="49"/>
    <s v="Non Résolu"/>
    <x v="2"/>
    <x v="1"/>
    <s v="Pas de correspondance"/>
  </r>
  <r>
    <s v="Logs_Reseau_Part_17.xlsx"/>
    <d v="2023-10-11T21:48:00"/>
    <d v="1899-12-30T00:57:00"/>
    <s v="ANT-0194"/>
    <n v="57"/>
    <s v="En Cours"/>
    <x v="0"/>
    <x v="3"/>
    <s v="ZTE"/>
  </r>
  <r>
    <s v="Logs_Reseau_Part_13.xlsx"/>
    <d v="2023-10-11T16:28:00"/>
    <d v="1899-12-30T01:02:00"/>
    <s v="ANT-0194"/>
    <n v="62"/>
    <s v="Non Résolu"/>
    <x v="0"/>
    <x v="3"/>
    <s v="ZTE"/>
  </r>
  <r>
    <s v="Logs_Reseau_Part_11.xlsx"/>
    <d v="2023-10-17T01:53:00"/>
    <d v="1899-12-30T00:48:00"/>
    <s v="ANT-0195"/>
    <n v="48"/>
    <s v="Non Résolu"/>
    <x v="16"/>
    <x v="3"/>
    <s v="Ericsson"/>
  </r>
  <r>
    <s v="Logs_Reseau_Part_04.xlsx"/>
    <d v="2023-10-11T06:29:00"/>
    <n v="7.2222222222222215E-2"/>
    <s v="ANT-0196"/>
    <n v="104"/>
    <s v="En Cours"/>
    <x v="2"/>
    <x v="1"/>
    <s v="Pas de correspondance"/>
  </r>
  <r>
    <s v="Logs_Reseau_Part_14.xlsx"/>
    <d v="2023-10-04T23:48:00"/>
    <n v="3.472222222222222E-3"/>
    <s v="ANT-0197"/>
    <n v="5"/>
    <s v="En Cours"/>
    <x v="2"/>
    <x v="1"/>
    <s v="Pas de correspondance"/>
  </r>
  <r>
    <s v="Logs_Reseau_Part_25.xlsx"/>
    <d v="2023-10-31T17:34:00"/>
    <n v="3.6111111111111108E-2"/>
    <s v="ANT-0199"/>
    <n v="52"/>
    <s v="Résolu"/>
    <x v="2"/>
    <x v="1"/>
    <s v="Pas de correspondance"/>
  </r>
  <r>
    <s v="Logs_Reseau_Part_09.xlsx"/>
    <d v="2023-10-02T14:58:00"/>
    <n v="6.2500000000000003E-3"/>
    <s v="ANT-0199"/>
    <n v="9"/>
    <s v="Résolu"/>
    <x v="2"/>
    <x v="1"/>
    <s v="Pas de correspondance"/>
  </r>
  <r>
    <s v="Logs_Reseau_Part_25.xlsx"/>
    <d v="2023-10-25T23:37:00"/>
    <n v="3.4027777777777775E-2"/>
    <s v="ANT-0203"/>
    <n v="49"/>
    <s v="Résolu"/>
    <x v="2"/>
    <x v="1"/>
    <s v="Pas de correspondance"/>
  </r>
  <r>
    <s v="Logs_Reseau_Part_01.xlsx"/>
    <d v="2023-10-30T12:05:00"/>
    <n v="7.3611111111111113E-2"/>
    <s v="ANT-0204"/>
    <n v="106"/>
    <s v="Non Résolu"/>
    <x v="2"/>
    <x v="1"/>
    <s v="Pas de correspondance"/>
  </r>
  <r>
    <s v="Logs_Reseau_Part_12.xlsx"/>
    <d v="2023-10-16T23:46:00"/>
    <d v="1899-12-30T01:06:00"/>
    <s v="ANT-0205"/>
    <n v="66"/>
    <s v="En Cours"/>
    <x v="15"/>
    <x v="0"/>
    <s v="ZTE"/>
  </r>
  <r>
    <s v="Logs_Reseau_Part_15.xlsx"/>
    <d v="2023-10-12T17:24:00"/>
    <d v="1899-12-30T01:24:00"/>
    <s v="ANT-0205"/>
    <n v="84"/>
    <s v="En Cours"/>
    <x v="15"/>
    <x v="0"/>
    <s v="ZTE"/>
  </r>
  <r>
    <s v="Logs_Reseau_Part_09.xlsx"/>
    <d v="2023-10-10T08:46:00"/>
    <d v="1899-12-30T02:00:00"/>
    <s v="ANT-0205"/>
    <n v="120"/>
    <s v="Résolu"/>
    <x v="15"/>
    <x v="0"/>
    <s v="ZTE"/>
  </r>
  <r>
    <s v="Logs_Reseau_Part_06.xlsx"/>
    <d v="2023-10-06T22:19:00"/>
    <d v="1899-12-30T01:22:00"/>
    <s v="ANT-0206"/>
    <n v="82"/>
    <s v="En Cours"/>
    <x v="20"/>
    <x v="2"/>
    <s v="Nokia"/>
  </r>
  <r>
    <s v="Logs_Reseau_Part_05.xlsx"/>
    <d v="2023-10-08T08:50:00"/>
    <d v="1899-12-30T00:46:00"/>
    <s v="ANT-0209"/>
    <n v="46"/>
    <s v="Résolu"/>
    <x v="24"/>
    <x v="2"/>
    <s v="Huawei"/>
  </r>
  <r>
    <s v="Logs_Reseau_Part_17.xlsx"/>
    <d v="2023-10-07T15:17:00"/>
    <d v="1899-12-30T00:32:00"/>
    <s v="ANT-0211"/>
    <n v="32"/>
    <s v="En Cours"/>
    <x v="19"/>
    <x v="3"/>
    <s v="Nokia"/>
  </r>
  <r>
    <s v="Logs_Reseau_Part_22.xlsx"/>
    <d v="2023-10-19T14:09:00"/>
    <d v="1899-12-30T00:21:00"/>
    <s v="ANT-0211"/>
    <n v="21"/>
    <s v="Résolu"/>
    <x v="19"/>
    <x v="3"/>
    <s v="Nokia"/>
  </r>
  <r>
    <s v="Logs_Reseau_Part_23.xlsx"/>
    <d v="2023-10-01T21:56:00"/>
    <d v="1899-12-30T01:27:00"/>
    <s v="ANT-0212"/>
    <n v="87"/>
    <s v="Résolu"/>
    <x v="15"/>
    <x v="2"/>
    <s v="Ericsson"/>
  </r>
  <r>
    <s v="Logs_Reseau_Part_15.xlsx"/>
    <d v="2023-10-14T14:35:00"/>
    <n v="1.5277777777777777E-2"/>
    <s v="ANT-0215"/>
    <n v="22"/>
    <s v="Résolu"/>
    <x v="2"/>
    <x v="1"/>
    <s v="Pas de correspondance"/>
  </r>
  <r>
    <s v="Logs_Reseau_Part_11.xlsx"/>
    <d v="2023-10-07T18:26:00"/>
    <n v="2.4305555555555556E-2"/>
    <s v="ANT-0221"/>
    <n v="35"/>
    <s v="En Cours"/>
    <x v="2"/>
    <x v="1"/>
    <s v="Pas de correspondance"/>
  </r>
  <r>
    <s v="Logs_Reseau_Part_16.xlsx"/>
    <d v="2023-10-04T17:11:00"/>
    <d v="1899-12-30T01:08:00"/>
    <s v="ANT-0224"/>
    <n v="68"/>
    <s v="Non Résolu"/>
    <x v="13"/>
    <x v="2"/>
    <s v="Huawei"/>
  </r>
  <r>
    <s v="Logs_Reseau_Part_19.xlsx"/>
    <d v="2023-10-23T11:30:00"/>
    <d v="1899-12-30T01:52:00"/>
    <s v="ANT-0225"/>
    <n v="112"/>
    <s v="Non Résolu"/>
    <x v="22"/>
    <x v="2"/>
    <s v="Nokia"/>
  </r>
  <r>
    <s v="Logs_Reseau_Part_24.xlsx"/>
    <d v="2023-10-12T14:06:00"/>
    <d v="1899-12-30T00:27:00"/>
    <s v="ANT-0226"/>
    <n v="27"/>
    <s v="En Cours"/>
    <x v="23"/>
    <x v="3"/>
    <s v="Ericsson"/>
  </r>
  <r>
    <s v="Logs_Reseau_Part_08.xlsx"/>
    <d v="2023-10-25T16:07:00"/>
    <n v="9.7222222222222224E-3"/>
    <s v="ANT-0227"/>
    <n v="14"/>
    <s v="En Cours"/>
    <x v="2"/>
    <x v="1"/>
    <s v="Pas de correspondance"/>
  </r>
  <r>
    <s v="Logs_Reseau_Part_04.xlsx"/>
    <d v="2023-10-30T09:36:00"/>
    <n v="5.347222222222222E-2"/>
    <s v="ANT-0227"/>
    <n v="77"/>
    <s v="Résolu"/>
    <x v="2"/>
    <x v="1"/>
    <s v="Pas de correspondance"/>
  </r>
  <r>
    <s v="Logs_Reseau_Part_23.xlsx"/>
    <d v="2023-10-31T21:55:00"/>
    <d v="1899-12-30T01:02:00"/>
    <s v="ANT-0229"/>
    <n v="62"/>
    <s v="Résolu"/>
    <x v="18"/>
    <x v="0"/>
    <s v="Huawei"/>
  </r>
  <r>
    <s v="Logs_Reseau_Part_13.xlsx"/>
    <d v="2023-10-04T14:19:00"/>
    <d v="1899-12-30T00:13:00"/>
    <s v="ANT-0229"/>
    <n v="13"/>
    <s v="Non Résolu"/>
    <x v="18"/>
    <x v="0"/>
    <s v="Huawei"/>
  </r>
  <r>
    <s v="Logs_Reseau_Part_16.xlsx"/>
    <d v="2023-10-13T14:49:00"/>
    <n v="1.9444444444444445E-2"/>
    <s v="ANT-0231"/>
    <n v="28"/>
    <s v="Résolu"/>
    <x v="2"/>
    <x v="1"/>
    <s v="Pas de correspondance"/>
  </r>
  <r>
    <s v="Logs_Reseau_Part_12.xlsx"/>
    <d v="2023-10-29T16:08:00"/>
    <d v="1899-12-30T01:46:00"/>
    <s v="ANT-0232"/>
    <n v="106"/>
    <s v="Résolu"/>
    <x v="20"/>
    <x v="0"/>
    <s v="Nokia"/>
  </r>
  <r>
    <s v="Logs_Reseau_Part_14.xlsx"/>
    <d v="2023-10-05T06:21:00"/>
    <d v="1899-12-30T01:30:00"/>
    <s v="ANT-0232"/>
    <n v="90"/>
    <s v="En Cours"/>
    <x v="20"/>
    <x v="0"/>
    <s v="Nokia"/>
  </r>
  <r>
    <s v="Logs_Reseau_Part_20.xlsx"/>
    <d v="2023-10-08T22:04:00"/>
    <n v="2.9166666666666667E-2"/>
    <s v="ANT-0233"/>
    <n v="42"/>
    <s v="Résolu"/>
    <x v="2"/>
    <x v="1"/>
    <s v="Pas de correspondance"/>
  </r>
  <r>
    <s v="Logs_Reseau_Part_13.xlsx"/>
    <d v="2023-10-15T16:45:00"/>
    <d v="1899-12-30T01:38:00"/>
    <s v="ANT-0236"/>
    <n v="98"/>
    <s v="En Cours"/>
    <x v="1"/>
    <x v="3"/>
    <s v="ZTE"/>
  </r>
  <r>
    <s v="Logs_Reseau_Part_18.xlsx"/>
    <d v="2023-10-29T03:49:00"/>
    <d v="1899-12-30T00:30:00"/>
    <s v="ANT-0238"/>
    <n v="30"/>
    <s v="Résolu"/>
    <x v="25"/>
    <x v="2"/>
    <s v="Nokia"/>
  </r>
  <r>
    <s v="Logs_Reseau_Part_12.xlsx"/>
    <d v="2023-10-31T09:49:00"/>
    <d v="1899-12-30T01:20:00"/>
    <s v="ANT-0238"/>
    <n v="80"/>
    <s v="Non Résolu"/>
    <x v="25"/>
    <x v="2"/>
    <s v="Nokia"/>
  </r>
  <r>
    <s v="Logs_Reseau_Part_12.xlsx"/>
    <d v="2023-10-06T12:39:00"/>
    <d v="1899-12-30T00:40:00"/>
    <s v="ANT-0239"/>
    <n v="40"/>
    <s v="En Cours"/>
    <x v="13"/>
    <x v="2"/>
    <s v="Ericsson"/>
  </r>
  <r>
    <s v="Logs_Reseau_Part_19.xlsx"/>
    <d v="2023-10-21T17:50:00"/>
    <d v="1899-12-30T00:54:00"/>
    <s v="ANT-0239"/>
    <n v="54"/>
    <s v="Non Résolu"/>
    <x v="13"/>
    <x v="2"/>
    <s v="Ericsson"/>
  </r>
  <r>
    <s v="Logs_Reseau_Part_25.xlsx"/>
    <d v="2023-10-13T17:18:00"/>
    <d v="1899-12-30T00:33:00"/>
    <s v="ANT-0241"/>
    <n v="33"/>
    <s v="En Cours"/>
    <x v="18"/>
    <x v="2"/>
    <s v="Ericsson"/>
  </r>
  <r>
    <s v="Logs_Reseau_Part_10.xlsx"/>
    <d v="2023-10-12T01:55:00"/>
    <n v="4.0972222222222222E-2"/>
    <s v="ANT-0242"/>
    <n v="59"/>
    <s v="Non Résolu"/>
    <x v="2"/>
    <x v="1"/>
    <s v="Pas de correspondance"/>
  </r>
  <r>
    <s v="Logs_Reseau_Part_20.xlsx"/>
    <d v="2023-10-13T05:46:00"/>
    <n v="3.7499999999999999E-2"/>
    <s v="ANT-0242"/>
    <n v="54"/>
    <s v="Non Résolu"/>
    <x v="2"/>
    <x v="1"/>
    <s v="Pas de correspondance"/>
  </r>
  <r>
    <s v="Logs_Reseau_Part_18.xlsx"/>
    <d v="2023-10-10T09:20:00"/>
    <n v="3.0555555555555555E-2"/>
    <s v="ANT-0243"/>
    <n v="44"/>
    <s v="Résolu"/>
    <x v="2"/>
    <x v="1"/>
    <s v="Pas de correspondance"/>
  </r>
  <r>
    <s v="Logs_Reseau_Part_18.xlsx"/>
    <d v="2023-10-08T02:59:00"/>
    <n v="5.347222222222222E-2"/>
    <s v="ANT-0244"/>
    <n v="77"/>
    <s v="En Cours"/>
    <x v="2"/>
    <x v="1"/>
    <s v="Pas de correspondance"/>
  </r>
  <r>
    <s v="Logs_Reseau_Part_03.xlsx"/>
    <d v="2023-10-20T10:05:00"/>
    <d v="1899-12-30T01:03:00"/>
    <s v="ANT-0245"/>
    <n v="63"/>
    <s v="En Cours"/>
    <x v="9"/>
    <x v="3"/>
    <s v="ZTE"/>
  </r>
  <r>
    <s v="Logs_Reseau_Part_17.xlsx"/>
    <d v="2023-10-29T20:10:00"/>
    <n v="7.013888888888889E-2"/>
    <s v="ANT-0246"/>
    <n v="101"/>
    <s v="Résolu"/>
    <x v="2"/>
    <x v="1"/>
    <s v="Pas de correspondance"/>
  </r>
  <r>
    <s v="Logs_Reseau_Part_01.xlsx"/>
    <d v="2023-10-31T18:56:00"/>
    <n v="6.0416666666666667E-2"/>
    <s v="ANT-0246"/>
    <n v="87"/>
    <s v="Non Résolu"/>
    <x v="2"/>
    <x v="1"/>
    <s v="Pas de correspondance"/>
  </r>
  <r>
    <s v="Logs_Reseau_Part_05.xlsx"/>
    <d v="2023-10-01T02:14:00"/>
    <n v="4.3749999999999997E-2"/>
    <s v="ANT-0246"/>
    <n v="63"/>
    <s v="Non Résolu"/>
    <x v="2"/>
    <x v="1"/>
    <s v="Pas de correspondance"/>
  </r>
  <r>
    <s v="Logs_Reseau_Part_04.xlsx"/>
    <d v="2023-10-31T20:02:00"/>
    <n v="3.1944444444444442E-2"/>
    <s v="ANT-0247"/>
    <n v="46"/>
    <s v="Non Résolu"/>
    <x v="2"/>
    <x v="1"/>
    <s v="Pas de correspondance"/>
  </r>
  <r>
    <s v="Logs_Reseau_Part_01.xlsx"/>
    <d v="2023-10-21T15:25:00"/>
    <n v="1.3194444444444444E-2"/>
    <s v="ANT-0247"/>
    <n v="19"/>
    <s v="Résolu"/>
    <x v="2"/>
    <x v="1"/>
    <s v="Pas de correspondance"/>
  </r>
  <r>
    <s v="Logs_Reseau_Part_17.xlsx"/>
    <d v="2023-10-21T02:45:00"/>
    <n v="3.7499999999999999E-2"/>
    <s v="ANT-0247"/>
    <n v="54"/>
    <s v="Non Résolu"/>
    <x v="2"/>
    <x v="1"/>
    <s v="Pas de correspondance"/>
  </r>
  <r>
    <s v="Logs_Reseau_Part_21.xlsx"/>
    <d v="2023-10-27T22:05:00"/>
    <n v="4.4444444444444446E-2"/>
    <s v="ANT-0247"/>
    <n v="64"/>
    <s v="En Cours"/>
    <x v="2"/>
    <x v="1"/>
    <s v="Pas de correspondance"/>
  </r>
  <r>
    <s v="Logs_Reseau_Part_14.xlsx"/>
    <d v="2023-10-30T06:47:00"/>
    <n v="7.0833333333333331E-2"/>
    <s v="ANT-0247"/>
    <n v="102"/>
    <s v="Non Résolu"/>
    <x v="2"/>
    <x v="1"/>
    <s v="Pas de correspondance"/>
  </r>
  <r>
    <s v="Logs_Reseau_Part_11.xlsx"/>
    <d v="2023-10-19T08:41:00"/>
    <n v="3.125E-2"/>
    <s v="ANT-0247"/>
    <n v="45"/>
    <s v="En Cours"/>
    <x v="2"/>
    <x v="1"/>
    <s v="Pas de correspondance"/>
  </r>
  <r>
    <s v="Logs_Reseau_Part_04.xlsx"/>
    <d v="2023-10-29T12:17:00"/>
    <d v="1899-12-30T01:04:00"/>
    <s v="ANT-0248"/>
    <n v="64"/>
    <s v="Non Résolu"/>
    <x v="22"/>
    <x v="0"/>
    <s v="Huawei"/>
  </r>
  <r>
    <s v="Logs_Reseau_Part_15.xlsx"/>
    <d v="2023-10-31T07:46:00"/>
    <d v="1899-12-30T01:45:00"/>
    <s v="ANT-0248"/>
    <n v="105"/>
    <s v="Résolu"/>
    <x v="22"/>
    <x v="0"/>
    <s v="Huawei"/>
  </r>
  <r>
    <s v="Logs_Reseau_Part_14.xlsx"/>
    <d v="2023-10-18T18:37:00"/>
    <d v="1899-12-30T01:24:00"/>
    <s v="ANT-0250"/>
    <n v="84"/>
    <s v="Résolu"/>
    <x v="17"/>
    <x v="2"/>
    <s v="Ericsson"/>
  </r>
  <r>
    <s v="Logs_Reseau_Part_08.xlsx"/>
    <d v="2023-10-17T06:24:00"/>
    <d v="1899-12-30T01:30:00"/>
    <s v="ANT-0250"/>
    <n v="90"/>
    <s v="En Cours"/>
    <x v="17"/>
    <x v="2"/>
    <s v="Ericsson"/>
  </r>
  <r>
    <s v="Logs_Reseau_Part_04.xlsx"/>
    <d v="2023-10-03T18:44:00"/>
    <d v="1899-12-30T00:53:00"/>
    <s v="ANT-0250"/>
    <n v="53"/>
    <s v="En Cours"/>
    <x v="17"/>
    <x v="2"/>
    <s v="Ericsson"/>
  </r>
  <r>
    <s v="Logs_Reseau_Part_13.xlsx"/>
    <d v="2023-10-12T02:58:00"/>
    <n v="6.0416666666666667E-2"/>
    <s v="ANT-0254"/>
    <n v="87"/>
    <s v="Résolu"/>
    <x v="2"/>
    <x v="1"/>
    <s v="Pas de correspondance"/>
  </r>
  <r>
    <s v="Logs_Reseau_Part_11.xlsx"/>
    <d v="2023-10-18T09:57:00"/>
    <n v="5.1388888888888887E-2"/>
    <s v="ANT-0254"/>
    <n v="74"/>
    <s v="En Cours"/>
    <x v="2"/>
    <x v="1"/>
    <s v="Pas de correspondance"/>
  </r>
  <r>
    <s v="Logs_Reseau_Part_16.xlsx"/>
    <d v="2023-10-12T11:54:00"/>
    <n v="4.2361111111111113E-2"/>
    <s v="ANT-0254"/>
    <n v="61"/>
    <s v="Non Résolu"/>
    <x v="2"/>
    <x v="1"/>
    <s v="Pas de correspondance"/>
  </r>
  <r>
    <s v="Logs_Reseau_Part_03.xlsx"/>
    <d v="2023-10-27T00:19:00"/>
    <n v="7.4305555555555555E-2"/>
    <s v="ANT-0254"/>
    <n v="107"/>
    <s v="Non Résolu"/>
    <x v="2"/>
    <x v="1"/>
    <s v="Pas de correspondance"/>
  </r>
  <r>
    <s v="Logs_Reseau_Part_11.xlsx"/>
    <d v="2023-10-29T02:04:00"/>
    <d v="1899-12-30T00:43:00"/>
    <s v="ANT-0255"/>
    <n v="43"/>
    <s v="En Cours"/>
    <x v="15"/>
    <x v="2"/>
    <s v="ZTE"/>
  </r>
  <r>
    <s v="Logs_Reseau_Part_25.xlsx"/>
    <d v="2023-10-18T00:41:00"/>
    <d v="1899-12-30T02:00:00"/>
    <s v="ANT-0257"/>
    <n v="120"/>
    <s v="En Cours"/>
    <x v="19"/>
    <x v="3"/>
    <s v="Nokia"/>
  </r>
  <r>
    <s v="Logs_Reseau_Part_09.xlsx"/>
    <d v="2023-10-31T20:44:00"/>
    <d v="1899-12-30T00:57:00"/>
    <s v="ANT-0257"/>
    <n v="57"/>
    <s v="Résolu"/>
    <x v="19"/>
    <x v="3"/>
    <s v="Nokia"/>
  </r>
  <r>
    <s v="Logs_Reseau_Part_02.xlsx"/>
    <d v="2023-10-15T23:03:00"/>
    <d v="1899-12-30T00:38:00"/>
    <s v="ANT-0258"/>
    <n v="38"/>
    <s v="Résolu"/>
    <x v="20"/>
    <x v="3"/>
    <s v="Huawei"/>
  </r>
  <r>
    <s v="Logs_Reseau_Part_22.xlsx"/>
    <d v="2023-10-04T21:24:00"/>
    <n v="4.8611111111111112E-3"/>
    <s v="ANT-0259"/>
    <n v="7"/>
    <s v="Non Résolu"/>
    <x v="2"/>
    <x v="1"/>
    <s v="Pas de correspondance"/>
  </r>
  <r>
    <s v="Logs_Reseau_Part_15.xlsx"/>
    <d v="2023-10-21T15:38:00"/>
    <n v="2.5000000000000001E-2"/>
    <s v="ANT-0259"/>
    <n v="36"/>
    <s v="Résolu"/>
    <x v="2"/>
    <x v="1"/>
    <s v="Pas de correspondance"/>
  </r>
  <r>
    <s v="Logs_Reseau_Part_14.xlsx"/>
    <d v="2023-10-13T07:35:00"/>
    <n v="7.7777777777777779E-2"/>
    <s v="ANT-0259"/>
    <n v="112"/>
    <s v="Résolu"/>
    <x v="2"/>
    <x v="1"/>
    <s v="Pas de correspondance"/>
  </r>
  <r>
    <s v="Logs_Reseau_Part_05.xlsx"/>
    <d v="2023-10-16T14:21:00"/>
    <n v="4.8611111111111112E-3"/>
    <s v="ANT-0259"/>
    <n v="7"/>
    <s v="En Cours"/>
    <x v="2"/>
    <x v="1"/>
    <s v="Pas de correspondance"/>
  </r>
  <r>
    <s v="Logs_Reseau_Part_24.xlsx"/>
    <d v="2023-10-08T08:25:00"/>
    <n v="5.2083333333333336E-2"/>
    <s v="ANT-0262"/>
    <n v="75"/>
    <s v="En Cours"/>
    <x v="2"/>
    <x v="1"/>
    <s v="Pas de correspondance"/>
  </r>
  <r>
    <s v="Logs_Reseau_Part_06.xlsx"/>
    <d v="2023-10-22T00:57:00"/>
    <d v="1899-12-30T00:33:00"/>
    <s v="ANT-0264"/>
    <n v="33"/>
    <s v="Non Résolu"/>
    <x v="8"/>
    <x v="0"/>
    <s v="Huawei"/>
  </r>
  <r>
    <s v="Logs_Reseau_Part_03.xlsx"/>
    <d v="2023-10-06T19:36:00"/>
    <n v="2.2916666666666665E-2"/>
    <s v="ANT-0266"/>
    <n v="33"/>
    <s v="En Cours"/>
    <x v="2"/>
    <x v="1"/>
    <s v="Pas de correspondance"/>
  </r>
  <r>
    <s v="Logs_Reseau_Part_21.xlsx"/>
    <d v="2023-10-02T07:02:00"/>
    <d v="1899-12-30T01:35:00"/>
    <s v="ANT-0268"/>
    <n v="95"/>
    <s v="En Cours"/>
    <x v="9"/>
    <x v="0"/>
    <s v="Nokia"/>
  </r>
  <r>
    <s v="Logs_Reseau_Part_18.xlsx"/>
    <d v="2023-10-01T11:12:00"/>
    <d v="1899-12-30T00:31:00"/>
    <s v="ANT-0268"/>
    <n v="31"/>
    <s v="Non Résolu"/>
    <x v="9"/>
    <x v="0"/>
    <s v="Nokia"/>
  </r>
  <r>
    <s v="Logs_Reseau_Part_02.xlsx"/>
    <d v="2023-10-01T12:16:00"/>
    <n v="7.4999999999999997E-2"/>
    <s v="ANT-0269"/>
    <n v="108"/>
    <s v="En Cours"/>
    <x v="2"/>
    <x v="1"/>
    <s v="Pas de correspondance"/>
  </r>
  <r>
    <s v="Logs_Reseau_Part_01.xlsx"/>
    <d v="2023-10-03T06:14:00"/>
    <d v="1899-12-30T01:19:00"/>
    <s v="ANT-0270"/>
    <n v="79"/>
    <s v="Résolu"/>
    <x v="12"/>
    <x v="2"/>
    <s v="Ericsson"/>
  </r>
  <r>
    <s v="Logs_Reseau_Part_16.xlsx"/>
    <d v="2023-10-22T04:20:00"/>
    <d v="1899-12-30T00:08:00"/>
    <s v="ANT-0270"/>
    <n v="8"/>
    <s v="Résolu"/>
    <x v="12"/>
    <x v="2"/>
    <s v="Ericsson"/>
  </r>
  <r>
    <s v="Logs_Reseau_Part_24.xlsx"/>
    <d v="2023-10-27T04:06:00"/>
    <d v="1899-12-30T00:54:00"/>
    <s v="ANT-0271"/>
    <n v="54"/>
    <s v="Résolu"/>
    <x v="18"/>
    <x v="2"/>
    <s v="ZTE"/>
  </r>
  <r>
    <s v="Logs_Reseau_Part_02.xlsx"/>
    <d v="2023-10-14T06:06:00"/>
    <d v="1899-12-30T01:13:00"/>
    <s v="ANT-0271"/>
    <n v="73"/>
    <s v="En Cours"/>
    <x v="18"/>
    <x v="2"/>
    <s v="ZTE"/>
  </r>
  <r>
    <s v="Logs_Reseau_Part_11.xlsx"/>
    <d v="2023-10-11T21:22:00"/>
    <n v="8.1944444444444445E-2"/>
    <s v="ANT-0274"/>
    <n v="118"/>
    <s v="Résolu"/>
    <x v="2"/>
    <x v="1"/>
    <s v="Pas de correspondance"/>
  </r>
  <r>
    <s v="Logs_Reseau_Part_14.xlsx"/>
    <d v="2023-10-12T09:16:00"/>
    <n v="9.0277777777777769E-3"/>
    <s v="ANT-0274"/>
    <n v="13"/>
    <s v="Non Résolu"/>
    <x v="2"/>
    <x v="1"/>
    <s v="Pas de correspondance"/>
  </r>
  <r>
    <s v="Logs_Reseau_Part_05.xlsx"/>
    <d v="2023-10-26T20:37:00"/>
    <n v="6.25E-2"/>
    <s v="ANT-0274"/>
    <n v="90"/>
    <s v="Non Résolu"/>
    <x v="2"/>
    <x v="1"/>
    <s v="Pas de correspondance"/>
  </r>
  <r>
    <s v="Logs_Reseau_Part_16.xlsx"/>
    <d v="2023-10-06T23:15:00"/>
    <n v="5.8333333333333334E-2"/>
    <s v="ANT-0275"/>
    <n v="84"/>
    <s v="Non Résolu"/>
    <x v="2"/>
    <x v="1"/>
    <s v="Pas de correspondance"/>
  </r>
  <r>
    <s v="Logs_Reseau_Part_20.xlsx"/>
    <d v="2023-10-27T05:24:00"/>
    <d v="1899-12-30T00:11:00"/>
    <s v="ANT-0276"/>
    <n v="11"/>
    <s v="Non Résolu"/>
    <x v="15"/>
    <x v="0"/>
    <s v="Ericsson"/>
  </r>
  <r>
    <s v="Logs_Reseau_Part_22.xlsx"/>
    <d v="2023-10-31T15:24:00"/>
    <d v="1899-12-30T01:46:00"/>
    <s v="ANT-0277"/>
    <n v="106"/>
    <s v="Résolu"/>
    <x v="0"/>
    <x v="2"/>
    <s v="Huawei"/>
  </r>
  <r>
    <s v="Logs_Reseau_Part_06.xlsx"/>
    <d v="2023-10-30T18:09:00"/>
    <n v="5.6944444444444443E-2"/>
    <s v="ANT-0280"/>
    <n v="82"/>
    <s v="En Cours"/>
    <x v="2"/>
    <x v="1"/>
    <s v="Pas de correspondance"/>
  </r>
  <r>
    <s v="Logs_Reseau_Part_07.xlsx"/>
    <d v="2023-10-02T12:17:00"/>
    <d v="1899-12-30T01:02:00"/>
    <s v="ANT-0282"/>
    <n v="62"/>
    <s v="Non Résolu"/>
    <x v="13"/>
    <x v="0"/>
    <s v="Huawei"/>
  </r>
  <r>
    <s v="Logs_Reseau_Part_03.xlsx"/>
    <d v="2023-10-27T07:43:00"/>
    <d v="1899-12-30T00:22:00"/>
    <s v="ANT-0282"/>
    <n v="22"/>
    <s v="En Cours"/>
    <x v="13"/>
    <x v="0"/>
    <s v="Huawei"/>
  </r>
  <r>
    <s v="Logs_Reseau_Part_16.xlsx"/>
    <d v="2023-10-08T14:23:00"/>
    <d v="1899-12-30T00:59:00"/>
    <s v="ANT-0282"/>
    <n v="59"/>
    <s v="Résolu"/>
    <x v="13"/>
    <x v="0"/>
    <s v="Huawei"/>
  </r>
  <r>
    <s v="Logs_Reseau_Part_14.xlsx"/>
    <d v="2023-10-28T22:09:00"/>
    <d v="1899-12-30T00:26:00"/>
    <s v="ANT-0282"/>
    <n v="26"/>
    <s v="En Cours"/>
    <x v="13"/>
    <x v="0"/>
    <s v="Huawei"/>
  </r>
  <r>
    <s v="Logs_Reseau_Part_10.xlsx"/>
    <d v="2023-10-14T05:42:00"/>
    <d v="1899-12-30T01:08:00"/>
    <s v="ANT-0282"/>
    <n v="68"/>
    <s v="En Cours"/>
    <x v="13"/>
    <x v="0"/>
    <s v="Huawei"/>
  </r>
  <r>
    <s v="Logs_Reseau_Part_13.xlsx"/>
    <d v="2023-10-18T04:10:00"/>
    <d v="1899-12-30T00:53:00"/>
    <s v="ANT-0283"/>
    <n v="53"/>
    <s v="Non Résolu"/>
    <x v="8"/>
    <x v="0"/>
    <s v="Ericsson"/>
  </r>
  <r>
    <s v="Logs_Reseau_Part_04.xlsx"/>
    <d v="2023-10-01T12:37:00"/>
    <d v="1899-12-30T01:28:00"/>
    <s v="ANT-0283"/>
    <n v="88"/>
    <s v="En Cours"/>
    <x v="8"/>
    <x v="0"/>
    <s v="Ericsson"/>
  </r>
  <r>
    <s v="Logs_Reseau_Part_02.xlsx"/>
    <d v="2023-10-26T17:06:00"/>
    <d v="1899-12-30T00:25:00"/>
    <s v="ANT-0284"/>
    <n v="25"/>
    <s v="Résolu"/>
    <x v="6"/>
    <x v="0"/>
    <s v="Ericsson"/>
  </r>
  <r>
    <s v="Logs_Reseau_Part_21.xlsx"/>
    <d v="2023-10-07T06:53:00"/>
    <d v="1899-12-30T01:36:00"/>
    <s v="ANT-0284"/>
    <n v="96"/>
    <s v="Non Résolu"/>
    <x v="6"/>
    <x v="0"/>
    <s v="Ericsson"/>
  </r>
  <r>
    <s v="Logs_Reseau_Part_21.xlsx"/>
    <d v="2023-10-10T22:32:00"/>
    <d v="1899-12-30T00:37:00"/>
    <s v="ANT-0284"/>
    <n v="37"/>
    <s v="Non Résolu"/>
    <x v="6"/>
    <x v="0"/>
    <s v="Ericsson"/>
  </r>
  <r>
    <s v="Logs_Reseau_Part_03.xlsx"/>
    <d v="2023-10-21T10:29:00"/>
    <d v="1899-12-30T01:04:00"/>
    <s v="ANT-0284"/>
    <n v="64"/>
    <s v="Non Résolu"/>
    <x v="6"/>
    <x v="0"/>
    <s v="Ericsson"/>
  </r>
  <r>
    <s v="Logs_Reseau_Part_04.xlsx"/>
    <d v="2023-10-01T12:21:00"/>
    <d v="1899-12-30T00:24:00"/>
    <s v="ANT-0287"/>
    <n v="24"/>
    <s v="En Cours"/>
    <x v="18"/>
    <x v="2"/>
    <s v="ZTE"/>
  </r>
  <r>
    <s v="Logs_Reseau_Part_18.xlsx"/>
    <d v="2023-10-17T16:50:00"/>
    <d v="1899-12-30T01:20:00"/>
    <s v="ANT-0287"/>
    <n v="80"/>
    <s v="Résolu"/>
    <x v="18"/>
    <x v="2"/>
    <s v="ZTE"/>
  </r>
  <r>
    <s v="Logs_Reseau_Part_15.xlsx"/>
    <d v="2023-10-03T16:47:00"/>
    <d v="1899-12-30T01:03:00"/>
    <s v="ANT-0288"/>
    <n v="63"/>
    <s v="Non Résolu"/>
    <x v="4"/>
    <x v="2"/>
    <s v="ZTE"/>
  </r>
  <r>
    <s v="Logs_Reseau_Part_09.xlsx"/>
    <d v="2023-10-23T14:28:00"/>
    <n v="3.6805555555555557E-2"/>
    <s v="ANT-0289"/>
    <n v="53"/>
    <s v="Non Résolu"/>
    <x v="2"/>
    <x v="1"/>
    <s v="Pas de correspondance"/>
  </r>
  <r>
    <s v="Logs_Reseau_Part_21.xlsx"/>
    <d v="2023-10-24T13:38:00"/>
    <n v="1.4583333333333334E-2"/>
    <s v="ANT-0290"/>
    <n v="21"/>
    <s v="Résolu"/>
    <x v="2"/>
    <x v="1"/>
    <s v="Pas de correspondance"/>
  </r>
  <r>
    <s v="Logs_Reseau_Part_22.xlsx"/>
    <d v="2023-10-24T16:38:00"/>
    <n v="1.2500000000000001E-2"/>
    <s v="ANT-0290"/>
    <n v="18"/>
    <s v="Non Résolu"/>
    <x v="2"/>
    <x v="1"/>
    <s v="Pas de correspondance"/>
  </r>
  <r>
    <s v="Logs_Reseau_Part_25.xlsx"/>
    <d v="2023-10-10T21:56:00"/>
    <d v="1899-12-30T01:51:00"/>
    <s v="ANT-0292"/>
    <n v="111"/>
    <s v="En Cours"/>
    <x v="3"/>
    <x v="3"/>
    <s v="Ericsson"/>
  </r>
  <r>
    <s v="Logs_Reseau_Part_17.xlsx"/>
    <d v="2023-10-17T23:17:00"/>
    <d v="1899-12-30T00:13:00"/>
    <s v="ANT-0292"/>
    <n v="13"/>
    <s v="En Cours"/>
    <x v="3"/>
    <x v="3"/>
    <s v="Ericsson"/>
  </r>
  <r>
    <s v="Logs_Reseau_Part_09.xlsx"/>
    <d v="2023-10-03T09:54:00"/>
    <d v="1899-12-30T00:35:00"/>
    <s v="ANT-0292"/>
    <n v="35"/>
    <s v="Résolu"/>
    <x v="3"/>
    <x v="3"/>
    <s v="Ericsson"/>
  </r>
  <r>
    <s v="Logs_Reseau_Part_03.xlsx"/>
    <d v="2023-10-20T02:29:00"/>
    <d v="1899-12-30T01:12:00"/>
    <s v="ANT-0293"/>
    <n v="72"/>
    <s v="Non Résolu"/>
    <x v="9"/>
    <x v="2"/>
    <s v="Nokia"/>
  </r>
  <r>
    <s v="Logs_Reseau_Part_12.xlsx"/>
    <d v="2023-10-31T05:29:00"/>
    <d v="1899-12-30T00:39:00"/>
    <s v="ANT-0293"/>
    <n v="39"/>
    <s v="En Cours"/>
    <x v="9"/>
    <x v="2"/>
    <s v="Nokia"/>
  </r>
  <r>
    <s v="Logs_Reseau_Part_14.xlsx"/>
    <d v="2023-10-02T17:26:00"/>
    <d v="1899-12-30T01:37:00"/>
    <s v="ANT-0294"/>
    <n v="97"/>
    <s v="Non Résolu"/>
    <x v="14"/>
    <x v="2"/>
    <s v="Huawei"/>
  </r>
  <r>
    <s v="Logs_Reseau_Part_05.xlsx"/>
    <d v="2023-10-09T04:04:00"/>
    <d v="1899-12-30T00:47:00"/>
    <s v="ANT-0295"/>
    <n v="47"/>
    <s v="Résolu"/>
    <x v="7"/>
    <x v="2"/>
    <s v="Nokia"/>
  </r>
  <r>
    <s v="Logs_Reseau_Part_12.xlsx"/>
    <d v="2023-10-11T21:30:00"/>
    <d v="1899-12-30T01:50:00"/>
    <s v="ANT-0295"/>
    <n v="110"/>
    <s v="En Cours"/>
    <x v="7"/>
    <x v="2"/>
    <s v="Nokia"/>
  </r>
  <r>
    <s v="Logs_Reseau_Part_16.xlsx"/>
    <d v="2023-10-17T04:22:00"/>
    <n v="5.9722222222222225E-2"/>
    <s v="ANT-0296"/>
    <n v="86"/>
    <s v="Non Résolu"/>
    <x v="2"/>
    <x v="1"/>
    <s v="Pas de correspondance"/>
  </r>
  <r>
    <s v="Logs_Reseau_Part_11.xlsx"/>
    <d v="2023-10-08T03:12:00"/>
    <d v="1899-12-30T01:06:00"/>
    <s v="ANT-0298"/>
    <n v="66"/>
    <s v="Non Résolu"/>
    <x v="14"/>
    <x v="3"/>
    <s v="Ericsson"/>
  </r>
  <r>
    <s v="Logs_Reseau_Part_25.xlsx"/>
    <d v="2023-10-15T20:25:00"/>
    <d v="1899-12-30T00:31:00"/>
    <s v="ANT-0298"/>
    <n v="31"/>
    <s v="En Cours"/>
    <x v="14"/>
    <x v="3"/>
    <s v="Ericsson"/>
  </r>
  <r>
    <s v="Logs_Reseau_Part_18.xlsx"/>
    <d v="2023-10-03T17:29:00"/>
    <n v="1.2500000000000001E-2"/>
    <s v="ANT-0299"/>
    <n v="18"/>
    <s v="Résolu"/>
    <x v="2"/>
    <x v="1"/>
    <s v="Pas de correspondance"/>
  </r>
  <r>
    <s v="Logs_Reseau_Part_15.xlsx"/>
    <d v="2023-10-12T17:05:00"/>
    <n v="5.6944444444444443E-2"/>
    <s v="ANT-0299"/>
    <n v="82"/>
    <s v="Non Résolu"/>
    <x v="2"/>
    <x v="1"/>
    <s v="Pas de correspondance"/>
  </r>
  <r>
    <s v="Logs_Reseau_Part_04.xlsx"/>
    <d v="2023-10-04T18:01:00"/>
    <d v="1899-12-30T01:04:00"/>
    <s v="ANT-0302"/>
    <n v="64"/>
    <s v="En Cours"/>
    <x v="17"/>
    <x v="0"/>
    <s v="Ericsson"/>
  </r>
  <r>
    <s v="Logs_Reseau_Part_07.xlsx"/>
    <d v="2023-10-25T04:50:00"/>
    <d v="1899-12-30T00:43:00"/>
    <s v="ANT-0302"/>
    <n v="43"/>
    <s v="En Cours"/>
    <x v="17"/>
    <x v="0"/>
    <s v="Ericsson"/>
  </r>
  <r>
    <s v="Logs_Reseau_Part_17.xlsx"/>
    <d v="2023-10-04T05:28:00"/>
    <n v="4.2361111111111113E-2"/>
    <s v="ANT-0303"/>
    <n v="61"/>
    <s v="Non Résolu"/>
    <x v="2"/>
    <x v="1"/>
    <s v="Pas de correspondance"/>
  </r>
  <r>
    <s v="Logs_Reseau_Part_06.xlsx"/>
    <d v="2023-10-03T07:40:00"/>
    <n v="7.9861111111111105E-2"/>
    <s v="ANT-0303"/>
    <n v="115"/>
    <s v="Non Résolu"/>
    <x v="2"/>
    <x v="1"/>
    <s v="Pas de correspondance"/>
  </r>
  <r>
    <s v="Logs_Reseau_Part_16.xlsx"/>
    <d v="2023-10-15T19:11:00"/>
    <n v="4.6527777777777779E-2"/>
    <s v="ANT-0305"/>
    <n v="67"/>
    <s v="Résolu"/>
    <x v="2"/>
    <x v="1"/>
    <s v="Pas de correspondance"/>
  </r>
  <r>
    <s v="Logs_Reseau_Part_21.xlsx"/>
    <d v="2023-10-21T02:12:00"/>
    <n v="6.0416666666666667E-2"/>
    <s v="ANT-0306"/>
    <n v="87"/>
    <s v="Non Résolu"/>
    <x v="2"/>
    <x v="1"/>
    <s v="Pas de correspondance"/>
  </r>
  <r>
    <s v="Logs_Reseau_Part_21.xlsx"/>
    <d v="2023-10-01T07:23:00"/>
    <n v="7.9166666666666663E-2"/>
    <s v="ANT-0306"/>
    <n v="114"/>
    <s v="Non Résolu"/>
    <x v="2"/>
    <x v="1"/>
    <s v="Pas de correspondance"/>
  </r>
  <r>
    <s v="Logs_Reseau_Part_13.xlsx"/>
    <d v="2023-10-20T07:14:00"/>
    <n v="4.5138888888888888E-2"/>
    <s v="ANT-0306"/>
    <n v="65"/>
    <s v="Résolu"/>
    <x v="2"/>
    <x v="1"/>
    <s v="Pas de correspondance"/>
  </r>
  <r>
    <s v="Logs_Reseau_Part_01.xlsx"/>
    <d v="2023-10-11T03:05:00"/>
    <n v="7.9861111111111105E-2"/>
    <s v="ANT-0306"/>
    <n v="115"/>
    <s v="Résolu"/>
    <x v="2"/>
    <x v="1"/>
    <s v="Pas de correspondance"/>
  </r>
  <r>
    <s v="Logs_Reseau_Part_20.xlsx"/>
    <d v="2023-10-03T10:38:00"/>
    <n v="3.6111111111111108E-2"/>
    <s v="ANT-0307"/>
    <n v="52"/>
    <s v="Non Résolu"/>
    <x v="2"/>
    <x v="1"/>
    <s v="Pas de correspondance"/>
  </r>
  <r>
    <s v="Logs_Reseau_Part_14.xlsx"/>
    <d v="2023-10-08T12:36:00"/>
    <n v="5.7638888888888892E-2"/>
    <s v="ANT-0308"/>
    <n v="83"/>
    <s v="Résolu"/>
    <x v="2"/>
    <x v="1"/>
    <s v="Pas de correspondance"/>
  </r>
  <r>
    <s v="Logs_Reseau_Part_22.xlsx"/>
    <d v="2023-10-01T14:17:00"/>
    <n v="4.791666666666667E-2"/>
    <s v="ANT-0309"/>
    <n v="69"/>
    <s v="En Cours"/>
    <x v="2"/>
    <x v="1"/>
    <s v="Pas de correspondance"/>
  </r>
  <r>
    <s v="Logs_Reseau_Part_17.xlsx"/>
    <d v="2023-10-31T13:52:00"/>
    <n v="6.7361111111111108E-2"/>
    <s v="ANT-0309"/>
    <n v="97"/>
    <s v="Résolu"/>
    <x v="2"/>
    <x v="1"/>
    <s v="Pas de correspondance"/>
  </r>
  <r>
    <s v="Logs_Reseau_Part_15.xlsx"/>
    <d v="2023-10-03T11:16:00"/>
    <n v="5.4166666666666669E-2"/>
    <s v="ANT-0311"/>
    <n v="78"/>
    <s v="Résolu"/>
    <x v="2"/>
    <x v="1"/>
    <s v="Pas de correspondance"/>
  </r>
  <r>
    <s v="Logs_Reseau_Part_23.xlsx"/>
    <d v="2023-10-14T18:30:00"/>
    <n v="7.6388888888888886E-3"/>
    <s v="ANT-0312"/>
    <n v="11"/>
    <s v="En Cours"/>
    <x v="2"/>
    <x v="1"/>
    <s v="Pas de correspondance"/>
  </r>
  <r>
    <s v="Logs_Reseau_Part_04.xlsx"/>
    <d v="2023-10-27T20:15:00"/>
    <n v="3.3333333333333333E-2"/>
    <s v="ANT-0314"/>
    <n v="48"/>
    <s v="Résolu"/>
    <x v="2"/>
    <x v="1"/>
    <s v="Pas de correspondance"/>
  </r>
  <r>
    <s v="Logs_Reseau_Part_01.xlsx"/>
    <d v="2023-10-03T06:58:00"/>
    <d v="1899-12-30T01:43:00"/>
    <s v="ANT-0315"/>
    <n v="103"/>
    <s v="Non Résolu"/>
    <x v="23"/>
    <x v="0"/>
    <s v="Huawei"/>
  </r>
  <r>
    <s v="Logs_Reseau_Part_02.xlsx"/>
    <d v="2023-10-15T19:36:00"/>
    <n v="6.3888888888888884E-2"/>
    <s v="ANT-0316"/>
    <n v="92"/>
    <s v="En Cours"/>
    <x v="2"/>
    <x v="1"/>
    <s v="Pas de correspondance"/>
  </r>
  <r>
    <s v="Logs_Reseau_Part_11.xlsx"/>
    <d v="2023-10-10T19:34:00"/>
    <n v="7.9861111111111105E-2"/>
    <s v="ANT-0316"/>
    <n v="115"/>
    <s v="En Cours"/>
    <x v="2"/>
    <x v="1"/>
    <s v="Pas de correspondance"/>
  </r>
  <r>
    <s v="Logs_Reseau_Part_19.xlsx"/>
    <d v="2023-10-08T20:18:00"/>
    <n v="8.3333333333333332E-3"/>
    <s v="ANT-0317"/>
    <n v="12"/>
    <s v="En Cours"/>
    <x v="2"/>
    <x v="1"/>
    <s v="Pas de correspondance"/>
  </r>
  <r>
    <s v="Logs_Reseau_Part_06.xlsx"/>
    <d v="2023-10-24T04:26:00"/>
    <n v="2.9166666666666667E-2"/>
    <s v="ANT-0317"/>
    <n v="42"/>
    <s v="Non Résolu"/>
    <x v="2"/>
    <x v="1"/>
    <s v="Pas de correspondance"/>
  </r>
  <r>
    <s v="Logs_Reseau_Part_08.xlsx"/>
    <d v="2023-10-15T21:27:00"/>
    <n v="4.1666666666666664E-2"/>
    <s v="ANT-0318"/>
    <n v="60"/>
    <s v="Non Résolu"/>
    <x v="2"/>
    <x v="1"/>
    <s v="Pas de correspondance"/>
  </r>
  <r>
    <s v="Logs_Reseau_Part_11.xlsx"/>
    <d v="2023-10-31T04:27:00"/>
    <n v="2.1527777777777778E-2"/>
    <s v="ANT-0321"/>
    <n v="31"/>
    <s v="Non Résolu"/>
    <x v="2"/>
    <x v="1"/>
    <s v="Pas de correspondance"/>
  </r>
  <r>
    <s v="Logs_Reseau_Part_03.xlsx"/>
    <d v="2023-10-19T08:02:00"/>
    <n v="5.9027777777777776E-2"/>
    <s v="ANT-0325"/>
    <n v="85"/>
    <s v="En Cours"/>
    <x v="2"/>
    <x v="1"/>
    <s v="Pas de correspondance"/>
  </r>
  <r>
    <s v="Logs_Reseau_Part_17.xlsx"/>
    <d v="2023-10-26T03:06:00"/>
    <n v="2.5000000000000001E-2"/>
    <s v="ANT-0325"/>
    <n v="36"/>
    <s v="En Cours"/>
    <x v="2"/>
    <x v="1"/>
    <s v="Pas de correspondance"/>
  </r>
  <r>
    <s v="Logs_Reseau_Part_19.xlsx"/>
    <d v="2023-10-31T12:54:00"/>
    <n v="2.2916666666666665E-2"/>
    <s v="ANT-0326"/>
    <n v="33"/>
    <s v="Non Résolu"/>
    <x v="2"/>
    <x v="1"/>
    <s v="Pas de correspondance"/>
  </r>
  <r>
    <s v="Logs_Reseau_Part_24.xlsx"/>
    <d v="2023-10-26T09:13:00"/>
    <n v="2.9166666666666667E-2"/>
    <s v="ANT-0326"/>
    <n v="42"/>
    <s v="Résolu"/>
    <x v="2"/>
    <x v="1"/>
    <s v="Pas de correspondance"/>
  </r>
  <r>
    <s v="Logs_Reseau_Part_12.xlsx"/>
    <d v="2023-10-17T12:20:00"/>
    <n v="5.0694444444444445E-2"/>
    <s v="ANT-0329"/>
    <n v="73"/>
    <s v="Non Résolu"/>
    <x v="2"/>
    <x v="1"/>
    <s v="Pas de correspondance"/>
  </r>
  <r>
    <s v="Logs_Reseau_Part_07.xlsx"/>
    <d v="2023-10-23T11:13:00"/>
    <n v="7.2222222222222215E-2"/>
    <s v="ANT-0330"/>
    <n v="104"/>
    <s v="En Cours"/>
    <x v="2"/>
    <x v="1"/>
    <s v="Pas de correspondance"/>
  </r>
  <r>
    <s v="Logs_Reseau_Part_24.xlsx"/>
    <d v="2023-10-22T11:58:00"/>
    <n v="8.0555555555555561E-2"/>
    <s v="ANT-0331"/>
    <n v="116"/>
    <s v="Non Résolu"/>
    <x v="2"/>
    <x v="1"/>
    <s v="Pas de correspondance"/>
  </r>
  <r>
    <s v="Logs_Reseau_Part_01.xlsx"/>
    <d v="2023-10-22T20:04:00"/>
    <d v="1899-12-30T00:06:00"/>
    <s v="ANT-0332"/>
    <n v="6"/>
    <s v="En Cours"/>
    <x v="7"/>
    <x v="0"/>
    <s v="Huawei"/>
  </r>
  <r>
    <s v="Logs_Reseau_Part_05.xlsx"/>
    <d v="2023-10-06T01:16:00"/>
    <d v="1899-12-30T01:42:00"/>
    <s v="ANT-0332"/>
    <n v="102"/>
    <s v="Non Résolu"/>
    <x v="7"/>
    <x v="0"/>
    <s v="Huawei"/>
  </r>
  <r>
    <s v="Logs_Reseau_Part_21.xlsx"/>
    <d v="2023-10-28T16:56:00"/>
    <n v="7.4999999999999997E-2"/>
    <s v="ANT-0333"/>
    <n v="108"/>
    <s v="Non Résolu"/>
    <x v="2"/>
    <x v="1"/>
    <s v="Pas de correspondance"/>
  </r>
  <r>
    <s v="Logs_Reseau_Part_08.xlsx"/>
    <d v="2023-10-28T17:23:00"/>
    <n v="1.3888888888888888E-2"/>
    <s v="ANT-0333"/>
    <n v="20"/>
    <s v="Résolu"/>
    <x v="2"/>
    <x v="1"/>
    <s v="Pas de correspondance"/>
  </r>
  <r>
    <s v="Logs_Reseau_Part_07.xlsx"/>
    <d v="2023-10-05T18:13:00"/>
    <n v="7.2916666666666671E-2"/>
    <s v="ANT-0333"/>
    <n v="105"/>
    <s v="En Cours"/>
    <x v="2"/>
    <x v="1"/>
    <s v="Pas de correspondance"/>
  </r>
  <r>
    <s v="Logs_Reseau_Part_15.xlsx"/>
    <d v="2023-10-25T23:08:00"/>
    <n v="5.7638888888888892E-2"/>
    <s v="ANT-0334"/>
    <n v="83"/>
    <s v="Non Résolu"/>
    <x v="2"/>
    <x v="1"/>
    <s v="Pas de correspondance"/>
  </r>
  <r>
    <s v="Logs_Reseau_Part_06.xlsx"/>
    <d v="2023-10-22T09:14:00"/>
    <n v="6.3888888888888884E-2"/>
    <s v="ANT-0335"/>
    <n v="92"/>
    <s v="Non Résolu"/>
    <x v="2"/>
    <x v="1"/>
    <s v="Pas de correspondance"/>
  </r>
  <r>
    <s v="Logs_Reseau_Part_11.xlsx"/>
    <d v="2023-10-15T14:43:00"/>
    <n v="4.2361111111111113E-2"/>
    <s v="ANT-0336"/>
    <n v="61"/>
    <s v="En Cours"/>
    <x v="2"/>
    <x v="1"/>
    <s v="Pas de correspondance"/>
  </r>
  <r>
    <s v="Logs_Reseau_Part_25.xlsx"/>
    <d v="2023-10-20T02:18:00"/>
    <d v="1899-12-30T01:53:00"/>
    <s v="ANT-0339"/>
    <n v="113"/>
    <s v="En Cours"/>
    <x v="3"/>
    <x v="2"/>
    <s v="ZTE"/>
  </r>
  <r>
    <s v="Logs_Reseau_Part_24.xlsx"/>
    <d v="2023-10-15T04:08:00"/>
    <d v="1899-12-30T00:06:00"/>
    <s v="ANT-0339"/>
    <n v="6"/>
    <s v="Résolu"/>
    <x v="3"/>
    <x v="2"/>
    <s v="ZTE"/>
  </r>
  <r>
    <s v="Logs_Reseau_Part_04.xlsx"/>
    <d v="2023-10-29T14:45:00"/>
    <d v="1899-12-30T00:48:00"/>
    <s v="ANT-0339"/>
    <n v="48"/>
    <s v="Non Résolu"/>
    <x v="3"/>
    <x v="2"/>
    <s v="ZTE"/>
  </r>
  <r>
    <s v="Logs_Reseau_Part_12.xlsx"/>
    <d v="2023-10-23T18:19:00"/>
    <d v="1899-12-30T01:31:00"/>
    <s v="ANT-0339"/>
    <n v="91"/>
    <s v="En Cours"/>
    <x v="3"/>
    <x v="2"/>
    <s v="ZTE"/>
  </r>
  <r>
    <s v="Logs_Reseau_Part_23.xlsx"/>
    <d v="2023-10-04T13:42:00"/>
    <n v="4.7222222222222221E-2"/>
    <s v="ANT-0340"/>
    <n v="68"/>
    <s v="En Cours"/>
    <x v="2"/>
    <x v="1"/>
    <s v="Pas de correspondance"/>
  </r>
  <r>
    <s v="Logs_Reseau_Part_02.xlsx"/>
    <d v="2023-10-30T07:10:00"/>
    <n v="5.1388888888888887E-2"/>
    <s v="ANT-0342"/>
    <n v="74"/>
    <s v="En Cours"/>
    <x v="2"/>
    <x v="1"/>
    <s v="Pas de correspondance"/>
  </r>
  <r>
    <s v="Logs_Reseau_Part_08.xlsx"/>
    <d v="2023-10-12T13:07:00"/>
    <n v="7.9861111111111105E-2"/>
    <s v="ANT-0342"/>
    <n v="115"/>
    <s v="Résolu"/>
    <x v="2"/>
    <x v="1"/>
    <s v="Pas de correspondance"/>
  </r>
  <r>
    <s v="Logs_Reseau_Part_21.xlsx"/>
    <d v="2023-10-26T05:04:00"/>
    <n v="2.2916666666666665E-2"/>
    <s v="ANT-0345"/>
    <n v="33"/>
    <s v="Non Résolu"/>
    <x v="2"/>
    <x v="1"/>
    <s v="Pas de correspondance"/>
  </r>
  <r>
    <s v="Logs_Reseau_Part_08.xlsx"/>
    <d v="2023-10-14T08:13:00"/>
    <d v="1899-12-30T01:03:00"/>
    <s v="ANT-0348"/>
    <n v="63"/>
    <s v="Non Résolu"/>
    <x v="19"/>
    <x v="2"/>
    <s v="Nokia"/>
  </r>
  <r>
    <s v="Logs_Reseau_Part_23.xlsx"/>
    <d v="2023-10-03T08:41:00"/>
    <n v="1.0416666666666666E-2"/>
    <s v="ANT-0350"/>
    <n v="15"/>
    <s v="Non Résolu"/>
    <x v="2"/>
    <x v="1"/>
    <s v="Pas de correspondance"/>
  </r>
  <r>
    <s v="Logs_Reseau_Part_20.xlsx"/>
    <d v="2023-10-11T23:04:00"/>
    <d v="1899-12-30T01:06:00"/>
    <s v="ANT-0353"/>
    <n v="66"/>
    <s v="Résolu"/>
    <x v="8"/>
    <x v="2"/>
    <s v="ZTE"/>
  </r>
  <r>
    <s v="Logs_Reseau_Part_04.xlsx"/>
    <d v="2023-10-21T10:00:00"/>
    <d v="1899-12-30T00:32:00"/>
    <s v="ANT-0353"/>
    <n v="32"/>
    <s v="Non Résolu"/>
    <x v="8"/>
    <x v="2"/>
    <s v="ZTE"/>
  </r>
  <r>
    <s v="Logs_Reseau_Part_13.xlsx"/>
    <d v="2023-10-27T17:57:00"/>
    <n v="3.6111111111111108E-2"/>
    <s v="ANT-0355"/>
    <n v="52"/>
    <s v="Non Résolu"/>
    <x v="2"/>
    <x v="1"/>
    <s v="Pas de correspondance"/>
  </r>
  <r>
    <s v="Logs_Reseau_Part_13.xlsx"/>
    <d v="2023-10-16T10:59:00"/>
    <d v="1899-12-30T01:40:00"/>
    <s v="ANT-0357"/>
    <n v="100"/>
    <s v="Résolu"/>
    <x v="24"/>
    <x v="2"/>
    <s v="Nokia"/>
  </r>
  <r>
    <s v="Logs_Reseau_Part_16.xlsx"/>
    <d v="2023-10-04T07:19:00"/>
    <d v="1899-12-30T01:46:00"/>
    <s v="ANT-0357"/>
    <n v="106"/>
    <s v="Non Résolu"/>
    <x v="24"/>
    <x v="2"/>
    <s v="Nokia"/>
  </r>
  <r>
    <s v="Logs_Reseau_Part_10.xlsx"/>
    <d v="2023-10-02T07:26:00"/>
    <n v="3.888888888888889E-2"/>
    <s v="ANT-0360"/>
    <n v="56"/>
    <s v="En Cours"/>
    <x v="2"/>
    <x v="1"/>
    <s v="Pas de correspondance"/>
  </r>
  <r>
    <s v="Logs_Reseau_Part_19.xlsx"/>
    <d v="2023-10-09T02:01:00"/>
    <n v="3.4722222222222224E-2"/>
    <s v="ANT-0361"/>
    <n v="50"/>
    <s v="Non Résolu"/>
    <x v="2"/>
    <x v="1"/>
    <s v="Pas de correspondance"/>
  </r>
  <r>
    <s v="Logs_Reseau_Part_10.xlsx"/>
    <d v="2023-10-23T04:18:00"/>
    <d v="1899-12-30T00:28:00"/>
    <s v="ANT-0362"/>
    <n v="28"/>
    <s v="Non Résolu"/>
    <x v="8"/>
    <x v="3"/>
    <s v="Huawei"/>
  </r>
  <r>
    <s v="Logs_Reseau_Part_14.xlsx"/>
    <d v="2023-10-15T17:41:00"/>
    <d v="1899-12-30T00:34:00"/>
    <s v="ANT-0363"/>
    <n v="34"/>
    <s v="En Cours"/>
    <x v="25"/>
    <x v="3"/>
    <s v="ZTE"/>
  </r>
  <r>
    <s v="Logs_Reseau_Part_25.xlsx"/>
    <d v="2023-10-25T14:24:00"/>
    <n v="4.8611111111111112E-2"/>
    <s v="ANT-0366"/>
    <n v="70"/>
    <s v="En Cours"/>
    <x v="2"/>
    <x v="1"/>
    <s v="Pas de correspondance"/>
  </r>
  <r>
    <s v="Logs_Reseau_Part_24.xlsx"/>
    <d v="2023-10-07T08:48:00"/>
    <n v="2.0833333333333332E-2"/>
    <s v="ANT-0367"/>
    <n v="30"/>
    <s v="En Cours"/>
    <x v="2"/>
    <x v="1"/>
    <s v="Pas de correspondance"/>
  </r>
  <r>
    <s v="Logs_Reseau_Part_19.xlsx"/>
    <d v="2023-10-26T04:07:00"/>
    <d v="1899-12-30T01:44:00"/>
    <s v="ANT-0368"/>
    <n v="104"/>
    <s v="Non Résolu"/>
    <x v="21"/>
    <x v="2"/>
    <s v="Huawei"/>
  </r>
  <r>
    <s v="Logs_Reseau_Part_17.xlsx"/>
    <d v="2023-10-16T02:14:00"/>
    <d v="1899-12-30T01:27:00"/>
    <s v="ANT-0370"/>
    <n v="87"/>
    <s v="Résolu"/>
    <x v="11"/>
    <x v="0"/>
    <s v="Ericsson"/>
  </r>
  <r>
    <s v="Logs_Reseau_Part_08.xlsx"/>
    <d v="2023-10-11T11:00:00"/>
    <d v="1899-12-30T01:35:00"/>
    <s v="ANT-0371"/>
    <n v="95"/>
    <s v="Non Résolu"/>
    <x v="5"/>
    <x v="0"/>
    <s v="Huawei"/>
  </r>
  <r>
    <s v="Logs_Reseau_Part_05.xlsx"/>
    <d v="2023-10-03T05:15:00"/>
    <d v="1899-12-30T01:26:00"/>
    <s v="ANT-0371"/>
    <n v="86"/>
    <s v="En Cours"/>
    <x v="5"/>
    <x v="0"/>
    <s v="Huawei"/>
  </r>
  <r>
    <s v="Logs_Reseau_Part_01.xlsx"/>
    <d v="2023-10-18T07:43:00"/>
    <n v="8.1944444444444445E-2"/>
    <s v="ANT-0372"/>
    <n v="118"/>
    <s v="Non Résolu"/>
    <x v="2"/>
    <x v="1"/>
    <s v="Pas de correspondance"/>
  </r>
  <r>
    <s v="Logs_Reseau_Part_23.xlsx"/>
    <d v="2023-10-11T00:45:00"/>
    <d v="1899-12-30T01:03:00"/>
    <s v="ANT-0373"/>
    <n v="63"/>
    <s v="En Cours"/>
    <x v="26"/>
    <x v="2"/>
    <s v="Ericsson"/>
  </r>
  <r>
    <s v="Logs_Reseau_Part_10.xlsx"/>
    <d v="2023-10-08T23:42:00"/>
    <d v="1899-12-30T00:15:00"/>
    <s v="ANT-0373"/>
    <n v="15"/>
    <s v="Non Résolu"/>
    <x v="26"/>
    <x v="2"/>
    <s v="Ericsson"/>
  </r>
  <r>
    <s v="Logs_Reseau_Part_15.xlsx"/>
    <d v="2023-10-25T19:38:00"/>
    <n v="3.472222222222222E-3"/>
    <s v="ANT-0374"/>
    <n v="5"/>
    <s v="En Cours"/>
    <x v="2"/>
    <x v="1"/>
    <s v="Pas de correspondance"/>
  </r>
  <r>
    <s v="Logs_Reseau_Part_06.xlsx"/>
    <d v="2023-10-03T10:54:00"/>
    <n v="6.1805555555555558E-2"/>
    <s v="ANT-0374"/>
    <n v="89"/>
    <s v="En Cours"/>
    <x v="2"/>
    <x v="1"/>
    <s v="Pas de correspondance"/>
  </r>
  <r>
    <s v="Logs_Reseau_Part_06.xlsx"/>
    <d v="2023-10-26T05:10:00"/>
    <d v="1899-12-30T00:41:00"/>
    <s v="ANT-0375"/>
    <n v="41"/>
    <s v="En Cours"/>
    <x v="1"/>
    <x v="0"/>
    <s v="Huawei"/>
  </r>
  <r>
    <s v="Logs_Reseau_Part_16.xlsx"/>
    <d v="2023-10-26T12:40:00"/>
    <n v="4.1666666666666666E-3"/>
    <s v="ANT-0376"/>
    <n v="6"/>
    <s v="Non Résolu"/>
    <x v="2"/>
    <x v="1"/>
    <s v="Pas de correspondance"/>
  </r>
  <r>
    <s v="Logs_Reseau_Part_09.xlsx"/>
    <d v="2023-10-26T18:41:00"/>
    <n v="6.1805555555555558E-2"/>
    <s v="ANT-0377"/>
    <n v="89"/>
    <s v="Résolu"/>
    <x v="2"/>
    <x v="1"/>
    <s v="Pas de correspondance"/>
  </r>
  <r>
    <s v="Logs_Reseau_Part_04.xlsx"/>
    <d v="2023-10-26T03:50:00"/>
    <n v="7.8472222222222221E-2"/>
    <s v="ANT-0378"/>
    <n v="113"/>
    <s v="Résolu"/>
    <x v="2"/>
    <x v="1"/>
    <s v="Pas de correspondance"/>
  </r>
  <r>
    <s v="Logs_Reseau_Part_02.xlsx"/>
    <d v="2023-10-17T10:59:00"/>
    <d v="1899-12-30T00:39:00"/>
    <s v="ANT-0379"/>
    <n v="39"/>
    <s v="Résolu"/>
    <x v="12"/>
    <x v="0"/>
    <s v="Ericsson"/>
  </r>
  <r>
    <s v="Logs_Reseau_Part_09.xlsx"/>
    <d v="2023-10-05T21:44:00"/>
    <d v="1899-12-30T01:01:00"/>
    <s v="ANT-0381"/>
    <n v="61"/>
    <s v="Résolu"/>
    <x v="3"/>
    <x v="2"/>
    <s v="Ericsson"/>
  </r>
  <r>
    <s v="Logs_Reseau_Part_18.xlsx"/>
    <d v="2023-10-16T18:10:00"/>
    <n v="1.6666666666666666E-2"/>
    <s v="ANT-0382"/>
    <n v="24"/>
    <s v="En Cours"/>
    <x v="2"/>
    <x v="1"/>
    <s v="Pas de correspondance"/>
  </r>
  <r>
    <s v="Logs_Reseau_Part_14.xlsx"/>
    <d v="2023-10-25T10:58:00"/>
    <n v="2.2222222222222223E-2"/>
    <s v="ANT-0383"/>
    <n v="32"/>
    <s v="Résolu"/>
    <x v="2"/>
    <x v="1"/>
    <s v="Pas de correspondance"/>
  </r>
  <r>
    <s v="Logs_Reseau_Part_01.xlsx"/>
    <d v="2023-10-21T19:56:00"/>
    <n v="4.0972222222222222E-2"/>
    <s v="ANT-0383"/>
    <n v="59"/>
    <s v="En Cours"/>
    <x v="2"/>
    <x v="1"/>
    <s v="Pas de correspondance"/>
  </r>
  <r>
    <s v="Logs_Reseau_Part_21.xlsx"/>
    <d v="2023-10-09T15:54:00"/>
    <n v="7.2222222222222215E-2"/>
    <s v="ANT-0384"/>
    <n v="104"/>
    <s v="En Cours"/>
    <x v="2"/>
    <x v="1"/>
    <s v="Pas de correspondance"/>
  </r>
  <r>
    <s v="Logs_Reseau_Part_15.xlsx"/>
    <d v="2023-10-26T22:46:00"/>
    <d v="1899-12-30T00:30:00"/>
    <s v="ANT-0386"/>
    <n v="30"/>
    <s v="Résolu"/>
    <x v="26"/>
    <x v="0"/>
    <s v="Ericsson"/>
  </r>
  <r>
    <s v="Logs_Reseau_Part_24.xlsx"/>
    <d v="2023-10-17T23:03:00"/>
    <d v="1899-12-30T00:41:00"/>
    <s v="ANT-0387"/>
    <n v="41"/>
    <s v="Non Résolu"/>
    <x v="1"/>
    <x v="3"/>
    <s v="Huawei"/>
  </r>
  <r>
    <s v="Logs_Reseau_Part_13.xlsx"/>
    <d v="2023-10-08T21:48:00"/>
    <n v="7.1527777777777773E-2"/>
    <s v="ANT-0389"/>
    <n v="103"/>
    <s v="Résolu"/>
    <x v="2"/>
    <x v="1"/>
    <s v="Pas de correspondance"/>
  </r>
  <r>
    <s v="Logs_Reseau_Part_22.xlsx"/>
    <d v="2023-10-02T20:37:00"/>
    <n v="1.8055555555555554E-2"/>
    <s v="ANT-0390"/>
    <n v="26"/>
    <s v="Non Résolu"/>
    <x v="2"/>
    <x v="1"/>
    <s v="Pas de correspondance"/>
  </r>
  <r>
    <s v="Logs_Reseau_Part_07.xlsx"/>
    <d v="2023-10-03T17:13:00"/>
    <d v="1899-12-30T01:55:00"/>
    <s v="ANT-0391"/>
    <n v="115"/>
    <s v="En Cours"/>
    <x v="24"/>
    <x v="2"/>
    <s v="Ericsson"/>
  </r>
  <r>
    <s v="Logs_Reseau_Part_09.xlsx"/>
    <d v="2023-10-06T11:23:00"/>
    <d v="1899-12-30T00:25:00"/>
    <s v="ANT-0392"/>
    <n v="25"/>
    <s v="Résolu"/>
    <x v="22"/>
    <x v="2"/>
    <s v="Huawei"/>
  </r>
  <r>
    <s v="Logs_Reseau_Part_11.xlsx"/>
    <d v="2023-10-26T15:01:00"/>
    <d v="1899-12-30T01:48:00"/>
    <s v="ANT-0394"/>
    <n v="108"/>
    <s v="En Cours"/>
    <x v="16"/>
    <x v="2"/>
    <s v="ZTE"/>
  </r>
  <r>
    <s v="Logs_Reseau_Part_17.xlsx"/>
    <d v="2023-10-10T23:44:00"/>
    <n v="5.5555555555555552E-2"/>
    <s v="ANT-0396"/>
    <n v="80"/>
    <s v="Non Résolu"/>
    <x v="2"/>
    <x v="1"/>
    <s v="Pas de correspondance"/>
  </r>
  <r>
    <s v="Logs_Reseau_Part_17.xlsx"/>
    <d v="2023-10-10T04:24:00"/>
    <n v="5.6250000000000001E-2"/>
    <s v="ANT-0397"/>
    <n v="81"/>
    <s v="Non Résolu"/>
    <x v="2"/>
    <x v="1"/>
    <s v="Pas de correspondance"/>
  </r>
  <r>
    <s v="Logs_Reseau_Part_20.xlsx"/>
    <d v="2023-10-24T13:10:00"/>
    <n v="1.3194444444444444E-2"/>
    <s v="ANT-0397"/>
    <n v="19"/>
    <s v="Non Résolu"/>
    <x v="2"/>
    <x v="1"/>
    <s v="Pas de correspondance"/>
  </r>
  <r>
    <s v="Logs_Reseau_Part_17.xlsx"/>
    <d v="2023-10-21T14:01:00"/>
    <d v="1899-12-30T01:32:00"/>
    <s v="ANT-0402"/>
    <n v="92"/>
    <s v="En Cours"/>
    <x v="0"/>
    <x v="0"/>
    <s v="Nokia"/>
  </r>
  <r>
    <s v="Logs_Reseau_Part_15.xlsx"/>
    <d v="2023-10-03T10:38:00"/>
    <n v="2.9861111111111113E-2"/>
    <s v="ANT-0403"/>
    <n v="43"/>
    <s v="Résolu"/>
    <x v="2"/>
    <x v="1"/>
    <s v="Pas de correspondance"/>
  </r>
  <r>
    <s v="Logs_Reseau_Part_11.xlsx"/>
    <d v="2023-10-20T10:53:00"/>
    <n v="3.6111111111111108E-2"/>
    <s v="ANT-0403"/>
    <n v="52"/>
    <s v="Non Résolu"/>
    <x v="2"/>
    <x v="1"/>
    <s v="Pas de correspondance"/>
  </r>
  <r>
    <s v="Logs_Reseau_Part_13.xlsx"/>
    <d v="2023-10-10T18:46:00"/>
    <n v="6.9444444444444441E-3"/>
    <s v="ANT-0403"/>
    <n v="10"/>
    <s v="Non Résolu"/>
    <x v="2"/>
    <x v="1"/>
    <s v="Pas de correspondance"/>
  </r>
  <r>
    <s v="Logs_Reseau_Part_18.xlsx"/>
    <d v="2023-10-21T13:14:00"/>
    <n v="4.1666666666666666E-3"/>
    <s v="ANT-0404"/>
    <n v="6"/>
    <s v="Résolu"/>
    <x v="2"/>
    <x v="1"/>
    <s v="Pas de correspondance"/>
  </r>
  <r>
    <s v="Logs_Reseau_Part_20.xlsx"/>
    <d v="2023-10-01T13:41:00"/>
    <d v="1899-12-30T00:53:00"/>
    <s v="ANT-0405"/>
    <n v="53"/>
    <s v="En Cours"/>
    <x v="21"/>
    <x v="0"/>
    <s v="ZTE"/>
  </r>
  <r>
    <s v="Logs_Reseau_Part_08.xlsx"/>
    <d v="2023-10-06T19:03:00"/>
    <n v="6.8750000000000006E-2"/>
    <s v="ANT-0406"/>
    <n v="99"/>
    <s v="Non Résolu"/>
    <x v="2"/>
    <x v="1"/>
    <s v="Pas de correspondance"/>
  </r>
  <r>
    <s v="Logs_Reseau_Part_14.xlsx"/>
    <d v="2023-10-16T14:06:00"/>
    <d v="1899-12-30T00:24:00"/>
    <s v="ANT-0407"/>
    <n v="24"/>
    <s v="Non Résolu"/>
    <x v="17"/>
    <x v="2"/>
    <s v="ZTE"/>
  </r>
  <r>
    <s v="Logs_Reseau_Part_21.xlsx"/>
    <d v="2023-10-16T01:11:00"/>
    <d v="1899-12-30T00:33:00"/>
    <s v="ANT-0407"/>
    <n v="33"/>
    <s v="Non Résolu"/>
    <x v="17"/>
    <x v="2"/>
    <s v="ZTE"/>
  </r>
  <r>
    <s v="Logs_Reseau_Part_08.xlsx"/>
    <d v="2023-10-24T10:49:00"/>
    <d v="1899-12-30T00:14:00"/>
    <s v="ANT-0411"/>
    <n v="14"/>
    <s v="En Cours"/>
    <x v="18"/>
    <x v="3"/>
    <s v="Huawei"/>
  </r>
  <r>
    <s v="Logs_Reseau_Part_23.xlsx"/>
    <d v="2023-10-28T04:42:00"/>
    <d v="1899-12-30T01:53:00"/>
    <s v="ANT-0414"/>
    <n v="113"/>
    <s v="Non Résolu"/>
    <x v="8"/>
    <x v="3"/>
    <s v="Nokia"/>
  </r>
  <r>
    <s v="Logs_Reseau_Part_05.xlsx"/>
    <d v="2023-10-21T21:03:00"/>
    <d v="1899-12-30T01:18:00"/>
    <s v="ANT-0414"/>
    <n v="78"/>
    <s v="Résolu"/>
    <x v="8"/>
    <x v="3"/>
    <s v="Nokia"/>
  </r>
  <r>
    <s v="Logs_Reseau_Part_08.xlsx"/>
    <d v="2023-10-19T16:13:00"/>
    <d v="1899-12-30T00:37:00"/>
    <s v="ANT-0415"/>
    <n v="37"/>
    <s v="En Cours"/>
    <x v="19"/>
    <x v="0"/>
    <s v="Ericsson"/>
  </r>
  <r>
    <s v="Logs_Reseau_Part_04.xlsx"/>
    <d v="2023-10-22T12:25:00"/>
    <d v="1899-12-30T01:23:00"/>
    <s v="ANT-0415"/>
    <n v="83"/>
    <s v="En Cours"/>
    <x v="19"/>
    <x v="0"/>
    <s v="Ericsson"/>
  </r>
  <r>
    <s v="Logs_Reseau_Part_14.xlsx"/>
    <d v="2023-10-14T01:36:00"/>
    <d v="1899-12-30T01:03:00"/>
    <s v="ANT-0416"/>
    <n v="63"/>
    <s v="Résolu"/>
    <x v="16"/>
    <x v="3"/>
    <s v="Huawei"/>
  </r>
  <r>
    <s v="Logs_Reseau_Part_10.xlsx"/>
    <d v="2023-10-12T02:22:00"/>
    <d v="1899-12-30T00:59:00"/>
    <s v="ANT-0416"/>
    <n v="59"/>
    <s v="En Cours"/>
    <x v="16"/>
    <x v="3"/>
    <s v="Huawei"/>
  </r>
  <r>
    <s v="Logs_Reseau_Part_12.xlsx"/>
    <d v="2023-10-20T12:09:00"/>
    <d v="1899-12-30T00:41:00"/>
    <s v="ANT-0417"/>
    <n v="41"/>
    <s v="Non Résolu"/>
    <x v="18"/>
    <x v="2"/>
    <s v="Huawei"/>
  </r>
  <r>
    <s v="Logs_Reseau_Part_04.xlsx"/>
    <d v="2023-10-27T02:30:00"/>
    <d v="1899-12-30T01:50:00"/>
    <s v="ANT-0417"/>
    <n v="110"/>
    <s v="Non Résolu"/>
    <x v="18"/>
    <x v="2"/>
    <s v="Huawei"/>
  </r>
  <r>
    <s v="Logs_Reseau_Part_15.xlsx"/>
    <d v="2023-10-06T04:17:00"/>
    <d v="1899-12-30T00:42:00"/>
    <s v="ANT-0419"/>
    <n v="42"/>
    <s v="Non Résolu"/>
    <x v="16"/>
    <x v="3"/>
    <s v="ZTE"/>
  </r>
  <r>
    <s v="Logs_Reseau_Part_14.xlsx"/>
    <d v="2023-10-13T16:20:00"/>
    <n v="4.3749999999999997E-2"/>
    <s v="ANT-0422"/>
    <n v="63"/>
    <s v="Résolu"/>
    <x v="2"/>
    <x v="1"/>
    <s v="Pas de correspondance"/>
  </r>
  <r>
    <s v="Logs_Reseau_Part_23.xlsx"/>
    <d v="2023-10-21T05:21:00"/>
    <d v="1899-12-30T01:05:00"/>
    <s v="ANT-0423"/>
    <n v="65"/>
    <s v="En Cours"/>
    <x v="5"/>
    <x v="0"/>
    <s v="Huawei"/>
  </r>
  <r>
    <s v="Logs_Reseau_Part_18.xlsx"/>
    <d v="2023-10-23T18:40:00"/>
    <d v="1899-12-30T01:42:00"/>
    <s v="ANT-0423"/>
    <n v="102"/>
    <s v="En Cours"/>
    <x v="5"/>
    <x v="0"/>
    <s v="Huawei"/>
  </r>
  <r>
    <s v="Logs_Reseau_Part_12.xlsx"/>
    <d v="2023-10-17T17:31:00"/>
    <d v="1899-12-30T01:18:00"/>
    <s v="ANT-0424"/>
    <n v="78"/>
    <s v="Non Résolu"/>
    <x v="20"/>
    <x v="3"/>
    <s v="Ericsson"/>
  </r>
  <r>
    <s v="Logs_Reseau_Part_05.xlsx"/>
    <d v="2023-10-10T18:39:00"/>
    <d v="1899-12-30T00:40:00"/>
    <s v="ANT-0424"/>
    <n v="40"/>
    <s v="En Cours"/>
    <x v="20"/>
    <x v="3"/>
    <s v="Ericsson"/>
  </r>
  <r>
    <s v="Logs_Reseau_Part_20.xlsx"/>
    <d v="2023-10-31T02:52:00"/>
    <d v="1899-12-30T00:08:00"/>
    <s v="ANT-0424"/>
    <n v="8"/>
    <s v="Non Résolu"/>
    <x v="20"/>
    <x v="3"/>
    <s v="Ericsson"/>
  </r>
  <r>
    <s v="Logs_Reseau_Part_06.xlsx"/>
    <d v="2023-10-04T20:45:00"/>
    <n v="6.9444444444444448E-2"/>
    <s v="ANT-0426"/>
    <n v="100"/>
    <s v="En Cours"/>
    <x v="2"/>
    <x v="1"/>
    <s v="Pas de correspondance"/>
  </r>
  <r>
    <s v="Logs_Reseau_Part_22.xlsx"/>
    <d v="2023-10-09T18:18:00"/>
    <n v="7.013888888888889E-2"/>
    <s v="ANT-0427"/>
    <n v="101"/>
    <s v="Résolu"/>
    <x v="2"/>
    <x v="1"/>
    <s v="Pas de correspondance"/>
  </r>
  <r>
    <s v="Logs_Reseau_Part_08.xlsx"/>
    <d v="2023-10-14T23:03:00"/>
    <n v="7.1527777777777773E-2"/>
    <s v="ANT-0428"/>
    <n v="103"/>
    <s v="Non Résolu"/>
    <x v="2"/>
    <x v="1"/>
    <s v="Pas de correspondance"/>
  </r>
  <r>
    <s v="Logs_Reseau_Part_09.xlsx"/>
    <d v="2023-10-20T01:50:00"/>
    <n v="6.458333333333334E-2"/>
    <s v="ANT-0429"/>
    <n v="93"/>
    <s v="En Cours"/>
    <x v="2"/>
    <x v="1"/>
    <s v="Pas de correspondance"/>
  </r>
  <r>
    <s v="Logs_Reseau_Part_20.xlsx"/>
    <d v="2023-10-18T12:06:00"/>
    <n v="3.8194444444444448E-2"/>
    <s v="ANT-0429"/>
    <n v="55"/>
    <s v="En Cours"/>
    <x v="2"/>
    <x v="1"/>
    <s v="Pas de correspondance"/>
  </r>
  <r>
    <s v="Logs_Reseau_Part_11.xlsx"/>
    <d v="2023-10-18T04:39:00"/>
    <n v="3.888888888888889E-2"/>
    <s v="ANT-0429"/>
    <n v="56"/>
    <s v="Résolu"/>
    <x v="2"/>
    <x v="1"/>
    <s v="Pas de correspondance"/>
  </r>
  <r>
    <s v="Logs_Reseau_Part_18.xlsx"/>
    <d v="2023-10-14T03:29:00"/>
    <d v="1899-12-30T01:45:00"/>
    <s v="ANT-0430"/>
    <n v="105"/>
    <s v="Non Résolu"/>
    <x v="25"/>
    <x v="0"/>
    <s v="ZTE"/>
  </r>
  <r>
    <s v="Logs_Reseau_Part_13.xlsx"/>
    <d v="2023-10-01T12:16:00"/>
    <d v="1899-12-30T00:22:00"/>
    <s v="ANT-0430"/>
    <n v="22"/>
    <s v="En Cours"/>
    <x v="25"/>
    <x v="0"/>
    <s v="ZTE"/>
  </r>
  <r>
    <s v="Logs_Reseau_Part_22.xlsx"/>
    <d v="2023-10-07T05:36:00"/>
    <d v="1899-12-30T00:26:00"/>
    <s v="ANT-0431"/>
    <n v="26"/>
    <s v="En Cours"/>
    <x v="1"/>
    <x v="0"/>
    <s v="Huawei"/>
  </r>
  <r>
    <s v="Logs_Reseau_Part_02.xlsx"/>
    <d v="2023-10-06T08:29:00"/>
    <d v="1899-12-30T00:52:00"/>
    <s v="ANT-0434"/>
    <n v="52"/>
    <s v="Non Résolu"/>
    <x v="24"/>
    <x v="3"/>
    <s v="Nokia"/>
  </r>
  <r>
    <s v="Logs_Reseau_Part_13.xlsx"/>
    <d v="2023-10-16T17:51:00"/>
    <n v="7.1527777777777773E-2"/>
    <s v="ANT-0435"/>
    <n v="103"/>
    <s v="Résolu"/>
    <x v="2"/>
    <x v="1"/>
    <s v="Pas de correspondance"/>
  </r>
  <r>
    <s v="Logs_Reseau_Part_16.xlsx"/>
    <d v="2023-10-12T10:12:00"/>
    <d v="1899-12-30T00:57:00"/>
    <s v="ANT-0436"/>
    <n v="57"/>
    <s v="Non Résolu"/>
    <x v="4"/>
    <x v="2"/>
    <s v="ZTE"/>
  </r>
  <r>
    <s v="Logs_Reseau_Part_04.xlsx"/>
    <d v="2023-10-28T13:52:00"/>
    <d v="1899-12-30T00:50:00"/>
    <s v="ANT-0436"/>
    <n v="50"/>
    <s v="En Cours"/>
    <x v="4"/>
    <x v="2"/>
    <s v="ZTE"/>
  </r>
  <r>
    <s v="Logs_Reseau_Part_03.xlsx"/>
    <d v="2023-10-22T06:23:00"/>
    <d v="1899-12-30T01:28:00"/>
    <s v="ANT-0437"/>
    <n v="88"/>
    <s v="Non Résolu"/>
    <x v="8"/>
    <x v="3"/>
    <s v="Nokia"/>
  </r>
  <r>
    <s v="Logs_Reseau_Part_02.xlsx"/>
    <d v="2023-10-31T01:37:00"/>
    <n v="5.2083333333333336E-2"/>
    <s v="ANT-0438"/>
    <n v="75"/>
    <s v="Résolu"/>
    <x v="2"/>
    <x v="1"/>
    <s v="Pas de correspondance"/>
  </r>
  <r>
    <s v="Logs_Reseau_Part_24.xlsx"/>
    <d v="2023-10-19T15:59:00"/>
    <n v="6.25E-2"/>
    <s v="ANT-0439"/>
    <n v="90"/>
    <s v="En Cours"/>
    <x v="2"/>
    <x v="1"/>
    <s v="Pas de correspondance"/>
  </r>
  <r>
    <s v="Logs_Reseau_Part_07.xlsx"/>
    <d v="2023-10-06T03:42:00"/>
    <d v="1899-12-30T00:12:00"/>
    <s v="ANT-0441"/>
    <n v="12"/>
    <s v="Résolu"/>
    <x v="19"/>
    <x v="3"/>
    <s v="Nokia"/>
  </r>
  <r>
    <s v="Logs_Reseau_Part_02.xlsx"/>
    <d v="2023-10-22T20:19:00"/>
    <d v="1899-12-30T01:36:00"/>
    <s v="ANT-0441"/>
    <n v="96"/>
    <s v="En Cours"/>
    <x v="19"/>
    <x v="3"/>
    <s v="Nokia"/>
  </r>
  <r>
    <s v="Logs_Reseau_Part_14.xlsx"/>
    <d v="2023-10-12T02:34:00"/>
    <d v="1899-12-30T01:27:00"/>
    <s v="ANT-0441"/>
    <n v="87"/>
    <s v="En Cours"/>
    <x v="19"/>
    <x v="3"/>
    <s v="Nokia"/>
  </r>
  <r>
    <s v="Logs_Reseau_Part_18.xlsx"/>
    <d v="2023-10-22T01:11:00"/>
    <d v="1899-12-30T00:53:00"/>
    <s v="ANT-0446"/>
    <n v="53"/>
    <s v="Non Résolu"/>
    <x v="20"/>
    <x v="0"/>
    <s v="ZTE"/>
  </r>
  <r>
    <s v="Logs_Reseau_Part_10.xlsx"/>
    <d v="2023-10-12T07:36:00"/>
    <d v="1899-12-30T01:33:00"/>
    <s v="ANT-0446"/>
    <n v="93"/>
    <s v="En Cours"/>
    <x v="20"/>
    <x v="0"/>
    <s v="ZTE"/>
  </r>
  <r>
    <s v="Logs_Reseau_Part_08.xlsx"/>
    <d v="2023-10-14T14:21:00"/>
    <n v="7.4999999999999997E-2"/>
    <s v="ANT-0447"/>
    <n v="108"/>
    <s v="Non Résolu"/>
    <x v="2"/>
    <x v="1"/>
    <s v="Pas de correspondance"/>
  </r>
  <r>
    <s v="Logs_Reseau_Part_08.xlsx"/>
    <d v="2023-10-22T12:04:00"/>
    <n v="4.791666666666667E-2"/>
    <s v="ANT-0448"/>
    <n v="69"/>
    <s v="Résolu"/>
    <x v="2"/>
    <x v="1"/>
    <s v="Pas de correspondance"/>
  </r>
  <r>
    <s v="Logs_Reseau_Part_15.xlsx"/>
    <d v="2023-10-18T16:26:00"/>
    <n v="2.9861111111111113E-2"/>
    <s v="ANT-0449"/>
    <n v="43"/>
    <s v="Résolu"/>
    <x v="2"/>
    <x v="1"/>
    <s v="Pas de correspondance"/>
  </r>
  <r>
    <s v="Logs_Reseau_Part_10.xlsx"/>
    <d v="2023-10-10T16:25:00"/>
    <n v="3.0555555555555555E-2"/>
    <s v="ANT-0449"/>
    <n v="44"/>
    <s v="En Cours"/>
    <x v="2"/>
    <x v="1"/>
    <s v="Pas de correspondance"/>
  </r>
  <r>
    <s v="Logs_Reseau_Part_05.xlsx"/>
    <d v="2023-10-02T05:50:00"/>
    <n v="3.9583333333333331E-2"/>
    <s v="ANT-0449"/>
    <n v="57"/>
    <s v="En Cours"/>
    <x v="2"/>
    <x v="1"/>
    <s v="Pas de correspondance"/>
  </r>
  <r>
    <s v="Logs_Reseau_Part_16.xlsx"/>
    <d v="2023-10-05T18:24:00"/>
    <d v="1899-12-30T00:09:00"/>
    <s v="ANT-0450"/>
    <n v="9"/>
    <s v="En Cours"/>
    <x v="12"/>
    <x v="0"/>
    <s v="Ericsson"/>
  </r>
  <r>
    <s v="Logs_Reseau_Part_03.xlsx"/>
    <d v="2023-10-10T07:51:00"/>
    <d v="1899-12-30T01:47:00"/>
    <s v="ANT-0451"/>
    <n v="107"/>
    <s v="Non Résolu"/>
    <x v="23"/>
    <x v="3"/>
    <s v="ZTE"/>
  </r>
  <r>
    <s v="Logs_Reseau_Part_16.xlsx"/>
    <d v="2023-10-07T08:48:00"/>
    <n v="4.791666666666667E-2"/>
    <s v="ANT-0452"/>
    <n v="69"/>
    <s v="Non Résolu"/>
    <x v="2"/>
    <x v="1"/>
    <s v="Pas de correspondance"/>
  </r>
  <r>
    <s v="Logs_Reseau_Part_06.xlsx"/>
    <d v="2023-10-03T15:50:00"/>
    <n v="2.9166666666666667E-2"/>
    <s v="ANT-0452"/>
    <n v="42"/>
    <s v="Résolu"/>
    <x v="2"/>
    <x v="1"/>
    <s v="Pas de correspondance"/>
  </r>
  <r>
    <s v="Logs_Reseau_Part_09.xlsx"/>
    <d v="2023-10-04T10:45:00"/>
    <n v="5.8333333333333334E-2"/>
    <s v="ANT-0452"/>
    <n v="84"/>
    <s v="En Cours"/>
    <x v="2"/>
    <x v="1"/>
    <s v="Pas de correspondance"/>
  </r>
  <r>
    <s v="Logs_Reseau_Part_05.xlsx"/>
    <d v="2023-10-08T09:45:00"/>
    <n v="3.4027777777777775E-2"/>
    <s v="ANT-0453"/>
    <n v="49"/>
    <s v="Non Résolu"/>
    <x v="2"/>
    <x v="1"/>
    <s v="Pas de correspondance"/>
  </r>
  <r>
    <s v="Logs_Reseau_Part_02.xlsx"/>
    <d v="2023-10-26T17:42:00"/>
    <n v="4.1666666666666666E-3"/>
    <s v="ANT-0453"/>
    <n v="6"/>
    <s v="Non Résolu"/>
    <x v="2"/>
    <x v="1"/>
    <s v="Pas de correspondance"/>
  </r>
  <r>
    <s v="Logs_Reseau_Part_03.xlsx"/>
    <d v="2023-10-17T03:24:00"/>
    <d v="1899-12-30T01:34:00"/>
    <s v="ANT-0454"/>
    <n v="94"/>
    <s v="Résolu"/>
    <x v="13"/>
    <x v="3"/>
    <s v="Huawei"/>
  </r>
  <r>
    <s v="Logs_Reseau_Part_07.xlsx"/>
    <d v="2023-10-19T23:46:00"/>
    <n v="6.9444444444444448E-2"/>
    <s v="ANT-0455"/>
    <n v="100"/>
    <s v="Résolu"/>
    <x v="2"/>
    <x v="1"/>
    <s v="Pas de correspondance"/>
  </r>
  <r>
    <s v="Logs_Reseau_Part_22.xlsx"/>
    <d v="2023-10-15T03:30:00"/>
    <n v="2.013888888888889E-2"/>
    <s v="ANT-0455"/>
    <n v="29"/>
    <s v="En Cours"/>
    <x v="2"/>
    <x v="1"/>
    <s v="Pas de correspondance"/>
  </r>
  <r>
    <s v="Logs_Reseau_Part_10.xlsx"/>
    <d v="2023-10-08T09:07:00"/>
    <n v="8.1944444444444445E-2"/>
    <s v="ANT-0455"/>
    <n v="118"/>
    <s v="En Cours"/>
    <x v="2"/>
    <x v="1"/>
    <s v="Pas de correspondance"/>
  </r>
  <r>
    <s v="Logs_Reseau_Part_03.xlsx"/>
    <d v="2023-10-04T23:57:00"/>
    <d v="1899-12-30T01:41:00"/>
    <s v="ANT-0457"/>
    <n v="101"/>
    <s v="En Cours"/>
    <x v="13"/>
    <x v="3"/>
    <s v="ZTE"/>
  </r>
  <r>
    <s v="Logs_Reseau_Part_10.xlsx"/>
    <d v="2023-10-21T19:29:00"/>
    <d v="1899-12-30T01:40:00"/>
    <s v="ANT-0458"/>
    <n v="100"/>
    <s v="En Cours"/>
    <x v="25"/>
    <x v="3"/>
    <s v="Huawei"/>
  </r>
  <r>
    <s v="Logs_Reseau_Part_04.xlsx"/>
    <d v="2023-10-23T08:49:00"/>
    <n v="8.1250000000000003E-2"/>
    <s v="ANT-0459"/>
    <n v="117"/>
    <s v="Non Résolu"/>
    <x v="2"/>
    <x v="1"/>
    <s v="Pas de correspondance"/>
  </r>
  <r>
    <s v="Logs_Reseau_Part_16.xlsx"/>
    <d v="2023-10-20T18:05:00"/>
    <n v="5.347222222222222E-2"/>
    <s v="ANT-0461"/>
    <n v="77"/>
    <s v="Résolu"/>
    <x v="2"/>
    <x v="1"/>
    <s v="Pas de correspondance"/>
  </r>
  <r>
    <s v="Logs_Reseau_Part_03.xlsx"/>
    <d v="2023-10-22T23:57:00"/>
    <n v="4.0972222222222222E-2"/>
    <s v="ANT-0461"/>
    <n v="59"/>
    <s v="Résolu"/>
    <x v="2"/>
    <x v="1"/>
    <s v="Pas de correspondance"/>
  </r>
  <r>
    <s v="Logs_Reseau_Part_11.xlsx"/>
    <d v="2023-10-23T02:35:00"/>
    <n v="5.9027777777777776E-2"/>
    <s v="ANT-0461"/>
    <n v="85"/>
    <s v="Résolu"/>
    <x v="2"/>
    <x v="1"/>
    <s v="Pas de correspondance"/>
  </r>
  <r>
    <s v="Logs_Reseau_Part_01.xlsx"/>
    <d v="2023-10-04T00:47:00"/>
    <d v="1899-12-30T01:13:00"/>
    <s v="ANT-0465"/>
    <n v="73"/>
    <s v="Résolu"/>
    <x v="24"/>
    <x v="0"/>
    <s v="Nokia"/>
  </r>
  <r>
    <s v="Logs_Reseau_Part_07.xlsx"/>
    <d v="2023-10-29T19:00:00"/>
    <d v="1899-12-30T01:03:00"/>
    <s v="ANT-0465"/>
    <n v="63"/>
    <s v="Résolu"/>
    <x v="24"/>
    <x v="0"/>
    <s v="Nokia"/>
  </r>
  <r>
    <s v="Logs_Reseau_Part_23.xlsx"/>
    <d v="2023-10-23T22:39:00"/>
    <d v="1899-12-30T01:54:00"/>
    <s v="ANT-0466"/>
    <n v="114"/>
    <s v="Résolu"/>
    <x v="5"/>
    <x v="0"/>
    <s v="ZTE"/>
  </r>
  <r>
    <s v="Logs_Reseau_Part_23.xlsx"/>
    <d v="2023-10-16T03:56:00"/>
    <n v="7.5694444444444439E-2"/>
    <s v="ANT-0468"/>
    <n v="109"/>
    <s v="Non Résolu"/>
    <x v="2"/>
    <x v="1"/>
    <s v="Pas de correspondance"/>
  </r>
  <r>
    <s v="Logs_Reseau_Part_11.xlsx"/>
    <d v="2023-10-27T00:05:00"/>
    <n v="5.2777777777777778E-2"/>
    <s v="ANT-0469"/>
    <n v="76"/>
    <s v="Résolu"/>
    <x v="2"/>
    <x v="1"/>
    <s v="Pas de correspondance"/>
  </r>
  <r>
    <s v="Logs_Reseau_Part_16.xlsx"/>
    <d v="2023-10-31T02:07:00"/>
    <n v="6.0416666666666667E-2"/>
    <s v="ANT-0469"/>
    <n v="87"/>
    <s v="En Cours"/>
    <x v="2"/>
    <x v="1"/>
    <s v="Pas de correspondance"/>
  </r>
  <r>
    <s v="Logs_Reseau_Part_18.xlsx"/>
    <d v="2023-10-12T05:16:00"/>
    <d v="1899-12-30T00:05:00"/>
    <s v="ANT-0470"/>
    <n v="5"/>
    <s v="Résolu"/>
    <x v="13"/>
    <x v="3"/>
    <s v="Nokia"/>
  </r>
  <r>
    <s v="Logs_Reseau_Part_14.xlsx"/>
    <d v="2023-10-28T07:47:00"/>
    <n v="3.6111111111111108E-2"/>
    <s v="ANT-0471"/>
    <n v="52"/>
    <s v="Résolu"/>
    <x v="2"/>
    <x v="1"/>
    <s v="Pas de correspondance"/>
  </r>
  <r>
    <s v="Logs_Reseau_Part_13.xlsx"/>
    <d v="2023-10-19T03:03:00"/>
    <d v="1899-12-30T00:58:00"/>
    <s v="ANT-0472"/>
    <n v="58"/>
    <s v="Non Résolu"/>
    <x v="19"/>
    <x v="0"/>
    <s v="Huawei"/>
  </r>
  <r>
    <s v="Logs_Reseau_Part_08.xlsx"/>
    <d v="2023-10-01T19:59:00"/>
    <d v="1899-12-30T00:27:00"/>
    <s v="ANT-0472"/>
    <n v="27"/>
    <s v="Résolu"/>
    <x v="19"/>
    <x v="0"/>
    <s v="Huawei"/>
  </r>
  <r>
    <s v="Logs_Reseau_Part_25.xlsx"/>
    <d v="2023-10-02T05:50:00"/>
    <n v="5.0694444444444445E-2"/>
    <s v="ANT-0473"/>
    <n v="73"/>
    <s v="Non Résolu"/>
    <x v="2"/>
    <x v="1"/>
    <s v="Pas de correspondance"/>
  </r>
  <r>
    <s v="Logs_Reseau_Part_15.xlsx"/>
    <d v="2023-10-01T09:28:00"/>
    <n v="7.9861111111111105E-2"/>
    <s v="ANT-0473"/>
    <n v="115"/>
    <s v="Non Résolu"/>
    <x v="2"/>
    <x v="1"/>
    <s v="Pas de correspondance"/>
  </r>
  <r>
    <s v="Logs_Reseau_Part_09.xlsx"/>
    <d v="2023-10-03T16:41:00"/>
    <n v="1.4583333333333334E-2"/>
    <s v="ANT-0473"/>
    <n v="21"/>
    <s v="Résolu"/>
    <x v="2"/>
    <x v="1"/>
    <s v="Pas de correspondance"/>
  </r>
  <r>
    <s v="Logs_Reseau_Part_05.xlsx"/>
    <d v="2023-10-28T18:27:00"/>
    <n v="4.2361111111111113E-2"/>
    <s v="ANT-0474"/>
    <n v="61"/>
    <s v="Non Résolu"/>
    <x v="2"/>
    <x v="1"/>
    <s v="Pas de correspondance"/>
  </r>
  <r>
    <s v="Logs_Reseau_Part_13.xlsx"/>
    <d v="2023-10-31T04:30:00"/>
    <n v="6.2500000000000003E-3"/>
    <s v="ANT-0475"/>
    <n v="9"/>
    <s v="En Cours"/>
    <x v="2"/>
    <x v="1"/>
    <s v="Pas de correspondance"/>
  </r>
  <r>
    <s v="Logs_Reseau_Part_24.xlsx"/>
    <d v="2023-10-14T19:44:00"/>
    <n v="6.9444444444444448E-2"/>
    <s v="ANT-0478"/>
    <n v="100"/>
    <s v="Non Résolu"/>
    <x v="2"/>
    <x v="1"/>
    <s v="Pas de correspondance"/>
  </r>
  <r>
    <s v="Logs_Reseau_Part_11.xlsx"/>
    <d v="2023-10-10T02:16:00"/>
    <n v="6.6666666666666666E-2"/>
    <s v="ANT-0479"/>
    <n v="96"/>
    <s v="Résolu"/>
    <x v="2"/>
    <x v="1"/>
    <s v="Pas de correspondance"/>
  </r>
  <r>
    <s v="Logs_Reseau_Part_09.xlsx"/>
    <d v="2023-10-20T16:24:00"/>
    <d v="1899-12-30T01:39:00"/>
    <s v="ANT-0481"/>
    <n v="99"/>
    <s v="Non Résolu"/>
    <x v="21"/>
    <x v="2"/>
    <s v="Nokia"/>
  </r>
  <r>
    <s v="Logs_Reseau_Part_12.xlsx"/>
    <d v="2023-10-11T21:07:00"/>
    <d v="1899-12-30T00:53:00"/>
    <s v="ANT-0484"/>
    <n v="53"/>
    <s v="Résolu"/>
    <x v="9"/>
    <x v="0"/>
    <s v="Ericsson"/>
  </r>
  <r>
    <s v="Logs_Reseau_Part_04.xlsx"/>
    <d v="2023-10-19T01:22:00"/>
    <n v="3.1944444444444442E-2"/>
    <s v="ANT-0485"/>
    <n v="46"/>
    <s v="En Cours"/>
    <x v="2"/>
    <x v="1"/>
    <s v="Pas de correspondance"/>
  </r>
  <r>
    <s v="Logs_Reseau_Part_23.xlsx"/>
    <d v="2023-10-20T01:00:00"/>
    <n v="6.9444444444444448E-2"/>
    <s v="ANT-0485"/>
    <n v="100"/>
    <s v="En Cours"/>
    <x v="2"/>
    <x v="1"/>
    <s v="Pas de correspondance"/>
  </r>
  <r>
    <s v="Logs_Reseau_Part_22.xlsx"/>
    <d v="2023-10-17T09:26:00"/>
    <n v="2.361111111111111E-2"/>
    <s v="ANT-0486"/>
    <n v="34"/>
    <s v="En Cours"/>
    <x v="2"/>
    <x v="1"/>
    <s v="Pas de correspondance"/>
  </r>
  <r>
    <s v="Logs_Reseau_Part_20.xlsx"/>
    <d v="2023-10-01T10:16:00"/>
    <n v="1.1111111111111112E-2"/>
    <s v="ANT-0487"/>
    <n v="16"/>
    <s v="Non Résolu"/>
    <x v="2"/>
    <x v="1"/>
    <s v="Pas de correspondance"/>
  </r>
  <r>
    <s v="Logs_Reseau_Part_03.xlsx"/>
    <d v="2023-10-14T21:24:00"/>
    <n v="7.2222222222222215E-2"/>
    <s v="ANT-0487"/>
    <n v="104"/>
    <s v="Résolu"/>
    <x v="2"/>
    <x v="1"/>
    <s v="Pas de correspondance"/>
  </r>
  <r>
    <s v="Logs_Reseau_Part_12.xlsx"/>
    <d v="2023-10-05T13:44:00"/>
    <d v="1899-12-30T01:28:00"/>
    <s v="ANT-0488"/>
    <n v="88"/>
    <s v="En Cours"/>
    <x v="12"/>
    <x v="0"/>
    <s v="ZTE"/>
  </r>
  <r>
    <s v="Logs_Reseau_Part_04.xlsx"/>
    <d v="2023-10-07T00:39:00"/>
    <d v="1899-12-30T00:36:00"/>
    <s v="ANT-0488"/>
    <n v="36"/>
    <s v="En Cours"/>
    <x v="12"/>
    <x v="0"/>
    <s v="ZTE"/>
  </r>
  <r>
    <s v="Logs_Reseau_Part_20.xlsx"/>
    <d v="2023-10-03T17:57:00"/>
    <d v="1899-12-30T00:28:00"/>
    <s v="ANT-0488"/>
    <n v="28"/>
    <s v="Non Résolu"/>
    <x v="12"/>
    <x v="0"/>
    <s v="ZTE"/>
  </r>
  <r>
    <s v="Logs_Reseau_Part_12.xlsx"/>
    <d v="2023-10-07T13:32:00"/>
    <d v="1899-12-30T00:37:00"/>
    <s v="ANT-0489"/>
    <n v="37"/>
    <s v="Résolu"/>
    <x v="22"/>
    <x v="0"/>
    <s v="Nokia"/>
  </r>
  <r>
    <s v="Logs_Reseau_Part_19.xlsx"/>
    <d v="2023-10-11T12:17:00"/>
    <n v="1.8749999999999999E-2"/>
    <s v="ANT-0490"/>
    <n v="27"/>
    <s v="Non Résolu"/>
    <x v="2"/>
    <x v="1"/>
    <s v="Pas de correspondance"/>
  </r>
  <r>
    <s v="Logs_Reseau_Part_09.xlsx"/>
    <d v="2023-10-10T17:24:00"/>
    <n v="6.7361111111111108E-2"/>
    <s v="ANT-0493"/>
    <n v="97"/>
    <s v="En Cours"/>
    <x v="2"/>
    <x v="1"/>
    <s v="Pas de correspondance"/>
  </r>
  <r>
    <s v="Logs_Reseau_Part_21.xlsx"/>
    <d v="2023-10-16T16:55:00"/>
    <d v="1899-12-30T01:47:00"/>
    <s v="ANT-0494"/>
    <n v="107"/>
    <s v="Résolu"/>
    <x v="21"/>
    <x v="2"/>
    <s v="ZTE"/>
  </r>
  <r>
    <s v="Logs_Reseau_Part_06.xlsx"/>
    <d v="2023-10-31T11:37:00"/>
    <d v="1899-12-30T00:37:00"/>
    <s v="ANT-0494"/>
    <n v="37"/>
    <s v="Non Résolu"/>
    <x v="21"/>
    <x v="2"/>
    <s v="ZTE"/>
  </r>
  <r>
    <s v="Logs_Reseau_Part_03.xlsx"/>
    <d v="2023-10-22T02:18:00"/>
    <n v="7.8472222222222221E-2"/>
    <s v="ANT-0497"/>
    <n v="113"/>
    <s v="En Cours"/>
    <x v="2"/>
    <x v="1"/>
    <s v="Pas de correspondance"/>
  </r>
  <r>
    <s v="Logs_Reseau_Part_05.xlsx"/>
    <d v="2023-10-10T14:07:00"/>
    <n v="2.8472222222222222E-2"/>
    <s v="ANT-0497"/>
    <n v="41"/>
    <s v="Non Résolu"/>
    <x v="2"/>
    <x v="1"/>
    <s v="Pas de correspondance"/>
  </r>
  <r>
    <s v="Logs_Reseau_Part_25.xlsx"/>
    <d v="2023-10-17T03:18:00"/>
    <d v="1899-12-30T02:00:00"/>
    <s v="ANT-0499"/>
    <n v="120"/>
    <s v="Non Résolu"/>
    <x v="11"/>
    <x v="2"/>
    <s v="Ericsson"/>
  </r>
  <r>
    <s v="Logs_Reseau_Part_04.xlsx"/>
    <d v="2023-10-01T23:34:00"/>
    <n v="6.805555555555555E-2"/>
    <s v="ANT-0501"/>
    <n v="98"/>
    <s v="Résolu"/>
    <x v="2"/>
    <x v="1"/>
    <s v="Pas de correspondance"/>
  </r>
  <r>
    <s v="Logs_Reseau_Part_02.xlsx"/>
    <d v="2023-10-12T13:26:00"/>
    <n v="4.791666666666667E-2"/>
    <s v="ANT-0501"/>
    <n v="69"/>
    <s v="Non Résolu"/>
    <x v="2"/>
    <x v="1"/>
    <s v="Pas de correspondance"/>
  </r>
  <r>
    <s v="Logs_Reseau_Part_01.xlsx"/>
    <d v="2023-10-20T20:10:00"/>
    <n v="6.3888888888888884E-2"/>
    <s v="ANT-0501"/>
    <n v="92"/>
    <s v="Résolu"/>
    <x v="2"/>
    <x v="1"/>
    <s v="Pas de correspondance"/>
  </r>
  <r>
    <s v="Logs_Reseau_Part_04.xlsx"/>
    <d v="2023-10-19T06:29:00"/>
    <d v="1899-12-30T00:40:00"/>
    <s v="ANT-0503"/>
    <n v="40"/>
    <s v="Non Résolu"/>
    <x v="22"/>
    <x v="3"/>
    <s v="Huawei"/>
  </r>
  <r>
    <s v="Logs_Reseau_Part_19.xlsx"/>
    <d v="2023-10-18T15:03:00"/>
    <d v="1899-12-30T00:33:00"/>
    <s v="ANT-0503"/>
    <n v="33"/>
    <s v="Résolu"/>
    <x v="22"/>
    <x v="3"/>
    <s v="Huawei"/>
  </r>
  <r>
    <s v="Logs_Reseau_Part_07.xlsx"/>
    <d v="2023-10-13T14:23:00"/>
    <d v="1899-12-30T00:58:00"/>
    <s v="ANT-0503"/>
    <n v="58"/>
    <s v="Non Résolu"/>
    <x v="22"/>
    <x v="3"/>
    <s v="Huawei"/>
  </r>
  <r>
    <s v="Logs_Reseau_Part_24.xlsx"/>
    <d v="2023-10-29T13:51:00"/>
    <d v="1899-12-30T01:20:00"/>
    <s v="ANT-0503"/>
    <n v="80"/>
    <s v="En Cours"/>
    <x v="22"/>
    <x v="3"/>
    <s v="Huawei"/>
  </r>
  <r>
    <s v="Logs_Reseau_Part_18.xlsx"/>
    <d v="2023-10-20T19:03:00"/>
    <n v="2.9861111111111113E-2"/>
    <s v="ANT-0504"/>
    <n v="43"/>
    <s v="Non Résolu"/>
    <x v="2"/>
    <x v="1"/>
    <s v="Pas de correspondance"/>
  </r>
  <r>
    <s v="Logs_Reseau_Part_19.xlsx"/>
    <d v="2023-10-15T04:02:00"/>
    <d v="1899-12-30T01:46:00"/>
    <s v="ANT-0505"/>
    <n v="106"/>
    <s v="Résolu"/>
    <x v="19"/>
    <x v="2"/>
    <s v="Ericsson"/>
  </r>
  <r>
    <s v="Logs_Reseau_Part_17.xlsx"/>
    <d v="2023-10-02T12:40:00"/>
    <d v="1899-12-30T00:20:00"/>
    <s v="ANT-0507"/>
    <n v="20"/>
    <s v="Non Résolu"/>
    <x v="3"/>
    <x v="0"/>
    <s v="Huawei"/>
  </r>
  <r>
    <s v="Logs_Reseau_Part_16.xlsx"/>
    <d v="2023-10-04T14:46:00"/>
    <n v="2.8472222222222222E-2"/>
    <s v="ANT-0508"/>
    <n v="41"/>
    <s v="Résolu"/>
    <x v="2"/>
    <x v="1"/>
    <s v="Pas de correspondance"/>
  </r>
  <r>
    <s v="Logs_Reseau_Part_11.xlsx"/>
    <d v="2023-10-03T16:41:00"/>
    <n v="3.4027777777777775E-2"/>
    <s v="ANT-0510"/>
    <n v="49"/>
    <s v="Non Résolu"/>
    <x v="2"/>
    <x v="1"/>
    <s v="Pas de correspondance"/>
  </r>
  <r>
    <s v="Logs_Reseau_Part_05.xlsx"/>
    <d v="2023-10-15T22:38:00"/>
    <d v="1899-12-30T00:16:00"/>
    <s v="ANT-0511"/>
    <n v="16"/>
    <s v="Résolu"/>
    <x v="5"/>
    <x v="0"/>
    <s v="Ericsson"/>
  </r>
  <r>
    <s v="Logs_Reseau_Part_11.xlsx"/>
    <d v="2023-10-07T20:35:00"/>
    <d v="1899-12-30T00:45:00"/>
    <s v="ANT-0511"/>
    <n v="45"/>
    <s v="En Cours"/>
    <x v="5"/>
    <x v="0"/>
    <s v="Ericsson"/>
  </r>
  <r>
    <s v="Logs_Reseau_Part_11.xlsx"/>
    <d v="2023-10-11T22:14:00"/>
    <d v="1899-12-30T00:45:00"/>
    <s v="ANT-0511"/>
    <n v="45"/>
    <s v="Non Résolu"/>
    <x v="5"/>
    <x v="0"/>
    <s v="Ericsson"/>
  </r>
  <r>
    <s v="Logs_Reseau_Part_15.xlsx"/>
    <d v="2023-10-05T02:10:00"/>
    <n v="6.458333333333334E-2"/>
    <s v="ANT-0512"/>
    <n v="93"/>
    <s v="En Cours"/>
    <x v="2"/>
    <x v="1"/>
    <s v="Pas de correspondance"/>
  </r>
  <r>
    <s v="Logs_Reseau_Part_17.xlsx"/>
    <d v="2023-10-04T00:13:00"/>
    <n v="3.4027777777777775E-2"/>
    <s v="ANT-0512"/>
    <n v="49"/>
    <s v="Résolu"/>
    <x v="2"/>
    <x v="1"/>
    <s v="Pas de correspondance"/>
  </r>
  <r>
    <s v="Logs_Reseau_Part_01.xlsx"/>
    <d v="2023-10-18T06:45:00"/>
    <n v="3.5416666666666666E-2"/>
    <s v="ANT-0513"/>
    <n v="51"/>
    <s v="Non Résolu"/>
    <x v="2"/>
    <x v="1"/>
    <s v="Pas de correspondance"/>
  </r>
  <r>
    <s v="Logs_Reseau_Part_06.xlsx"/>
    <d v="2023-10-28T12:39:00"/>
    <d v="1899-12-30T01:47:00"/>
    <s v="ANT-0514"/>
    <n v="107"/>
    <s v="Non Résolu"/>
    <x v="24"/>
    <x v="2"/>
    <s v="ZTE"/>
  </r>
  <r>
    <s v="Logs_Reseau_Part_09.xlsx"/>
    <d v="2023-10-30T09:24:00"/>
    <d v="1899-12-30T00:28:00"/>
    <s v="ANT-0515"/>
    <n v="28"/>
    <s v="En Cours"/>
    <x v="20"/>
    <x v="0"/>
    <s v="Ericsson"/>
  </r>
  <r>
    <s v="Logs_Reseau_Part_14.xlsx"/>
    <d v="2023-10-17T04:24:00"/>
    <d v="1899-12-30T01:07:00"/>
    <s v="ANT-0515"/>
    <n v="67"/>
    <s v="Non Résolu"/>
    <x v="20"/>
    <x v="0"/>
    <s v="Ericsson"/>
  </r>
  <r>
    <s v="Logs_Reseau_Part_20.xlsx"/>
    <d v="2023-10-18T23:59:00"/>
    <d v="1899-12-30T00:38:00"/>
    <s v="ANT-0515"/>
    <n v="38"/>
    <s v="Non Résolu"/>
    <x v="20"/>
    <x v="0"/>
    <s v="Ericsson"/>
  </r>
  <r>
    <s v="Logs_Reseau_Part_03.xlsx"/>
    <d v="2023-10-24T23:47:00"/>
    <d v="1899-12-30T00:23:00"/>
    <s v="ANT-0517"/>
    <n v="23"/>
    <s v="Résolu"/>
    <x v="15"/>
    <x v="2"/>
    <s v="Nokia"/>
  </r>
  <r>
    <s v="Logs_Reseau_Part_18.xlsx"/>
    <d v="2023-10-02T15:23:00"/>
    <n v="5.9722222222222225E-2"/>
    <s v="ANT-0518"/>
    <n v="86"/>
    <s v="En Cours"/>
    <x v="2"/>
    <x v="1"/>
    <s v="Pas de correspondance"/>
  </r>
  <r>
    <s v="Logs_Reseau_Part_02.xlsx"/>
    <d v="2023-10-04T21:27:00"/>
    <n v="2.2222222222222223E-2"/>
    <s v="ANT-0518"/>
    <n v="32"/>
    <s v="Résolu"/>
    <x v="2"/>
    <x v="1"/>
    <s v="Pas de correspondance"/>
  </r>
  <r>
    <s v="Logs_Reseau_Part_07.xlsx"/>
    <d v="2023-10-09T04:08:00"/>
    <n v="6.0416666666666667E-2"/>
    <s v="ANT-0518"/>
    <n v="87"/>
    <s v="Résolu"/>
    <x v="2"/>
    <x v="1"/>
    <s v="Pas de correspondance"/>
  </r>
  <r>
    <s v="Logs_Reseau_Part_01.xlsx"/>
    <d v="2023-10-19T08:51:00"/>
    <d v="1899-12-30T01:10:00"/>
    <s v="ANT-0520"/>
    <n v="70"/>
    <s v="Résolu"/>
    <x v="9"/>
    <x v="0"/>
    <s v="Huawei"/>
  </r>
  <r>
    <s v="Logs_Reseau_Part_01.xlsx"/>
    <d v="2023-10-09T01:46:00"/>
    <d v="1899-12-30T01:25:00"/>
    <s v="ANT-0520"/>
    <n v="85"/>
    <s v="Non Résolu"/>
    <x v="9"/>
    <x v="0"/>
    <s v="Huawei"/>
  </r>
  <r>
    <s v="Logs_Reseau_Part_23.xlsx"/>
    <d v="2023-10-15T05:39:00"/>
    <d v="1899-12-30T00:33:00"/>
    <s v="ANT-0521"/>
    <n v="33"/>
    <s v="Résolu"/>
    <x v="17"/>
    <x v="0"/>
    <s v="Ericsson"/>
  </r>
  <r>
    <s v="Logs_Reseau_Part_17.xlsx"/>
    <d v="2023-10-19T15:50:00"/>
    <n v="1.6666666666666666E-2"/>
    <s v="ANT-0522"/>
    <n v="24"/>
    <s v="Résolu"/>
    <x v="2"/>
    <x v="1"/>
    <s v="Pas de correspondance"/>
  </r>
  <r>
    <s v="Logs_Reseau_Part_08.xlsx"/>
    <d v="2023-10-08T12:38:00"/>
    <d v="1899-12-30T01:18:00"/>
    <s v="ANT-0523"/>
    <n v="78"/>
    <s v="En Cours"/>
    <x v="6"/>
    <x v="3"/>
    <s v="Ericsson"/>
  </r>
  <r>
    <s v="Logs_Reseau_Part_22.xlsx"/>
    <d v="2023-10-04T12:32:00"/>
    <d v="1899-12-30T00:11:00"/>
    <s v="ANT-0524"/>
    <n v="11"/>
    <s v="Non Résolu"/>
    <x v="25"/>
    <x v="0"/>
    <s v="Huawei"/>
  </r>
  <r>
    <s v="Logs_Reseau_Part_16.xlsx"/>
    <d v="2023-10-03T09:02:00"/>
    <d v="1899-12-30T00:28:00"/>
    <s v="ANT-0524"/>
    <n v="28"/>
    <s v="Résolu"/>
    <x v="25"/>
    <x v="0"/>
    <s v="Huawei"/>
  </r>
  <r>
    <s v="Logs_Reseau_Part_21.xlsx"/>
    <d v="2023-10-13T10:44:00"/>
    <d v="1899-12-30T01:28:00"/>
    <s v="ANT-0524"/>
    <n v="88"/>
    <s v="Non Résolu"/>
    <x v="25"/>
    <x v="0"/>
    <s v="Huawei"/>
  </r>
  <r>
    <s v="Logs_Reseau_Part_10.xlsx"/>
    <d v="2023-10-21T03:49:00"/>
    <d v="1899-12-30T01:00:00"/>
    <s v="ANT-0526"/>
    <n v="60"/>
    <s v="En Cours"/>
    <x v="4"/>
    <x v="0"/>
    <s v="Huawei"/>
  </r>
  <r>
    <s v="Logs_Reseau_Part_24.xlsx"/>
    <d v="2023-10-22T18:32:00"/>
    <d v="1899-12-30T01:47:00"/>
    <s v="ANT-0527"/>
    <n v="107"/>
    <s v="Résolu"/>
    <x v="12"/>
    <x v="0"/>
    <s v="Ericsson"/>
  </r>
  <r>
    <s v="Logs_Reseau_Part_05.xlsx"/>
    <d v="2023-10-19T09:05:00"/>
    <d v="1899-12-30T01:42:00"/>
    <s v="ANT-0527"/>
    <n v="102"/>
    <s v="Résolu"/>
    <x v="12"/>
    <x v="0"/>
    <s v="Ericsson"/>
  </r>
  <r>
    <s v="Logs_Reseau_Part_11.xlsx"/>
    <d v="2023-10-12T16:57:00"/>
    <n v="7.9861111111111105E-2"/>
    <s v="ANT-0528"/>
    <n v="115"/>
    <s v="En Cours"/>
    <x v="2"/>
    <x v="1"/>
    <s v="Pas de correspondance"/>
  </r>
  <r>
    <s v="Logs_Reseau_Part_09.xlsx"/>
    <d v="2023-10-31T06:21:00"/>
    <d v="1899-12-30T01:02:00"/>
    <s v="ANT-0529"/>
    <n v="62"/>
    <s v="Résolu"/>
    <x v="11"/>
    <x v="2"/>
    <s v="Ericsson"/>
  </r>
  <r>
    <s v="Logs_Reseau_Part_04.xlsx"/>
    <d v="2023-10-05T14:11:00"/>
    <d v="1899-12-30T01:48:00"/>
    <s v="ANT-0530"/>
    <n v="108"/>
    <s v="Non Résolu"/>
    <x v="25"/>
    <x v="3"/>
    <s v="Nokia"/>
  </r>
  <r>
    <s v="Logs_Reseau_Part_21.xlsx"/>
    <d v="2023-10-18T11:22:00"/>
    <d v="1899-12-30T00:37:00"/>
    <s v="ANT-0530"/>
    <n v="37"/>
    <s v="En Cours"/>
    <x v="25"/>
    <x v="3"/>
    <s v="Nokia"/>
  </r>
  <r>
    <s v="Logs_Reseau_Part_20.xlsx"/>
    <d v="2023-10-08T03:03:00"/>
    <d v="1899-12-30T00:38:00"/>
    <s v="ANT-0530"/>
    <n v="38"/>
    <s v="Résolu"/>
    <x v="25"/>
    <x v="3"/>
    <s v="Nokia"/>
  </r>
  <r>
    <s v="Logs_Reseau_Part_05.xlsx"/>
    <d v="2023-10-07T08:42:00"/>
    <d v="1899-12-30T01:00:00"/>
    <s v="ANT-0531"/>
    <n v="60"/>
    <s v="En Cours"/>
    <x v="17"/>
    <x v="0"/>
    <s v="Huawei"/>
  </r>
  <r>
    <s v="Logs_Reseau_Part_17.xlsx"/>
    <d v="2023-10-11T09:21:00"/>
    <d v="1899-12-30T01:25:00"/>
    <s v="ANT-0531"/>
    <n v="85"/>
    <s v="Résolu"/>
    <x v="17"/>
    <x v="0"/>
    <s v="Huawei"/>
  </r>
  <r>
    <s v="Logs_Reseau_Part_22.xlsx"/>
    <d v="2023-10-14T12:27:00"/>
    <d v="1899-12-30T01:28:00"/>
    <s v="ANT-0533"/>
    <n v="88"/>
    <s v="Non Résolu"/>
    <x v="9"/>
    <x v="3"/>
    <s v="Huawei"/>
  </r>
  <r>
    <s v="Logs_Reseau_Part_18.xlsx"/>
    <d v="2023-10-17T02:16:00"/>
    <d v="1899-12-30T01:14:00"/>
    <s v="ANT-0533"/>
    <n v="74"/>
    <s v="Résolu"/>
    <x v="9"/>
    <x v="3"/>
    <s v="Huawei"/>
  </r>
  <r>
    <s v="Logs_Reseau_Part_03.xlsx"/>
    <d v="2023-10-26T23:10:00"/>
    <d v="1899-12-30T00:36:00"/>
    <s v="ANT-0534"/>
    <n v="36"/>
    <s v="Résolu"/>
    <x v="24"/>
    <x v="2"/>
    <s v="Huawei"/>
  </r>
  <r>
    <s v="Logs_Reseau_Part_24.xlsx"/>
    <d v="2023-10-21T17:24:00"/>
    <d v="1899-12-30T00:28:00"/>
    <s v="ANT-0534"/>
    <n v="28"/>
    <s v="En Cours"/>
    <x v="24"/>
    <x v="2"/>
    <s v="Huawei"/>
  </r>
  <r>
    <s v="Logs_Reseau_Part_20.xlsx"/>
    <d v="2023-10-29T12:22:00"/>
    <d v="1899-12-30T01:45:00"/>
    <s v="ANT-0536"/>
    <n v="105"/>
    <s v="Résolu"/>
    <x v="4"/>
    <x v="2"/>
    <s v="Ericsson"/>
  </r>
  <r>
    <s v="Logs_Reseau_Part_08.xlsx"/>
    <d v="2023-10-31T18:38:00"/>
    <n v="3.8194444444444448E-2"/>
    <s v="ANT-0537"/>
    <n v="55"/>
    <s v="Non Résolu"/>
    <x v="2"/>
    <x v="1"/>
    <s v="Pas de correspondance"/>
  </r>
  <r>
    <s v="Logs_Reseau_Part_14.xlsx"/>
    <d v="2023-10-30T10:19:00"/>
    <n v="6.25E-2"/>
    <s v="ANT-0537"/>
    <n v="90"/>
    <s v="Résolu"/>
    <x v="2"/>
    <x v="1"/>
    <s v="Pas de correspondance"/>
  </r>
  <r>
    <s v="Logs_Reseau_Part_24.xlsx"/>
    <d v="2023-10-25T17:02:00"/>
    <n v="4.3055555555555555E-2"/>
    <s v="ANT-0539"/>
    <n v="62"/>
    <s v="Non Résolu"/>
    <x v="2"/>
    <x v="1"/>
    <s v="Pas de correspondance"/>
  </r>
  <r>
    <s v="Logs_Reseau_Part_14.xlsx"/>
    <d v="2023-10-20T22:13:00"/>
    <n v="1.5277777777777777E-2"/>
    <s v="ANT-0540"/>
    <n v="22"/>
    <s v="Résolu"/>
    <x v="2"/>
    <x v="1"/>
    <s v="Pas de correspondance"/>
  </r>
  <r>
    <s v="Logs_Reseau_Part_19.xlsx"/>
    <d v="2023-10-30T18:32:00"/>
    <n v="1.8749999999999999E-2"/>
    <s v="ANT-0540"/>
    <n v="27"/>
    <s v="Résolu"/>
    <x v="2"/>
    <x v="1"/>
    <s v="Pas de correspondance"/>
  </r>
  <r>
    <s v="Logs_Reseau_Part_17.xlsx"/>
    <d v="2023-10-01T22:21:00"/>
    <n v="1.5277777777777777E-2"/>
    <s v="ANT-0541"/>
    <n v="22"/>
    <s v="Résolu"/>
    <x v="2"/>
    <x v="1"/>
    <s v="Pas de correspondance"/>
  </r>
  <r>
    <s v="Logs_Reseau_Part_09.xlsx"/>
    <d v="2023-10-14T10:43:00"/>
    <n v="7.7083333333333337E-2"/>
    <s v="ANT-0541"/>
    <n v="111"/>
    <s v="Résolu"/>
    <x v="2"/>
    <x v="1"/>
    <s v="Pas de correspondance"/>
  </r>
  <r>
    <s v="Logs_Reseau_Part_13.xlsx"/>
    <d v="2023-10-19T00:16:00"/>
    <n v="4.0972222222222222E-2"/>
    <s v="ANT-0542"/>
    <n v="59"/>
    <s v="Résolu"/>
    <x v="2"/>
    <x v="1"/>
    <s v="Pas de correspondance"/>
  </r>
  <r>
    <s v="Logs_Reseau_Part_14.xlsx"/>
    <d v="2023-10-06T17:30:00"/>
    <d v="1899-12-30T01:46:00"/>
    <s v="ANT-0543"/>
    <n v="106"/>
    <s v="En Cours"/>
    <x v="6"/>
    <x v="0"/>
    <s v="Nokia"/>
  </r>
  <r>
    <s v="Logs_Reseau_Part_18.xlsx"/>
    <d v="2023-10-24T07:03:00"/>
    <d v="1899-12-30T00:42:00"/>
    <s v="ANT-0543"/>
    <n v="42"/>
    <s v="En Cours"/>
    <x v="6"/>
    <x v="0"/>
    <s v="Nokia"/>
  </r>
  <r>
    <s v="Logs_Reseau_Part_06.xlsx"/>
    <d v="2023-10-06T02:39:00"/>
    <n v="7.2222222222222215E-2"/>
    <s v="ANT-0544"/>
    <n v="104"/>
    <s v="Résolu"/>
    <x v="2"/>
    <x v="1"/>
    <s v="Pas de correspondance"/>
  </r>
  <r>
    <s v="Logs_Reseau_Part_07.xlsx"/>
    <d v="2023-10-28T07:21:00"/>
    <n v="4.9305555555555554E-2"/>
    <s v="ANT-0544"/>
    <n v="71"/>
    <s v="Non Résolu"/>
    <x v="2"/>
    <x v="1"/>
    <s v="Pas de correspondance"/>
  </r>
  <r>
    <s v="Logs_Reseau_Part_01.xlsx"/>
    <d v="2023-10-15T20:53:00"/>
    <n v="0.05"/>
    <s v="ANT-0544"/>
    <n v="72"/>
    <s v="Résolu"/>
    <x v="2"/>
    <x v="1"/>
    <s v="Pas de correspondance"/>
  </r>
  <r>
    <s v="Logs_Reseau_Part_04.xlsx"/>
    <d v="2023-10-12T02:32:00"/>
    <n v="4.6527777777777779E-2"/>
    <s v="ANT-0544"/>
    <n v="67"/>
    <s v="Résolu"/>
    <x v="2"/>
    <x v="1"/>
    <s v="Pas de correspondance"/>
  </r>
  <r>
    <s v="Logs_Reseau_Part_12.xlsx"/>
    <d v="2023-10-15T04:38:00"/>
    <n v="5.2777777777777778E-2"/>
    <s v="ANT-0544"/>
    <n v="76"/>
    <s v="En Cours"/>
    <x v="2"/>
    <x v="1"/>
    <s v="Pas de correspondance"/>
  </r>
  <r>
    <s v="Logs_Reseau_Part_14.xlsx"/>
    <d v="2023-10-16T01:22:00"/>
    <d v="1899-12-30T01:39:00"/>
    <s v="ANT-0545"/>
    <n v="99"/>
    <s v="Non Résolu"/>
    <x v="8"/>
    <x v="3"/>
    <s v="ZTE"/>
  </r>
  <r>
    <s v="Logs_Reseau_Part_13.xlsx"/>
    <d v="2023-10-22T06:48:00"/>
    <d v="1899-12-30T00:22:00"/>
    <s v="ANT-0545"/>
    <n v="22"/>
    <s v="Résolu"/>
    <x v="8"/>
    <x v="3"/>
    <s v="ZTE"/>
  </r>
  <r>
    <s v="Logs_Reseau_Part_12.xlsx"/>
    <d v="2023-10-10T22:13:00"/>
    <n v="2.4305555555555556E-2"/>
    <s v="ANT-0548"/>
    <n v="35"/>
    <s v="Résolu"/>
    <x v="2"/>
    <x v="1"/>
    <s v="Pas de correspondance"/>
  </r>
  <r>
    <s v="Logs_Reseau_Part_20.xlsx"/>
    <d v="2023-10-28T18:41:00"/>
    <d v="1899-12-30T01:07:00"/>
    <s v="ANT-0549"/>
    <n v="67"/>
    <s v="En Cours"/>
    <x v="1"/>
    <x v="2"/>
    <s v="ZTE"/>
  </r>
  <r>
    <s v="Logs_Reseau_Part_14.xlsx"/>
    <d v="2023-10-26T14:58:00"/>
    <d v="1899-12-30T00:22:00"/>
    <s v="ANT-0549"/>
    <n v="22"/>
    <s v="Résolu"/>
    <x v="1"/>
    <x v="2"/>
    <s v="ZTE"/>
  </r>
  <r>
    <s v="Logs_Reseau_Part_16.xlsx"/>
    <d v="2023-10-22T18:44:00"/>
    <d v="1899-12-30T01:07:00"/>
    <s v="ANT-0551"/>
    <n v="67"/>
    <s v="Résolu"/>
    <x v="18"/>
    <x v="2"/>
    <s v="Nokia"/>
  </r>
  <r>
    <s v="Logs_Reseau_Part_13.xlsx"/>
    <d v="2023-10-25T08:21:00"/>
    <d v="1899-12-30T00:14:00"/>
    <s v="ANT-0551"/>
    <n v="14"/>
    <s v="Résolu"/>
    <x v="18"/>
    <x v="2"/>
    <s v="Nokia"/>
  </r>
  <r>
    <s v="Logs_Reseau_Part_06.xlsx"/>
    <d v="2023-10-12T11:27:00"/>
    <d v="1899-12-30T01:51:00"/>
    <s v="ANT-0553"/>
    <n v="111"/>
    <s v="Résolu"/>
    <x v="13"/>
    <x v="0"/>
    <s v="Ericsson"/>
  </r>
  <r>
    <s v="Logs_Reseau_Part_01.xlsx"/>
    <d v="2023-10-02T21:14:00"/>
    <d v="1899-12-30T00:54:00"/>
    <s v="ANT-0553"/>
    <n v="54"/>
    <s v="En Cours"/>
    <x v="13"/>
    <x v="0"/>
    <s v="Ericsson"/>
  </r>
  <r>
    <s v="Logs_Reseau_Part_20.xlsx"/>
    <d v="2023-10-06T20:56:00"/>
    <n v="1.1805555555555555E-2"/>
    <s v="ANT-0555"/>
    <n v="17"/>
    <s v="Résolu"/>
    <x v="2"/>
    <x v="1"/>
    <s v="Pas de correspondance"/>
  </r>
  <r>
    <s v="Logs_Reseau_Part_16.xlsx"/>
    <d v="2023-10-06T05:40:00"/>
    <n v="4.6527777777777779E-2"/>
    <s v="ANT-0556"/>
    <n v="67"/>
    <s v="Non Résolu"/>
    <x v="2"/>
    <x v="1"/>
    <s v="Pas de correspondance"/>
  </r>
  <r>
    <s v="Logs_Reseau_Part_05.xlsx"/>
    <d v="2023-10-15T14:19:00"/>
    <n v="6.1111111111111109E-2"/>
    <s v="ANT-0556"/>
    <n v="88"/>
    <s v="En Cours"/>
    <x v="2"/>
    <x v="1"/>
    <s v="Pas de correspondance"/>
  </r>
  <r>
    <s v="Logs_Reseau_Part_19.xlsx"/>
    <d v="2023-10-20T19:39:00"/>
    <n v="6.8750000000000006E-2"/>
    <s v="ANT-0556"/>
    <n v="99"/>
    <s v="En Cours"/>
    <x v="2"/>
    <x v="1"/>
    <s v="Pas de correspondance"/>
  </r>
  <r>
    <s v="Logs_Reseau_Part_16.xlsx"/>
    <d v="2023-10-06T10:35:00"/>
    <d v="1899-12-30T01:55:00"/>
    <s v="ANT-0557"/>
    <n v="115"/>
    <s v="Non Résolu"/>
    <x v="19"/>
    <x v="3"/>
    <s v="Huawei"/>
  </r>
  <r>
    <s v="Logs_Reseau_Part_13.xlsx"/>
    <d v="2023-10-23T17:58:00"/>
    <d v="1899-12-30T00:28:00"/>
    <s v="ANT-0558"/>
    <n v="28"/>
    <s v="Non Résolu"/>
    <x v="6"/>
    <x v="0"/>
    <s v="Ericsson"/>
  </r>
  <r>
    <s v="Logs_Reseau_Part_02.xlsx"/>
    <d v="2023-10-19T19:02:00"/>
    <n v="6.9444444444444448E-2"/>
    <s v="ANT-0559"/>
    <n v="100"/>
    <s v="En Cours"/>
    <x v="2"/>
    <x v="1"/>
    <s v="Pas de correspondance"/>
  </r>
  <r>
    <s v="Logs_Reseau_Part_15.xlsx"/>
    <d v="2023-10-19T21:24:00"/>
    <n v="7.4305555555555555E-2"/>
    <s v="ANT-0559"/>
    <n v="107"/>
    <s v="Non Résolu"/>
    <x v="2"/>
    <x v="1"/>
    <s v="Pas de correspondance"/>
  </r>
  <r>
    <s v="Logs_Reseau_Part_16.xlsx"/>
    <d v="2023-10-23T02:36:00"/>
    <n v="6.1111111111111109E-2"/>
    <s v="ANT-0560"/>
    <n v="88"/>
    <s v="En Cours"/>
    <x v="2"/>
    <x v="1"/>
    <s v="Pas de correspondance"/>
  </r>
  <r>
    <s v="Logs_Reseau_Part_22.xlsx"/>
    <d v="2023-10-16T06:32:00"/>
    <n v="3.888888888888889E-2"/>
    <s v="ANT-0561"/>
    <n v="56"/>
    <s v="En Cours"/>
    <x v="2"/>
    <x v="1"/>
    <s v="Pas de correspondance"/>
  </r>
  <r>
    <s v="Logs_Reseau_Part_03.xlsx"/>
    <d v="2023-10-11T21:54:00"/>
    <n v="8.2638888888888887E-2"/>
    <s v="ANT-0562"/>
    <n v="119"/>
    <s v="En Cours"/>
    <x v="2"/>
    <x v="1"/>
    <s v="Pas de correspondance"/>
  </r>
  <r>
    <s v="Logs_Reseau_Part_07.xlsx"/>
    <d v="2023-10-21T19:01:00"/>
    <n v="6.9444444444444441E-3"/>
    <s v="ANT-0562"/>
    <n v="10"/>
    <s v="En Cours"/>
    <x v="2"/>
    <x v="1"/>
    <s v="Pas de correspondance"/>
  </r>
  <r>
    <s v="Logs_Reseau_Part_25.xlsx"/>
    <d v="2023-10-19T07:58:00"/>
    <d v="1899-12-30T00:15:00"/>
    <s v="ANT-0563"/>
    <n v="15"/>
    <s v="En Cours"/>
    <x v="13"/>
    <x v="3"/>
    <s v="ZTE"/>
  </r>
  <r>
    <s v="Logs_Reseau_Part_16.xlsx"/>
    <d v="2023-10-23T14:20:00"/>
    <d v="1899-12-30T00:22:00"/>
    <s v="ANT-0563"/>
    <n v="22"/>
    <s v="Non Résolu"/>
    <x v="13"/>
    <x v="3"/>
    <s v="ZTE"/>
  </r>
  <r>
    <s v="Logs_Reseau_Part_25.xlsx"/>
    <d v="2023-10-02T02:04:00"/>
    <d v="1899-12-30T00:55:00"/>
    <s v="ANT-0563"/>
    <n v="55"/>
    <s v="Résolu"/>
    <x v="13"/>
    <x v="3"/>
    <s v="ZTE"/>
  </r>
  <r>
    <s v="Logs_Reseau_Part_05.xlsx"/>
    <d v="2023-10-22T06:27:00"/>
    <d v="1899-12-30T00:18:00"/>
    <s v="ANT-0563"/>
    <n v="18"/>
    <s v="Non Résolu"/>
    <x v="13"/>
    <x v="3"/>
    <s v="ZTE"/>
  </r>
  <r>
    <s v="Logs_Reseau_Part_23.xlsx"/>
    <d v="2023-10-12T10:11:00"/>
    <d v="1899-12-30T01:56:00"/>
    <s v="ANT-0563"/>
    <n v="116"/>
    <s v="Non Résolu"/>
    <x v="13"/>
    <x v="3"/>
    <s v="ZTE"/>
  </r>
  <r>
    <s v="Logs_Reseau_Part_15.xlsx"/>
    <d v="2023-10-05T12:45:00"/>
    <d v="1899-12-30T00:47:00"/>
    <s v="ANT-0564"/>
    <n v="47"/>
    <s v="Résolu"/>
    <x v="13"/>
    <x v="2"/>
    <s v="Huawei"/>
  </r>
  <r>
    <s v="Logs_Reseau_Part_12.xlsx"/>
    <d v="2023-10-08T23:03:00"/>
    <d v="1899-12-30T00:23:00"/>
    <s v="ANT-0564"/>
    <n v="23"/>
    <s v="En Cours"/>
    <x v="13"/>
    <x v="2"/>
    <s v="Huawei"/>
  </r>
  <r>
    <s v="Logs_Reseau_Part_04.xlsx"/>
    <d v="2023-10-31T11:40:00"/>
    <d v="1899-12-30T00:38:00"/>
    <s v="ANT-0564"/>
    <n v="38"/>
    <s v="Résolu"/>
    <x v="13"/>
    <x v="2"/>
    <s v="Huawei"/>
  </r>
  <r>
    <s v="Logs_Reseau_Part_24.xlsx"/>
    <d v="2023-10-02T21:03:00"/>
    <d v="1899-12-30T01:22:00"/>
    <s v="ANT-0564"/>
    <n v="82"/>
    <s v="En Cours"/>
    <x v="13"/>
    <x v="2"/>
    <s v="Huawei"/>
  </r>
  <r>
    <s v="Logs_Reseau_Part_14.xlsx"/>
    <d v="2023-10-31T20:42:00"/>
    <d v="1899-12-30T01:07:00"/>
    <s v="ANT-0565"/>
    <n v="67"/>
    <s v="Résolu"/>
    <x v="24"/>
    <x v="3"/>
    <s v="Nokia"/>
  </r>
  <r>
    <s v="Logs_Reseau_Part_02.xlsx"/>
    <d v="2023-10-23T15:09:00"/>
    <d v="1899-12-30T01:30:00"/>
    <s v="ANT-0565"/>
    <n v="90"/>
    <s v="Résolu"/>
    <x v="24"/>
    <x v="3"/>
    <s v="Nokia"/>
  </r>
  <r>
    <s v="Logs_Reseau_Part_02.xlsx"/>
    <d v="2023-10-23T10:15:00"/>
    <d v="1899-12-30T01:22:00"/>
    <s v="ANT-0566"/>
    <n v="82"/>
    <s v="Résolu"/>
    <x v="3"/>
    <x v="3"/>
    <s v="Huawei"/>
  </r>
  <r>
    <s v="Logs_Reseau_Part_20.xlsx"/>
    <d v="2023-10-12T08:50:00"/>
    <n v="1.0416666666666666E-2"/>
    <s v="ANT-0567"/>
    <n v="15"/>
    <s v="Non Résolu"/>
    <x v="2"/>
    <x v="1"/>
    <s v="Pas de correspondance"/>
  </r>
  <r>
    <s v="Logs_Reseau_Part_04.xlsx"/>
    <d v="2023-10-18T13:42:00"/>
    <n v="1.9444444444444445E-2"/>
    <s v="ANT-0567"/>
    <n v="28"/>
    <s v="Résolu"/>
    <x v="2"/>
    <x v="1"/>
    <s v="Pas de correspondance"/>
  </r>
  <r>
    <s v="Logs_Reseau_Part_09.xlsx"/>
    <d v="2023-10-27T23:43:00"/>
    <n v="5.7638888888888892E-2"/>
    <s v="ANT-0568"/>
    <n v="83"/>
    <s v="Non Résolu"/>
    <x v="2"/>
    <x v="1"/>
    <s v="Pas de correspondance"/>
  </r>
  <r>
    <s v="Logs_Reseau_Part_04.xlsx"/>
    <d v="2023-10-02T11:14:00"/>
    <d v="1899-12-30T01:20:00"/>
    <s v="ANT-0569"/>
    <n v="80"/>
    <s v="Résolu"/>
    <x v="6"/>
    <x v="2"/>
    <s v="ZTE"/>
  </r>
  <r>
    <s v="Logs_Reseau_Part_04.xlsx"/>
    <d v="2023-10-19T21:01:00"/>
    <n v="2.7083333333333334E-2"/>
    <s v="ANT-0570"/>
    <n v="39"/>
    <s v="Résolu"/>
    <x v="2"/>
    <x v="1"/>
    <s v="Pas de correspondance"/>
  </r>
  <r>
    <s v="Logs_Reseau_Part_24.xlsx"/>
    <d v="2023-10-19T05:46:00"/>
    <n v="3.6805555555555557E-2"/>
    <s v="ANT-0570"/>
    <n v="53"/>
    <s v="En Cours"/>
    <x v="2"/>
    <x v="1"/>
    <s v="Pas de correspondance"/>
  </r>
  <r>
    <s v="Logs_Reseau_Part_23.xlsx"/>
    <d v="2023-10-09T23:05:00"/>
    <d v="1899-12-30T01:08:00"/>
    <s v="ANT-0571"/>
    <n v="68"/>
    <s v="Résolu"/>
    <x v="3"/>
    <x v="3"/>
    <s v="Nokia"/>
  </r>
  <r>
    <s v="Logs_Reseau_Part_03.xlsx"/>
    <d v="2023-10-31T00:07:00"/>
    <d v="1899-12-30T00:58:00"/>
    <s v="ANT-0573"/>
    <n v="58"/>
    <s v="Résolu"/>
    <x v="20"/>
    <x v="0"/>
    <s v="Huawei"/>
  </r>
  <r>
    <s v="Logs_Reseau_Part_23.xlsx"/>
    <d v="2023-10-24T07:30:00"/>
    <n v="4.3055555555555555E-2"/>
    <s v="ANT-0574"/>
    <n v="62"/>
    <s v="Résolu"/>
    <x v="2"/>
    <x v="1"/>
    <s v="Pas de correspondance"/>
  </r>
  <r>
    <s v="Logs_Reseau_Part_21.xlsx"/>
    <d v="2023-10-23T21:06:00"/>
    <n v="7.1527777777777773E-2"/>
    <s v="ANT-0575"/>
    <n v="103"/>
    <s v="En Cours"/>
    <x v="2"/>
    <x v="1"/>
    <s v="Pas de correspondance"/>
  </r>
  <r>
    <s v="Logs_Reseau_Part_02.xlsx"/>
    <d v="2023-10-24T17:03:00"/>
    <n v="2.9861111111111113E-2"/>
    <s v="ANT-0575"/>
    <n v="43"/>
    <s v="Non Résolu"/>
    <x v="2"/>
    <x v="1"/>
    <s v="Pas de correspondance"/>
  </r>
  <r>
    <s v="Logs_Reseau_Part_23.xlsx"/>
    <d v="2023-10-13T11:39:00"/>
    <n v="5.2083333333333336E-2"/>
    <s v="ANT-0576"/>
    <n v="75"/>
    <s v="Résolu"/>
    <x v="2"/>
    <x v="1"/>
    <s v="Pas de correspondance"/>
  </r>
  <r>
    <s v="Logs_Reseau_Part_19.xlsx"/>
    <d v="2023-10-02T14:03:00"/>
    <n v="1.1805555555555555E-2"/>
    <s v="ANT-0577"/>
    <n v="17"/>
    <s v="En Cours"/>
    <x v="2"/>
    <x v="1"/>
    <s v="Pas de correspondance"/>
  </r>
  <r>
    <s v="Logs_Reseau_Part_19.xlsx"/>
    <d v="2023-10-05T02:57:00"/>
    <d v="1899-12-30T00:34:00"/>
    <s v="ANT-0578"/>
    <n v="34"/>
    <s v="Résolu"/>
    <x v="23"/>
    <x v="2"/>
    <s v="ZTE"/>
  </r>
  <r>
    <s v="Logs_Reseau_Part_20.xlsx"/>
    <d v="2023-10-10T23:44:00"/>
    <d v="1899-12-30T00:51:00"/>
    <s v="ANT-0578"/>
    <n v="51"/>
    <s v="Non Résolu"/>
    <x v="23"/>
    <x v="2"/>
    <s v="ZTE"/>
  </r>
  <r>
    <s v="Logs_Reseau_Part_15.xlsx"/>
    <d v="2023-10-15T15:14:00"/>
    <d v="1899-12-30T01:52:00"/>
    <s v="ANT-0578"/>
    <n v="112"/>
    <s v="Non Résolu"/>
    <x v="23"/>
    <x v="2"/>
    <s v="ZTE"/>
  </r>
  <r>
    <s v="Logs_Reseau_Part_14.xlsx"/>
    <d v="2023-10-05T00:16:00"/>
    <d v="1899-12-30T00:12:00"/>
    <s v="ANT-0579"/>
    <n v="12"/>
    <s v="Non Résolu"/>
    <x v="17"/>
    <x v="2"/>
    <s v="Nokia"/>
  </r>
  <r>
    <s v="Logs_Reseau_Part_16.xlsx"/>
    <d v="2023-10-27T23:09:00"/>
    <d v="1899-12-30T00:27:00"/>
    <s v="ANT-0580"/>
    <n v="27"/>
    <s v="Non Résolu"/>
    <x v="20"/>
    <x v="3"/>
    <s v="Nokia"/>
  </r>
  <r>
    <s v="Logs_Reseau_Part_25.xlsx"/>
    <d v="2023-10-04T06:34:00"/>
    <n v="1.5972222222222221E-2"/>
    <s v="ANT-0581"/>
    <n v="23"/>
    <s v="En Cours"/>
    <x v="2"/>
    <x v="1"/>
    <s v="Pas de correspondance"/>
  </r>
  <r>
    <s v="Logs_Reseau_Part_01.xlsx"/>
    <d v="2023-10-05T08:08:00"/>
    <n v="4.1666666666666664E-2"/>
    <s v="ANT-0581"/>
    <n v="60"/>
    <s v="Résolu"/>
    <x v="2"/>
    <x v="1"/>
    <s v="Pas de correspondance"/>
  </r>
  <r>
    <s v="Logs_Reseau_Part_19.xlsx"/>
    <d v="2023-10-21T14:51:00"/>
    <d v="1899-12-30T01:19:00"/>
    <s v="ANT-0582"/>
    <n v="79"/>
    <s v="Résolu"/>
    <x v="19"/>
    <x v="3"/>
    <s v="Huawei"/>
  </r>
  <r>
    <s v="Logs_Reseau_Part_18.xlsx"/>
    <d v="2023-10-09T02:36:00"/>
    <d v="1899-12-30T01:42:00"/>
    <s v="ANT-0582"/>
    <n v="102"/>
    <s v="Non Résolu"/>
    <x v="19"/>
    <x v="3"/>
    <s v="Huawei"/>
  </r>
  <r>
    <s v="Logs_Reseau_Part_09.xlsx"/>
    <d v="2023-10-31T01:28:00"/>
    <n v="7.1527777777777773E-2"/>
    <s v="ANT-0585"/>
    <n v="103"/>
    <s v="Résolu"/>
    <x v="2"/>
    <x v="1"/>
    <s v="Pas de correspondance"/>
  </r>
  <r>
    <s v="Logs_Reseau_Part_20.xlsx"/>
    <d v="2023-10-24T17:16:00"/>
    <n v="4.2361111111111113E-2"/>
    <s v="ANT-0585"/>
    <n v="61"/>
    <s v="Non Résolu"/>
    <x v="2"/>
    <x v="1"/>
    <s v="Pas de correspondance"/>
  </r>
  <r>
    <s v="Logs_Reseau_Part_20.xlsx"/>
    <d v="2023-10-27T15:09:00"/>
    <n v="7.7777777777777779E-2"/>
    <s v="ANT-0586"/>
    <n v="112"/>
    <s v="Non Résolu"/>
    <x v="2"/>
    <x v="1"/>
    <s v="Pas de correspondance"/>
  </r>
  <r>
    <s v="Logs_Reseau_Part_24.xlsx"/>
    <d v="2023-10-01T12:09:00"/>
    <d v="1899-12-30T01:39:00"/>
    <s v="ANT-0587"/>
    <n v="99"/>
    <s v="Résolu"/>
    <x v="6"/>
    <x v="0"/>
    <s v="Ericsson"/>
  </r>
  <r>
    <s v="Logs_Reseau_Part_20.xlsx"/>
    <d v="2023-10-31T03:04:00"/>
    <d v="1899-12-30T01:27:00"/>
    <s v="ANT-0587"/>
    <n v="87"/>
    <s v="En Cours"/>
    <x v="6"/>
    <x v="0"/>
    <s v="Ericsson"/>
  </r>
  <r>
    <s v="Logs_Reseau_Part_16.xlsx"/>
    <d v="2023-10-01T10:41:00"/>
    <d v="1899-12-30T01:52:00"/>
    <s v="ANT-0587"/>
    <n v="112"/>
    <s v="Résolu"/>
    <x v="6"/>
    <x v="0"/>
    <s v="Ericsson"/>
  </r>
  <r>
    <s v="Logs_Reseau_Part_12.xlsx"/>
    <d v="2023-10-18T09:14:00"/>
    <d v="1899-12-30T01:39:00"/>
    <s v="ANT-0588"/>
    <n v="99"/>
    <s v="Non Résolu"/>
    <x v="5"/>
    <x v="3"/>
    <s v="Ericsson"/>
  </r>
  <r>
    <s v="Logs_Reseau_Part_11.xlsx"/>
    <d v="2023-10-29T17:40:00"/>
    <d v="1899-12-30T01:06:00"/>
    <s v="ANT-0592"/>
    <n v="66"/>
    <s v="En Cours"/>
    <x v="14"/>
    <x v="2"/>
    <s v="Nokia"/>
  </r>
  <r>
    <s v="Logs_Reseau_Part_06.xlsx"/>
    <d v="2023-10-23T12:41:00"/>
    <n v="7.7083333333333337E-2"/>
    <s v="ANT-0594"/>
    <n v="111"/>
    <s v="Résolu"/>
    <x v="2"/>
    <x v="1"/>
    <s v="Pas de correspondance"/>
  </r>
  <r>
    <s v="Logs_Reseau_Part_18.xlsx"/>
    <d v="2023-10-17T00:02:00"/>
    <n v="5.1388888888888887E-2"/>
    <s v="ANT-0595"/>
    <n v="74"/>
    <s v="En Cours"/>
    <x v="2"/>
    <x v="1"/>
    <s v="Pas de correspondance"/>
  </r>
  <r>
    <s v="Logs_Reseau_Part_25.xlsx"/>
    <d v="2023-10-03T11:59:00"/>
    <n v="3.9583333333333331E-2"/>
    <s v="ANT-0595"/>
    <n v="57"/>
    <s v="Non Résolu"/>
    <x v="2"/>
    <x v="1"/>
    <s v="Pas de correspondance"/>
  </r>
  <r>
    <s v="Logs_Reseau_Part_04.xlsx"/>
    <d v="2023-10-10T21:38:00"/>
    <d v="1899-12-30T01:08:00"/>
    <s v="ANT-0596"/>
    <n v="68"/>
    <s v="Non Résolu"/>
    <x v="16"/>
    <x v="0"/>
    <s v="ZTE"/>
  </r>
  <r>
    <s v="Logs_Reseau_Part_02.xlsx"/>
    <d v="2023-10-09T06:42:00"/>
    <d v="1899-12-30T00:41:00"/>
    <s v="ANT-0597"/>
    <n v="41"/>
    <s v="Non Résolu"/>
    <x v="0"/>
    <x v="2"/>
    <s v="ZTE"/>
  </r>
  <r>
    <s v="Logs_Reseau_Part_11.xlsx"/>
    <d v="2023-10-20T20:01:00"/>
    <n v="4.4444444444444446E-2"/>
    <s v="ANT-0598"/>
    <n v="64"/>
    <s v="En Cours"/>
    <x v="2"/>
    <x v="1"/>
    <s v="Pas de correspondance"/>
  </r>
  <r>
    <s v="Logs_Reseau_Part_21.xlsx"/>
    <d v="2023-10-09T12:09:00"/>
    <n v="6.3194444444444442E-2"/>
    <s v="ANT-0599"/>
    <n v="91"/>
    <s v="En Cours"/>
    <x v="2"/>
    <x v="1"/>
    <s v="Pas de correspondance"/>
  </r>
  <r>
    <s v="Logs_Reseau_Part_24.xlsx"/>
    <d v="2023-10-29T12:26:00"/>
    <n v="6.3888888888888884E-2"/>
    <s v="ANT-0599"/>
    <n v="92"/>
    <s v="En Cours"/>
    <x v="2"/>
    <x v="1"/>
    <s v="Pas de correspondance"/>
  </r>
  <r>
    <s v="Logs_Reseau_Part_07.xlsx"/>
    <d v="2023-10-22T06:41:00"/>
    <d v="1899-12-30T01:23:00"/>
    <s v="ANT-0600"/>
    <n v="83"/>
    <s v="En Cours"/>
    <x v="18"/>
    <x v="3"/>
    <s v="Huawei"/>
  </r>
  <r>
    <s v="Logs_Reseau_Part_08.xlsx"/>
    <d v="2023-10-06T11:19:00"/>
    <d v="1899-12-30T00:50:00"/>
    <s v="ANT-0604"/>
    <n v="50"/>
    <s v="Non Résolu"/>
    <x v="5"/>
    <x v="0"/>
    <s v="Huawei"/>
  </r>
  <r>
    <s v="Logs_Reseau_Part_20.xlsx"/>
    <d v="2023-10-01T08:13:00"/>
    <d v="1899-12-30T01:26:00"/>
    <s v="ANT-0604"/>
    <n v="86"/>
    <s v="Non Résolu"/>
    <x v="5"/>
    <x v="0"/>
    <s v="Huawei"/>
  </r>
  <r>
    <s v="Logs_Reseau_Part_19.xlsx"/>
    <d v="2023-10-25T07:08:00"/>
    <n v="8.3333333333333332E-3"/>
    <s v="ANT-0606"/>
    <n v="12"/>
    <s v="En Cours"/>
    <x v="2"/>
    <x v="1"/>
    <s v="Pas de correspondance"/>
  </r>
  <r>
    <s v="Logs_Reseau_Part_18.xlsx"/>
    <d v="2023-10-30T23:20:00"/>
    <d v="1899-12-30T00:05:00"/>
    <s v="ANT-0607"/>
    <n v="5"/>
    <s v="En Cours"/>
    <x v="0"/>
    <x v="0"/>
    <s v="Ericsson"/>
  </r>
  <r>
    <s v="Logs_Reseau_Part_19.xlsx"/>
    <d v="2023-10-27T05:01:00"/>
    <d v="1899-12-30T01:21:00"/>
    <s v="ANT-0607"/>
    <n v="81"/>
    <s v="En Cours"/>
    <x v="0"/>
    <x v="0"/>
    <s v="Ericsson"/>
  </r>
  <r>
    <s v="Logs_Reseau_Part_15.xlsx"/>
    <d v="2023-10-14T05:43:00"/>
    <d v="1899-12-30T00:53:00"/>
    <s v="ANT-0607"/>
    <n v="53"/>
    <s v="Non Résolu"/>
    <x v="0"/>
    <x v="0"/>
    <s v="Ericsson"/>
  </r>
  <r>
    <s v="Logs_Reseau_Part_21.xlsx"/>
    <d v="2023-10-10T23:28:00"/>
    <n v="4.1666666666666666E-3"/>
    <s v="ANT-0609"/>
    <n v="6"/>
    <s v="En Cours"/>
    <x v="2"/>
    <x v="1"/>
    <s v="Pas de correspondance"/>
  </r>
  <r>
    <s v="Logs_Reseau_Part_17.xlsx"/>
    <d v="2023-10-19T07:33:00"/>
    <n v="3.125E-2"/>
    <s v="ANT-0609"/>
    <n v="45"/>
    <s v="Résolu"/>
    <x v="2"/>
    <x v="1"/>
    <s v="Pas de correspondance"/>
  </r>
  <r>
    <s v="Logs_Reseau_Part_03.xlsx"/>
    <d v="2023-10-29T08:11:00"/>
    <n v="8.1944444444444445E-2"/>
    <s v="ANT-0610"/>
    <n v="118"/>
    <s v="En Cours"/>
    <x v="2"/>
    <x v="1"/>
    <s v="Pas de correspondance"/>
  </r>
  <r>
    <s v="Logs_Reseau_Part_04.xlsx"/>
    <d v="2023-10-13T23:10:00"/>
    <d v="1899-12-30T00:27:00"/>
    <s v="ANT-0611"/>
    <n v="27"/>
    <s v="En Cours"/>
    <x v="21"/>
    <x v="0"/>
    <s v="Nokia"/>
  </r>
  <r>
    <s v="Logs_Reseau_Part_24.xlsx"/>
    <d v="2023-10-22T04:45:00"/>
    <d v="1899-12-30T01:01:00"/>
    <s v="ANT-0612"/>
    <n v="61"/>
    <s v="En Cours"/>
    <x v="26"/>
    <x v="0"/>
    <s v="Nokia"/>
  </r>
  <r>
    <s v="Logs_Reseau_Part_07.xlsx"/>
    <d v="2023-10-19T06:52:00"/>
    <d v="1899-12-30T01:29:00"/>
    <s v="ANT-0612"/>
    <n v="89"/>
    <s v="Résolu"/>
    <x v="26"/>
    <x v="0"/>
    <s v="Nokia"/>
  </r>
  <r>
    <s v="Logs_Reseau_Part_01.xlsx"/>
    <d v="2023-10-09T22:59:00"/>
    <d v="1899-12-30T01:55:00"/>
    <s v="ANT-0614"/>
    <n v="115"/>
    <s v="Résolu"/>
    <x v="4"/>
    <x v="3"/>
    <s v="Ericsson"/>
  </r>
  <r>
    <s v="Logs_Reseau_Part_23.xlsx"/>
    <d v="2023-10-27T17:57:00"/>
    <n v="4.7222222222222221E-2"/>
    <s v="ANT-0615"/>
    <n v="68"/>
    <s v="Non Résolu"/>
    <x v="2"/>
    <x v="1"/>
    <s v="Pas de correspondance"/>
  </r>
  <r>
    <s v="Logs_Reseau_Part_19.xlsx"/>
    <d v="2023-10-01T12:50:00"/>
    <d v="1899-12-30T00:50:00"/>
    <s v="ANT-0617"/>
    <n v="50"/>
    <s v="En Cours"/>
    <x v="18"/>
    <x v="3"/>
    <s v="Ericsson"/>
  </r>
  <r>
    <s v="Logs_Reseau_Part_23.xlsx"/>
    <d v="2023-10-14T20:56:00"/>
    <d v="1899-12-30T00:46:00"/>
    <s v="ANT-0619"/>
    <n v="46"/>
    <s v="Non Résolu"/>
    <x v="15"/>
    <x v="2"/>
    <s v="Huawei"/>
  </r>
  <r>
    <s v="Logs_Reseau_Part_09.xlsx"/>
    <d v="2023-10-20T04:21:00"/>
    <d v="1899-12-30T01:37:00"/>
    <s v="ANT-0620"/>
    <n v="97"/>
    <s v="Non Résolu"/>
    <x v="13"/>
    <x v="3"/>
    <s v="Ericsson"/>
  </r>
  <r>
    <s v="Logs_Reseau_Part_07.xlsx"/>
    <d v="2023-10-18T08:51:00"/>
    <d v="1899-12-30T00:08:00"/>
    <s v="ANT-0620"/>
    <n v="8"/>
    <s v="Résolu"/>
    <x v="13"/>
    <x v="3"/>
    <s v="Ericsson"/>
  </r>
  <r>
    <s v="Logs_Reseau_Part_22.xlsx"/>
    <d v="2023-10-07T23:23:00"/>
    <d v="1899-12-30T00:53:00"/>
    <s v="ANT-0621"/>
    <n v="53"/>
    <s v="Non Résolu"/>
    <x v="6"/>
    <x v="2"/>
    <s v="Ericsson"/>
  </r>
  <r>
    <s v="Logs_Reseau_Part_17.xlsx"/>
    <d v="2023-10-18T18:08:00"/>
    <d v="1899-12-30T01:40:00"/>
    <s v="ANT-0622"/>
    <n v="100"/>
    <s v="Résolu"/>
    <x v="22"/>
    <x v="2"/>
    <s v="Ericsson"/>
  </r>
  <r>
    <s v="Logs_Reseau_Part_07.xlsx"/>
    <d v="2023-10-15T14:15:00"/>
    <n v="3.5416666666666666E-2"/>
    <s v="ANT-0623"/>
    <n v="51"/>
    <s v="En Cours"/>
    <x v="2"/>
    <x v="1"/>
    <s v="Pas de correspondance"/>
  </r>
  <r>
    <s v="Logs_Reseau_Part_10.xlsx"/>
    <d v="2023-10-10T06:02:00"/>
    <n v="3.1944444444444442E-2"/>
    <s v="ANT-0623"/>
    <n v="46"/>
    <s v="Non Résolu"/>
    <x v="2"/>
    <x v="1"/>
    <s v="Pas de correspondance"/>
  </r>
  <r>
    <s v="Logs_Reseau_Part_17.xlsx"/>
    <d v="2023-10-29T02:25:00"/>
    <n v="1.5972222222222221E-2"/>
    <s v="ANT-0623"/>
    <n v="23"/>
    <s v="En Cours"/>
    <x v="2"/>
    <x v="1"/>
    <s v="Pas de correspondance"/>
  </r>
  <r>
    <s v="Logs_Reseau_Part_05.xlsx"/>
    <d v="2023-10-02T13:47:00"/>
    <d v="1899-12-30T01:15:00"/>
    <s v="ANT-0624"/>
    <n v="75"/>
    <s v="En Cours"/>
    <x v="6"/>
    <x v="3"/>
    <s v="Ericsson"/>
  </r>
  <r>
    <s v="Logs_Reseau_Part_21.xlsx"/>
    <d v="2023-10-25T10:17:00"/>
    <d v="1899-12-30T01:05:00"/>
    <s v="ANT-0624"/>
    <n v="65"/>
    <s v="Non Résolu"/>
    <x v="6"/>
    <x v="3"/>
    <s v="Ericsson"/>
  </r>
  <r>
    <s v="Logs_Reseau_Part_01.xlsx"/>
    <d v="2023-10-15T17:07:00"/>
    <d v="1899-12-30T00:25:00"/>
    <s v="ANT-0624"/>
    <n v="25"/>
    <s v="Résolu"/>
    <x v="6"/>
    <x v="3"/>
    <s v="Ericsson"/>
  </r>
  <r>
    <s v="Logs_Reseau_Part_03.xlsx"/>
    <d v="2023-10-29T18:12:00"/>
    <n v="3.7499999999999999E-2"/>
    <s v="ANT-0628"/>
    <n v="54"/>
    <s v="Résolu"/>
    <x v="2"/>
    <x v="1"/>
    <s v="Pas de correspondance"/>
  </r>
  <r>
    <s v="Logs_Reseau_Part_10.xlsx"/>
    <d v="2023-10-14T00:39:00"/>
    <d v="1899-12-30T01:08:00"/>
    <s v="ANT-0630"/>
    <n v="68"/>
    <s v="En Cours"/>
    <x v="26"/>
    <x v="2"/>
    <s v="ZTE"/>
  </r>
  <r>
    <s v="Logs_Reseau_Part_11.xlsx"/>
    <d v="2023-10-12T14:51:00"/>
    <d v="1899-12-30T01:32:00"/>
    <s v="ANT-0631"/>
    <n v="92"/>
    <s v="Résolu"/>
    <x v="4"/>
    <x v="3"/>
    <s v="Ericsson"/>
  </r>
  <r>
    <s v="Logs_Reseau_Part_24.xlsx"/>
    <d v="2023-10-16T18:36:00"/>
    <d v="1899-12-30T01:35:00"/>
    <s v="ANT-0631"/>
    <n v="95"/>
    <s v="Non Résolu"/>
    <x v="4"/>
    <x v="3"/>
    <s v="Ericsson"/>
  </r>
  <r>
    <s v="Logs_Reseau_Part_22.xlsx"/>
    <d v="2023-10-03T01:19:00"/>
    <n v="7.6388888888888886E-3"/>
    <s v="ANT-0633"/>
    <n v="11"/>
    <s v="Résolu"/>
    <x v="2"/>
    <x v="1"/>
    <s v="Pas de correspondance"/>
  </r>
  <r>
    <s v="Logs_Reseau_Part_08.xlsx"/>
    <d v="2023-10-22T20:35:00"/>
    <n v="4.1666666666666664E-2"/>
    <s v="ANT-0633"/>
    <n v="60"/>
    <s v="En Cours"/>
    <x v="2"/>
    <x v="1"/>
    <s v="Pas de correspondance"/>
  </r>
  <r>
    <s v="Logs_Reseau_Part_23.xlsx"/>
    <d v="2023-10-05T22:46:00"/>
    <n v="3.2638888888888891E-2"/>
    <s v="ANT-0634"/>
    <n v="47"/>
    <s v="Non Résolu"/>
    <x v="2"/>
    <x v="1"/>
    <s v="Pas de correspondance"/>
  </r>
  <r>
    <s v="Logs_Reseau_Part_23.xlsx"/>
    <d v="2023-10-21T12:09:00"/>
    <n v="1.3888888888888888E-2"/>
    <s v="ANT-0635"/>
    <n v="20"/>
    <s v="Résolu"/>
    <x v="2"/>
    <x v="1"/>
    <s v="Pas de correspondance"/>
  </r>
  <r>
    <s v="Logs_Reseau_Part_25.xlsx"/>
    <d v="2023-10-30T23:41:00"/>
    <n v="2.5694444444444443E-2"/>
    <s v="ANT-0635"/>
    <n v="37"/>
    <s v="En Cours"/>
    <x v="2"/>
    <x v="1"/>
    <s v="Pas de correspondance"/>
  </r>
  <r>
    <s v="Logs_Reseau_Part_14.xlsx"/>
    <d v="2023-10-16T07:44:00"/>
    <n v="3.9583333333333331E-2"/>
    <s v="ANT-0635"/>
    <n v="57"/>
    <s v="En Cours"/>
    <x v="2"/>
    <x v="1"/>
    <s v="Pas de correspondance"/>
  </r>
  <r>
    <s v="Logs_Reseau_Part_05.xlsx"/>
    <d v="2023-10-06T17:04:00"/>
    <n v="7.5694444444444439E-2"/>
    <s v="ANT-0638"/>
    <n v="109"/>
    <s v="En Cours"/>
    <x v="2"/>
    <x v="1"/>
    <s v="Pas de correspondance"/>
  </r>
  <r>
    <s v="Logs_Reseau_Part_22.xlsx"/>
    <d v="2023-10-01T01:34:00"/>
    <n v="6.2500000000000003E-3"/>
    <s v="ANT-0638"/>
    <n v="9"/>
    <s v="Résolu"/>
    <x v="2"/>
    <x v="1"/>
    <s v="Pas de correspondance"/>
  </r>
  <r>
    <s v="Logs_Reseau_Part_21.xlsx"/>
    <d v="2023-10-16T18:38:00"/>
    <d v="1899-12-30T01:27:00"/>
    <s v="ANT-0639"/>
    <n v="87"/>
    <s v="En Cours"/>
    <x v="7"/>
    <x v="3"/>
    <s v="ZTE"/>
  </r>
  <r>
    <s v="Logs_Reseau_Part_07.xlsx"/>
    <d v="2023-10-07T03:54:00"/>
    <n v="4.791666666666667E-2"/>
    <s v="ANT-0640"/>
    <n v="69"/>
    <s v="Résolu"/>
    <x v="2"/>
    <x v="1"/>
    <s v="Pas de correspondance"/>
  </r>
  <r>
    <s v="Logs_Reseau_Part_01.xlsx"/>
    <d v="2023-10-05T06:48:00"/>
    <d v="1899-12-30T00:11:00"/>
    <s v="ANT-0641"/>
    <n v="11"/>
    <s v="En Cours"/>
    <x v="9"/>
    <x v="3"/>
    <s v="Nokia"/>
  </r>
  <r>
    <s v="Logs_Reseau_Part_24.xlsx"/>
    <d v="2023-10-25T11:35:00"/>
    <d v="1899-12-30T01:35:00"/>
    <s v="ANT-0641"/>
    <n v="95"/>
    <s v="Non Résolu"/>
    <x v="9"/>
    <x v="3"/>
    <s v="Nokia"/>
  </r>
  <r>
    <s v="Logs_Reseau_Part_05.xlsx"/>
    <d v="2023-10-16T09:02:00"/>
    <d v="1899-12-30T01:05:00"/>
    <s v="ANT-0641"/>
    <n v="65"/>
    <s v="En Cours"/>
    <x v="9"/>
    <x v="3"/>
    <s v="Nokia"/>
  </r>
  <r>
    <s v="Logs_Reseau_Part_03.xlsx"/>
    <d v="2023-10-17T21:40:00"/>
    <d v="1899-12-30T00:20:00"/>
    <s v="ANT-0642"/>
    <n v="20"/>
    <s v="En Cours"/>
    <x v="25"/>
    <x v="0"/>
    <s v="Huawei"/>
  </r>
  <r>
    <s v="Logs_Reseau_Part_06.xlsx"/>
    <d v="2023-10-28T03:55:00"/>
    <n v="5.4166666666666669E-2"/>
    <s v="ANT-0643"/>
    <n v="78"/>
    <s v="Non Résolu"/>
    <x v="2"/>
    <x v="1"/>
    <s v="Pas de correspondance"/>
  </r>
  <r>
    <s v="Logs_Reseau_Part_06.xlsx"/>
    <d v="2023-10-22T20:09:00"/>
    <n v="1.2500000000000001E-2"/>
    <s v="ANT-0644"/>
    <n v="18"/>
    <s v="Résolu"/>
    <x v="2"/>
    <x v="1"/>
    <s v="Pas de correspondance"/>
  </r>
  <r>
    <s v="Logs_Reseau_Part_05.xlsx"/>
    <d v="2023-10-15T02:38:00"/>
    <n v="7.0833333333333331E-2"/>
    <s v="ANT-0646"/>
    <n v="102"/>
    <s v="Non Résolu"/>
    <x v="2"/>
    <x v="1"/>
    <s v="Pas de correspondance"/>
  </r>
  <r>
    <s v="Logs_Reseau_Part_22.xlsx"/>
    <d v="2023-10-11T20:11:00"/>
    <n v="4.8611111111111112E-3"/>
    <s v="ANT-0646"/>
    <n v="7"/>
    <s v="Résolu"/>
    <x v="2"/>
    <x v="1"/>
    <s v="Pas de correspondance"/>
  </r>
  <r>
    <s v="Logs_Reseau_Part_15.xlsx"/>
    <d v="2023-10-10T15:50:00"/>
    <d v="1899-12-30T01:07:00"/>
    <s v="ANT-0649"/>
    <n v="67"/>
    <s v="En Cours"/>
    <x v="0"/>
    <x v="3"/>
    <s v="ZTE"/>
  </r>
  <r>
    <s v="Logs_Reseau_Part_07.xlsx"/>
    <d v="2023-10-27T14:05:00"/>
    <d v="1899-12-30T00:33:00"/>
    <s v="ANT-0649"/>
    <n v="33"/>
    <s v="En Cours"/>
    <x v="0"/>
    <x v="3"/>
    <s v="ZTE"/>
  </r>
  <r>
    <s v="Logs_Reseau_Part_08.xlsx"/>
    <d v="2023-10-02T00:13:00"/>
    <d v="1899-12-30T00:56:00"/>
    <s v="ANT-0649"/>
    <n v="56"/>
    <s v="Non Résolu"/>
    <x v="0"/>
    <x v="3"/>
    <s v="ZTE"/>
  </r>
  <r>
    <s v="Logs_Reseau_Part_02.xlsx"/>
    <d v="2023-10-19T15:15:00"/>
    <n v="1.1805555555555555E-2"/>
    <s v="ANT-0650"/>
    <n v="17"/>
    <s v="En Cours"/>
    <x v="2"/>
    <x v="1"/>
    <s v="Pas de correspondance"/>
  </r>
  <r>
    <s v="Logs_Reseau_Part_02.xlsx"/>
    <d v="2023-10-15T04:27:00"/>
    <n v="2.5000000000000001E-2"/>
    <s v="ANT-0650"/>
    <n v="36"/>
    <s v="Non Résolu"/>
    <x v="2"/>
    <x v="1"/>
    <s v="Pas de correspondance"/>
  </r>
  <r>
    <s v="Logs_Reseau_Part_18.xlsx"/>
    <d v="2023-10-30T01:35:00"/>
    <d v="1899-12-30T01:33:00"/>
    <s v="ANT-0653"/>
    <n v="93"/>
    <s v="Résolu"/>
    <x v="13"/>
    <x v="2"/>
    <s v="ZTE"/>
  </r>
  <r>
    <s v="Logs_Reseau_Part_23.xlsx"/>
    <d v="2023-10-02T05:06:00"/>
    <d v="1899-12-30T00:40:00"/>
    <s v="ANT-0653"/>
    <n v="40"/>
    <s v="Non Résolu"/>
    <x v="13"/>
    <x v="2"/>
    <s v="ZTE"/>
  </r>
  <r>
    <s v="Logs_Reseau_Part_03.xlsx"/>
    <d v="2023-10-26T18:38:00"/>
    <d v="1899-12-30T01:11:00"/>
    <s v="ANT-0653"/>
    <n v="71"/>
    <s v="Résolu"/>
    <x v="13"/>
    <x v="2"/>
    <s v="ZTE"/>
  </r>
  <r>
    <s v="Logs_Reseau_Part_02.xlsx"/>
    <d v="2023-10-02T05:24:00"/>
    <d v="1899-12-30T01:23:00"/>
    <s v="ANT-0653"/>
    <n v="83"/>
    <s v="Non Résolu"/>
    <x v="13"/>
    <x v="2"/>
    <s v="ZTE"/>
  </r>
  <r>
    <s v="Logs_Reseau_Part_10.xlsx"/>
    <d v="2023-10-09T23:01:00"/>
    <d v="1899-12-30T01:38:00"/>
    <s v="ANT-0653"/>
    <n v="98"/>
    <s v="En Cours"/>
    <x v="13"/>
    <x v="2"/>
    <s v="ZTE"/>
  </r>
  <r>
    <s v="Logs_Reseau_Part_12.xlsx"/>
    <d v="2023-10-11T19:20:00"/>
    <n v="6.7361111111111108E-2"/>
    <s v="ANT-0654"/>
    <n v="97"/>
    <s v="Résolu"/>
    <x v="2"/>
    <x v="1"/>
    <s v="Pas de correspondance"/>
  </r>
  <r>
    <s v="Logs_Reseau_Part_17.xlsx"/>
    <d v="2023-10-16T02:08:00"/>
    <n v="4.0972222222222222E-2"/>
    <s v="ANT-0654"/>
    <n v="59"/>
    <s v="En Cours"/>
    <x v="2"/>
    <x v="1"/>
    <s v="Pas de correspondance"/>
  </r>
  <r>
    <s v="Logs_Reseau_Part_10.xlsx"/>
    <d v="2023-10-22T02:33:00"/>
    <n v="3.6111111111111108E-2"/>
    <s v="ANT-0655"/>
    <n v="52"/>
    <s v="En Cours"/>
    <x v="2"/>
    <x v="1"/>
    <s v="Pas de correspondance"/>
  </r>
  <r>
    <s v="Logs_Reseau_Part_01.xlsx"/>
    <d v="2023-10-28T11:38:00"/>
    <n v="1.6666666666666666E-2"/>
    <s v="ANT-0655"/>
    <n v="24"/>
    <s v="Non Résolu"/>
    <x v="2"/>
    <x v="1"/>
    <s v="Pas de correspondance"/>
  </r>
  <r>
    <s v="Logs_Reseau_Part_08.xlsx"/>
    <d v="2023-10-12T21:48:00"/>
    <n v="2.2222222222222223E-2"/>
    <s v="ANT-0656"/>
    <n v="32"/>
    <s v="Non Résolu"/>
    <x v="2"/>
    <x v="1"/>
    <s v="Pas de correspondance"/>
  </r>
  <r>
    <s v="Logs_Reseau_Part_21.xlsx"/>
    <d v="2023-10-13T04:49:00"/>
    <n v="5.6944444444444443E-2"/>
    <s v="ANT-0656"/>
    <n v="82"/>
    <s v="Résolu"/>
    <x v="2"/>
    <x v="1"/>
    <s v="Pas de correspondance"/>
  </r>
  <r>
    <s v="Logs_Reseau_Part_09.xlsx"/>
    <d v="2023-10-20T22:05:00"/>
    <n v="6.3194444444444442E-2"/>
    <s v="ANT-0657"/>
    <n v="91"/>
    <s v="En Cours"/>
    <x v="2"/>
    <x v="1"/>
    <s v="Pas de correspondance"/>
  </r>
  <r>
    <s v="Logs_Reseau_Part_25.xlsx"/>
    <d v="2023-10-09T17:04:00"/>
    <n v="5.2083333333333336E-2"/>
    <s v="ANT-0661"/>
    <n v="75"/>
    <s v="Non Résolu"/>
    <x v="2"/>
    <x v="1"/>
    <s v="Pas de correspondance"/>
  </r>
  <r>
    <s v="Logs_Reseau_Part_10.xlsx"/>
    <d v="2023-10-04T11:27:00"/>
    <n v="6.458333333333334E-2"/>
    <s v="ANT-0661"/>
    <n v="93"/>
    <s v="Non Résolu"/>
    <x v="2"/>
    <x v="1"/>
    <s v="Pas de correspondance"/>
  </r>
  <r>
    <s v="Logs_Reseau_Part_12.xlsx"/>
    <d v="2023-10-30T17:21:00"/>
    <d v="1899-12-30T01:16:00"/>
    <s v="ANT-0662"/>
    <n v="76"/>
    <s v="Non Résolu"/>
    <x v="0"/>
    <x v="0"/>
    <s v="Ericsson"/>
  </r>
  <r>
    <s v="Logs_Reseau_Part_06.xlsx"/>
    <d v="2023-10-28T14:06:00"/>
    <d v="1899-12-30T00:50:00"/>
    <s v="ANT-0662"/>
    <n v="50"/>
    <s v="Non Résolu"/>
    <x v="0"/>
    <x v="0"/>
    <s v="Ericsson"/>
  </r>
  <r>
    <s v="Logs_Reseau_Part_04.xlsx"/>
    <d v="2023-10-05T07:08:00"/>
    <d v="1899-12-30T01:51:00"/>
    <s v="ANT-0662"/>
    <n v="111"/>
    <s v="Non Résolu"/>
    <x v="0"/>
    <x v="0"/>
    <s v="Ericsson"/>
  </r>
  <r>
    <s v="Logs_Reseau_Part_17.xlsx"/>
    <d v="2023-10-15T00:27:00"/>
    <d v="1899-12-30T01:55:00"/>
    <s v="ANT-0662"/>
    <n v="115"/>
    <s v="Non Résolu"/>
    <x v="0"/>
    <x v="0"/>
    <s v="Ericsson"/>
  </r>
  <r>
    <s v="Logs_Reseau_Part_21.xlsx"/>
    <d v="2023-10-28T07:08:00"/>
    <d v="1899-12-30T01:32:00"/>
    <s v="ANT-0663"/>
    <n v="92"/>
    <s v="En Cours"/>
    <x v="5"/>
    <x v="3"/>
    <s v="Nokia"/>
  </r>
  <r>
    <s v="Logs_Reseau_Part_12.xlsx"/>
    <d v="2023-10-25T19:58:00"/>
    <n v="6.9444444444444448E-2"/>
    <s v="ANT-0667"/>
    <n v="100"/>
    <s v="Résolu"/>
    <x v="2"/>
    <x v="1"/>
    <s v="Pas de correspondance"/>
  </r>
  <r>
    <s v="Logs_Reseau_Part_12.xlsx"/>
    <d v="2023-10-31T07:17:00"/>
    <d v="1899-12-30T01:23:00"/>
    <s v="ANT-0668"/>
    <n v="83"/>
    <s v="En Cours"/>
    <x v="21"/>
    <x v="2"/>
    <s v="Nokia"/>
  </r>
  <r>
    <s v="Logs_Reseau_Part_21.xlsx"/>
    <d v="2023-10-21T03:43:00"/>
    <d v="1899-12-30T00:53:00"/>
    <s v="ANT-0668"/>
    <n v="53"/>
    <s v="Résolu"/>
    <x v="21"/>
    <x v="2"/>
    <s v="Nokia"/>
  </r>
  <r>
    <s v="Logs_Reseau_Part_12.xlsx"/>
    <d v="2023-10-27T21:15:00"/>
    <n v="6.6666666666666666E-2"/>
    <s v="ANT-0669"/>
    <n v="96"/>
    <s v="En Cours"/>
    <x v="2"/>
    <x v="1"/>
    <s v="Pas de correspondance"/>
  </r>
  <r>
    <s v="Logs_Reseau_Part_13.xlsx"/>
    <d v="2023-10-03T12:42:00"/>
    <d v="1899-12-30T01:49:00"/>
    <s v="ANT-0670"/>
    <n v="109"/>
    <s v="Non Résolu"/>
    <x v="22"/>
    <x v="2"/>
    <s v="Huawei"/>
  </r>
  <r>
    <s v="Logs_Reseau_Part_16.xlsx"/>
    <d v="2023-10-20T12:39:00"/>
    <d v="1899-12-30T01:35:00"/>
    <s v="ANT-0670"/>
    <n v="95"/>
    <s v="Résolu"/>
    <x v="22"/>
    <x v="2"/>
    <s v="Huawei"/>
  </r>
  <r>
    <s v="Logs_Reseau_Part_23.xlsx"/>
    <d v="2023-10-12T21:20:00"/>
    <d v="1899-12-30T01:27:00"/>
    <s v="ANT-0670"/>
    <n v="87"/>
    <s v="Non Résolu"/>
    <x v="22"/>
    <x v="2"/>
    <s v="Huawei"/>
  </r>
  <r>
    <s v="Logs_Reseau_Part_23.xlsx"/>
    <d v="2023-10-27T23:57:00"/>
    <d v="1899-12-30T00:53:00"/>
    <s v="ANT-0671"/>
    <n v="53"/>
    <s v="En Cours"/>
    <x v="0"/>
    <x v="0"/>
    <s v="Ericsson"/>
  </r>
  <r>
    <s v="Logs_Reseau_Part_25.xlsx"/>
    <d v="2023-10-08T04:47:00"/>
    <n v="1.9444444444444445E-2"/>
    <s v="ANT-0672"/>
    <n v="28"/>
    <s v="Non Résolu"/>
    <x v="2"/>
    <x v="1"/>
    <s v="Pas de correspondance"/>
  </r>
  <r>
    <s v="Logs_Reseau_Part_21.xlsx"/>
    <d v="2023-10-15T01:58:00"/>
    <n v="6.0416666666666667E-2"/>
    <s v="ANT-0672"/>
    <n v="87"/>
    <s v="Non Résolu"/>
    <x v="2"/>
    <x v="1"/>
    <s v="Pas de correspondance"/>
  </r>
  <r>
    <s v="Logs_Reseau_Part_05.xlsx"/>
    <d v="2023-10-20T19:14:00"/>
    <d v="1899-12-30T01:05:00"/>
    <s v="ANT-0674"/>
    <n v="65"/>
    <s v="Non Résolu"/>
    <x v="18"/>
    <x v="3"/>
    <s v="ZTE"/>
  </r>
  <r>
    <s v="Logs_Reseau_Part_17.xlsx"/>
    <d v="2023-10-28T02:50:00"/>
    <n v="4.2361111111111113E-2"/>
    <s v="ANT-0675"/>
    <n v="61"/>
    <s v="Non Résolu"/>
    <x v="2"/>
    <x v="1"/>
    <s v="Pas de correspondance"/>
  </r>
  <r>
    <s v="Logs_Reseau_Part_13.xlsx"/>
    <d v="2023-10-26T09:46:00"/>
    <d v="1899-12-30T01:14:00"/>
    <s v="ANT-0677"/>
    <n v="74"/>
    <s v="Résolu"/>
    <x v="26"/>
    <x v="0"/>
    <s v="Nokia"/>
  </r>
  <r>
    <s v="Logs_Reseau_Part_24.xlsx"/>
    <d v="2023-10-14T21:47:00"/>
    <d v="1899-12-30T00:52:00"/>
    <s v="ANT-0678"/>
    <n v="52"/>
    <s v="Résolu"/>
    <x v="13"/>
    <x v="2"/>
    <s v="Nokia"/>
  </r>
  <r>
    <s v="Logs_Reseau_Part_22.xlsx"/>
    <d v="2023-10-25T05:31:00"/>
    <d v="1899-12-30T00:20:00"/>
    <s v="ANT-0678"/>
    <n v="20"/>
    <s v="Résolu"/>
    <x v="13"/>
    <x v="2"/>
    <s v="Nokia"/>
  </r>
  <r>
    <s v="Logs_Reseau_Part_21.xlsx"/>
    <d v="2023-10-08T01:47:00"/>
    <d v="1899-12-30T00:57:00"/>
    <s v="ANT-0679"/>
    <n v="57"/>
    <s v="Résolu"/>
    <x v="21"/>
    <x v="2"/>
    <s v="Ericsson"/>
  </r>
  <r>
    <s v="Logs_Reseau_Part_18.xlsx"/>
    <d v="2023-10-08T16:02:00"/>
    <d v="1899-12-30T01:53:00"/>
    <s v="ANT-0679"/>
    <n v="113"/>
    <s v="Résolu"/>
    <x v="21"/>
    <x v="2"/>
    <s v="Ericsson"/>
  </r>
  <r>
    <s v="Logs_Reseau_Part_22.xlsx"/>
    <d v="2023-10-20T13:40:00"/>
    <d v="1899-12-30T01:36:00"/>
    <s v="ANT-0679"/>
    <n v="96"/>
    <s v="Résolu"/>
    <x v="21"/>
    <x v="2"/>
    <s v="Ericsson"/>
  </r>
  <r>
    <s v="Logs_Reseau_Part_04.xlsx"/>
    <d v="2023-10-04T22:49:00"/>
    <d v="1899-12-30T00:08:00"/>
    <s v="ANT-0680"/>
    <n v="8"/>
    <s v="Non Résolu"/>
    <x v="18"/>
    <x v="3"/>
    <s v="Huawei"/>
  </r>
  <r>
    <s v="Logs_Reseau_Part_20.xlsx"/>
    <d v="2023-10-06T19:20:00"/>
    <n v="7.6388888888888895E-2"/>
    <s v="ANT-0684"/>
    <n v="110"/>
    <s v="Résolu"/>
    <x v="2"/>
    <x v="1"/>
    <s v="Pas de correspondance"/>
  </r>
  <r>
    <s v="Logs_Reseau_Part_20.xlsx"/>
    <d v="2023-10-30T15:09:00"/>
    <d v="1899-12-30T01:21:00"/>
    <s v="ANT-0685"/>
    <n v="81"/>
    <s v="Résolu"/>
    <x v="18"/>
    <x v="2"/>
    <s v="Ericsson"/>
  </r>
  <r>
    <s v="Logs_Reseau_Part_12.xlsx"/>
    <d v="2023-10-05T22:21:00"/>
    <n v="4.583333333333333E-2"/>
    <s v="ANT-0686"/>
    <n v="66"/>
    <s v="Résolu"/>
    <x v="2"/>
    <x v="1"/>
    <s v="Pas de correspondance"/>
  </r>
  <r>
    <s v="Logs_Reseau_Part_25.xlsx"/>
    <d v="2023-10-14T10:01:00"/>
    <n v="6.9444444444444448E-2"/>
    <s v="ANT-0688"/>
    <n v="100"/>
    <s v="Résolu"/>
    <x v="2"/>
    <x v="1"/>
    <s v="Pas de correspondance"/>
  </r>
  <r>
    <s v="Logs_Reseau_Part_25.xlsx"/>
    <d v="2023-10-16T05:34:00"/>
    <n v="1.7361111111111112E-2"/>
    <s v="ANT-0688"/>
    <n v="25"/>
    <s v="Non Résolu"/>
    <x v="2"/>
    <x v="1"/>
    <s v="Pas de correspondance"/>
  </r>
  <r>
    <s v="Logs_Reseau_Part_25.xlsx"/>
    <d v="2023-10-25T06:55:00"/>
    <n v="8.0555555555555561E-2"/>
    <s v="ANT-0688"/>
    <n v="116"/>
    <s v="En Cours"/>
    <x v="2"/>
    <x v="1"/>
    <s v="Pas de correspondance"/>
  </r>
  <r>
    <s v="Logs_Reseau_Part_23.xlsx"/>
    <d v="2023-10-05T15:58:00"/>
    <n v="3.888888888888889E-2"/>
    <s v="ANT-0688"/>
    <n v="56"/>
    <s v="Résolu"/>
    <x v="2"/>
    <x v="1"/>
    <s v="Pas de correspondance"/>
  </r>
  <r>
    <s v="Logs_Reseau_Part_10.xlsx"/>
    <d v="2023-10-21T12:23:00"/>
    <n v="1.0416666666666666E-2"/>
    <s v="ANT-0688"/>
    <n v="15"/>
    <s v="En Cours"/>
    <x v="2"/>
    <x v="1"/>
    <s v="Pas de correspondance"/>
  </r>
  <r>
    <s v="Logs_Reseau_Part_15.xlsx"/>
    <d v="2023-10-10T08:31:00"/>
    <d v="1899-12-30T01:39:00"/>
    <s v="ANT-0690"/>
    <n v="99"/>
    <s v="Non Résolu"/>
    <x v="8"/>
    <x v="3"/>
    <s v="ZTE"/>
  </r>
  <r>
    <s v="Logs_Reseau_Part_13.xlsx"/>
    <d v="2023-10-05T14:47:00"/>
    <d v="1899-12-30T00:41:00"/>
    <s v="ANT-0690"/>
    <n v="41"/>
    <s v="En Cours"/>
    <x v="8"/>
    <x v="3"/>
    <s v="ZTE"/>
  </r>
  <r>
    <s v="Logs_Reseau_Part_14.xlsx"/>
    <d v="2023-10-30T14:54:00"/>
    <d v="1899-12-30T01:14:00"/>
    <s v="ANT-0691"/>
    <n v="74"/>
    <s v="En Cours"/>
    <x v="22"/>
    <x v="0"/>
    <s v="Huawei"/>
  </r>
  <r>
    <s v="Logs_Reseau_Part_09.xlsx"/>
    <d v="2023-10-07T10:38:00"/>
    <d v="1899-12-30T00:48:00"/>
    <s v="ANT-0695"/>
    <n v="48"/>
    <s v="En Cours"/>
    <x v="5"/>
    <x v="0"/>
    <s v="Huawei"/>
  </r>
  <r>
    <s v="Logs_Reseau_Part_10.xlsx"/>
    <d v="2023-10-26T06:56:00"/>
    <d v="1899-12-30T01:29:00"/>
    <s v="ANT-0695"/>
    <n v="89"/>
    <s v="Résolu"/>
    <x v="5"/>
    <x v="0"/>
    <s v="Huawei"/>
  </r>
  <r>
    <s v="Logs_Reseau_Part_10.xlsx"/>
    <d v="2023-10-12T17:21:00"/>
    <d v="1899-12-30T00:28:00"/>
    <s v="ANT-0696"/>
    <n v="28"/>
    <s v="Résolu"/>
    <x v="22"/>
    <x v="0"/>
    <s v="Huawei"/>
  </r>
  <r>
    <s v="Logs_Reseau_Part_06.xlsx"/>
    <d v="2023-10-08T13:02:00"/>
    <n v="3.7499999999999999E-2"/>
    <s v="ANT-0698"/>
    <n v="54"/>
    <s v="Résolu"/>
    <x v="2"/>
    <x v="1"/>
    <s v="Pas de correspondance"/>
  </r>
  <r>
    <s v="Logs_Reseau_Part_12.xlsx"/>
    <d v="2023-10-26T23:55:00"/>
    <n v="3.8194444444444448E-2"/>
    <s v="ANT-0698"/>
    <n v="55"/>
    <s v="Non Résolu"/>
    <x v="2"/>
    <x v="1"/>
    <s v="Pas de correspondance"/>
  </r>
  <r>
    <s v="Logs_Reseau_Part_15.xlsx"/>
    <d v="2023-10-26T07:45:00"/>
    <n v="3.2638888888888891E-2"/>
    <s v="ANT-0699"/>
    <n v="47"/>
    <s v="En Cours"/>
    <x v="2"/>
    <x v="1"/>
    <s v="Pas de correspondance"/>
  </r>
  <r>
    <s v="Logs_Reseau_Part_14.xlsx"/>
    <d v="2023-10-27T07:31:00"/>
    <d v="1899-12-30T01:06:00"/>
    <s v="ANT-0701"/>
    <n v="66"/>
    <s v="En Cours"/>
    <x v="23"/>
    <x v="3"/>
    <s v="Huawei"/>
  </r>
  <r>
    <s v="Logs_Reseau_Part_21.xlsx"/>
    <d v="2023-10-15T06:58:00"/>
    <d v="1899-12-30T00:27:00"/>
    <s v="ANT-0701"/>
    <n v="27"/>
    <s v="Non Résolu"/>
    <x v="23"/>
    <x v="3"/>
    <s v="Huawei"/>
  </r>
  <r>
    <s v="Logs_Reseau_Part_22.xlsx"/>
    <d v="2023-10-25T02:31:00"/>
    <d v="1899-12-30T01:38:00"/>
    <s v="ANT-0703"/>
    <n v="98"/>
    <s v="En Cours"/>
    <x v="24"/>
    <x v="2"/>
    <s v="ZTE"/>
  </r>
  <r>
    <s v="Logs_Reseau_Part_20.xlsx"/>
    <d v="2023-10-25T21:14:00"/>
    <n v="8.2638888888888887E-2"/>
    <s v="ANT-0704"/>
    <n v="119"/>
    <s v="Non Résolu"/>
    <x v="2"/>
    <x v="1"/>
    <s v="Pas de correspondance"/>
  </r>
  <r>
    <s v="Logs_Reseau_Part_22.xlsx"/>
    <d v="2023-10-28T09:26:00"/>
    <n v="4.6527777777777779E-2"/>
    <s v="ANT-0707"/>
    <n v="67"/>
    <s v="Résolu"/>
    <x v="2"/>
    <x v="1"/>
    <s v="Pas de correspondance"/>
  </r>
  <r>
    <s v="Logs_Reseau_Part_08.xlsx"/>
    <d v="2023-10-01T05:17:00"/>
    <n v="3.6805555555555557E-2"/>
    <s v="ANT-0707"/>
    <n v="53"/>
    <s v="Non Résolu"/>
    <x v="2"/>
    <x v="1"/>
    <s v="Pas de correspondance"/>
  </r>
  <r>
    <s v="Logs_Reseau_Part_02.xlsx"/>
    <d v="2023-10-20T02:43:00"/>
    <d v="1899-12-30T00:19:00"/>
    <s v="ANT-0708"/>
    <n v="19"/>
    <s v="Résolu"/>
    <x v="26"/>
    <x v="3"/>
    <s v="ZTE"/>
  </r>
  <r>
    <s v="Logs_Reseau_Part_17.xlsx"/>
    <d v="2023-10-19T00:55:00"/>
    <d v="1899-12-30T00:06:00"/>
    <s v="ANT-0708"/>
    <n v="6"/>
    <s v="Résolu"/>
    <x v="26"/>
    <x v="3"/>
    <s v="ZTE"/>
  </r>
  <r>
    <s v="Logs_Reseau_Part_04.xlsx"/>
    <d v="2023-10-25T00:15:00"/>
    <d v="1899-12-30T01:54:00"/>
    <s v="ANT-0708"/>
    <n v="114"/>
    <s v="En Cours"/>
    <x v="26"/>
    <x v="3"/>
    <s v="ZTE"/>
  </r>
  <r>
    <s v="Logs_Reseau_Part_04.xlsx"/>
    <d v="2023-10-31T22:12:00"/>
    <n v="6.25E-2"/>
    <s v="ANT-0709"/>
    <n v="90"/>
    <s v="Résolu"/>
    <x v="2"/>
    <x v="1"/>
    <s v="Pas de correspondance"/>
  </r>
  <r>
    <s v="Logs_Reseau_Part_15.xlsx"/>
    <d v="2023-10-11T12:00:00"/>
    <n v="2.0833333333333332E-2"/>
    <s v="ANT-0710"/>
    <n v="30"/>
    <s v="Résolu"/>
    <x v="2"/>
    <x v="1"/>
    <s v="Pas de correspondance"/>
  </r>
  <r>
    <s v="Logs_Reseau_Part_22.xlsx"/>
    <d v="2023-10-11T22:11:00"/>
    <n v="2.2222222222222223E-2"/>
    <s v="ANT-0712"/>
    <n v="32"/>
    <s v="Non Résolu"/>
    <x v="2"/>
    <x v="1"/>
    <s v="Pas de correspondance"/>
  </r>
  <r>
    <s v="Logs_Reseau_Part_14.xlsx"/>
    <d v="2023-10-24T13:18:00"/>
    <d v="1899-12-30T01:26:00"/>
    <s v="ANT-0714"/>
    <n v="86"/>
    <s v="Non Résolu"/>
    <x v="16"/>
    <x v="3"/>
    <s v="Nokia"/>
  </r>
  <r>
    <s v="Logs_Reseau_Part_20.xlsx"/>
    <d v="2023-10-28T18:02:00"/>
    <d v="1899-12-30T00:42:00"/>
    <s v="ANT-0714"/>
    <n v="42"/>
    <s v="Résolu"/>
    <x v="16"/>
    <x v="3"/>
    <s v="Nokia"/>
  </r>
  <r>
    <s v="Logs_Reseau_Part_19.xlsx"/>
    <d v="2023-10-15T03:51:00"/>
    <d v="1899-12-30T01:48:00"/>
    <s v="ANT-0715"/>
    <n v="108"/>
    <s v="En Cours"/>
    <x v="11"/>
    <x v="0"/>
    <s v="ZTE"/>
  </r>
  <r>
    <s v="Logs_Reseau_Part_14.xlsx"/>
    <d v="2023-10-11T20:05:00"/>
    <d v="1899-12-30T01:58:00"/>
    <s v="ANT-0715"/>
    <n v="118"/>
    <s v="Résolu"/>
    <x v="11"/>
    <x v="0"/>
    <s v="ZTE"/>
  </r>
  <r>
    <s v="Logs_Reseau_Part_05.xlsx"/>
    <d v="2023-10-27T18:58:00"/>
    <d v="1899-12-30T01:08:00"/>
    <s v="ANT-0716"/>
    <n v="68"/>
    <s v="En Cours"/>
    <x v="23"/>
    <x v="3"/>
    <s v="Nokia"/>
  </r>
  <r>
    <s v="Logs_Reseau_Part_22.xlsx"/>
    <d v="2023-10-31T00:57:00"/>
    <d v="1899-12-30T01:57:00"/>
    <s v="ANT-0718"/>
    <n v="117"/>
    <s v="Non Résolu"/>
    <x v="21"/>
    <x v="3"/>
    <s v="Nokia"/>
  </r>
  <r>
    <s v="Logs_Reseau_Part_18.xlsx"/>
    <d v="2023-10-03T15:29:00"/>
    <d v="1899-12-30T01:46:00"/>
    <s v="ANT-0718"/>
    <n v="106"/>
    <s v="En Cours"/>
    <x v="21"/>
    <x v="3"/>
    <s v="Nokia"/>
  </r>
  <r>
    <s v="Logs_Reseau_Part_19.xlsx"/>
    <d v="2023-10-03T18:37:00"/>
    <d v="1899-12-30T01:12:00"/>
    <s v="ANT-0718"/>
    <n v="72"/>
    <s v="Résolu"/>
    <x v="21"/>
    <x v="3"/>
    <s v="Nokia"/>
  </r>
  <r>
    <s v="Logs_Reseau_Part_07.xlsx"/>
    <d v="2023-10-26T07:37:00"/>
    <d v="1899-12-30T00:56:00"/>
    <s v="ANT-0719"/>
    <n v="56"/>
    <s v="Non Résolu"/>
    <x v="0"/>
    <x v="2"/>
    <s v="Nokia"/>
  </r>
  <r>
    <s v="Logs_Reseau_Part_04.xlsx"/>
    <d v="2023-10-27T14:58:00"/>
    <d v="1899-12-30T01:38:00"/>
    <s v="ANT-0719"/>
    <n v="98"/>
    <s v="En Cours"/>
    <x v="0"/>
    <x v="2"/>
    <s v="Nokia"/>
  </r>
  <r>
    <s v="Logs_Reseau_Part_19.xlsx"/>
    <d v="2023-10-22T20:41:00"/>
    <d v="1899-12-30T01:05:00"/>
    <s v="ANT-0721"/>
    <n v="65"/>
    <s v="Résolu"/>
    <x v="24"/>
    <x v="0"/>
    <s v="Ericsson"/>
  </r>
  <r>
    <s v="Logs_Reseau_Part_02.xlsx"/>
    <d v="2023-10-07T09:13:00"/>
    <n v="7.5694444444444439E-2"/>
    <s v="ANT-0723"/>
    <n v="109"/>
    <s v="En Cours"/>
    <x v="2"/>
    <x v="1"/>
    <s v="Pas de correspondance"/>
  </r>
  <r>
    <s v="Logs_Reseau_Part_24.xlsx"/>
    <d v="2023-10-27T01:44:00"/>
    <n v="2.013888888888889E-2"/>
    <s v="ANT-0725"/>
    <n v="29"/>
    <s v="En Cours"/>
    <x v="2"/>
    <x v="1"/>
    <s v="Pas de correspondance"/>
  </r>
  <r>
    <s v="Logs_Reseau_Part_15.xlsx"/>
    <d v="2023-10-05T02:11:00"/>
    <n v="5.6250000000000001E-2"/>
    <s v="ANT-0726"/>
    <n v="81"/>
    <s v="Résolu"/>
    <x v="2"/>
    <x v="1"/>
    <s v="Pas de correspondance"/>
  </r>
  <r>
    <s v="Logs_Reseau_Part_08.xlsx"/>
    <d v="2023-10-22T03:26:00"/>
    <n v="2.9861111111111113E-2"/>
    <s v="ANT-0727"/>
    <n v="43"/>
    <s v="Résolu"/>
    <x v="2"/>
    <x v="1"/>
    <s v="Pas de correspondance"/>
  </r>
  <r>
    <s v="Logs_Reseau_Part_05.xlsx"/>
    <d v="2023-10-31T21:53:00"/>
    <n v="1.1111111111111112E-2"/>
    <s v="ANT-0727"/>
    <n v="16"/>
    <s v="Non Résolu"/>
    <x v="2"/>
    <x v="1"/>
    <s v="Pas de correspondance"/>
  </r>
  <r>
    <s v="Logs_Reseau_Part_24.xlsx"/>
    <d v="2023-10-29T23:32:00"/>
    <n v="2.5694444444444443E-2"/>
    <s v="ANT-0727"/>
    <n v="37"/>
    <s v="Non Résolu"/>
    <x v="2"/>
    <x v="1"/>
    <s v="Pas de correspondance"/>
  </r>
  <r>
    <s v="Logs_Reseau_Part_21.xlsx"/>
    <d v="2023-10-12T22:12:00"/>
    <n v="2.7777777777777776E-2"/>
    <s v="ANT-0729"/>
    <n v="40"/>
    <s v="En Cours"/>
    <x v="2"/>
    <x v="1"/>
    <s v="Pas de correspondance"/>
  </r>
  <r>
    <s v="Logs_Reseau_Part_18.xlsx"/>
    <d v="2023-10-06T15:22:00"/>
    <n v="3.6111111111111108E-2"/>
    <s v="ANT-0729"/>
    <n v="52"/>
    <s v="Résolu"/>
    <x v="2"/>
    <x v="1"/>
    <s v="Pas de correspondance"/>
  </r>
  <r>
    <s v="Logs_Reseau_Part_04.xlsx"/>
    <d v="2023-10-16T21:07:00"/>
    <n v="1.1111111111111112E-2"/>
    <s v="ANT-0729"/>
    <n v="16"/>
    <s v="Non Résolu"/>
    <x v="2"/>
    <x v="1"/>
    <s v="Pas de correspondance"/>
  </r>
  <r>
    <s v="Logs_Reseau_Part_09.xlsx"/>
    <d v="2023-10-17T11:01:00"/>
    <n v="6.9444444444444448E-2"/>
    <s v="ANT-0729"/>
    <n v="100"/>
    <s v="Non Résolu"/>
    <x v="2"/>
    <x v="1"/>
    <s v="Pas de correspondance"/>
  </r>
  <r>
    <s v="Logs_Reseau_Part_07.xlsx"/>
    <d v="2023-10-22T23:44:00"/>
    <n v="0.05"/>
    <s v="ANT-0730"/>
    <n v="72"/>
    <s v="Non Résolu"/>
    <x v="2"/>
    <x v="1"/>
    <s v="Pas de correspondance"/>
  </r>
  <r>
    <s v="Logs_Reseau_Part_07.xlsx"/>
    <d v="2023-10-02T10:15:00"/>
    <n v="6.805555555555555E-2"/>
    <s v="ANT-0730"/>
    <n v="98"/>
    <s v="Non Résolu"/>
    <x v="2"/>
    <x v="1"/>
    <s v="Pas de correspondance"/>
  </r>
  <r>
    <s v="Logs_Reseau_Part_03.xlsx"/>
    <d v="2023-10-02T07:30:00"/>
    <d v="1899-12-30T01:30:00"/>
    <s v="ANT-0731"/>
    <n v="90"/>
    <s v="Non Résolu"/>
    <x v="14"/>
    <x v="2"/>
    <s v="Nokia"/>
  </r>
  <r>
    <s v="Logs_Reseau_Part_20.xlsx"/>
    <d v="2023-10-04T10:13:00"/>
    <n v="4.3055555555555555E-2"/>
    <s v="ANT-0732"/>
    <n v="62"/>
    <s v="Résolu"/>
    <x v="2"/>
    <x v="1"/>
    <s v="Pas de correspondance"/>
  </r>
  <r>
    <s v="Logs_Reseau_Part_12.xlsx"/>
    <d v="2023-10-16T00:23:00"/>
    <d v="1899-12-30T01:14:00"/>
    <s v="ANT-0735"/>
    <n v="74"/>
    <s v="Résolu"/>
    <x v="12"/>
    <x v="0"/>
    <s v="Huawei"/>
  </r>
  <r>
    <s v="Logs_Reseau_Part_01.xlsx"/>
    <d v="2023-10-14T01:01:00"/>
    <d v="1899-12-30T01:59:00"/>
    <s v="ANT-0737"/>
    <n v="119"/>
    <s v="Non Résolu"/>
    <x v="21"/>
    <x v="2"/>
    <s v="Ericsson"/>
  </r>
  <r>
    <s v="Logs_Reseau_Part_16.xlsx"/>
    <d v="2023-10-01T22:13:00"/>
    <d v="1899-12-30T01:16:00"/>
    <s v="ANT-0737"/>
    <n v="76"/>
    <s v="En Cours"/>
    <x v="21"/>
    <x v="2"/>
    <s v="Ericsson"/>
  </r>
  <r>
    <s v="Logs_Reseau_Part_03.xlsx"/>
    <d v="2023-10-14T00:33:00"/>
    <d v="1899-12-30T00:56:00"/>
    <s v="ANT-0737"/>
    <n v="56"/>
    <s v="En Cours"/>
    <x v="21"/>
    <x v="2"/>
    <s v="Ericsson"/>
  </r>
  <r>
    <s v="Logs_Reseau_Part_22.xlsx"/>
    <d v="2023-10-19T09:10:00"/>
    <d v="1899-12-30T01:21:00"/>
    <s v="ANT-0737"/>
    <n v="81"/>
    <s v="Non Résolu"/>
    <x v="21"/>
    <x v="2"/>
    <s v="Ericsson"/>
  </r>
  <r>
    <s v="Logs_Reseau_Part_13.xlsx"/>
    <d v="2023-10-20T11:26:00"/>
    <d v="1899-12-30T00:57:00"/>
    <s v="ANT-0737"/>
    <n v="57"/>
    <s v="Résolu"/>
    <x v="21"/>
    <x v="2"/>
    <s v="Ericsson"/>
  </r>
  <r>
    <s v="Logs_Reseau_Part_04.xlsx"/>
    <d v="2023-10-25T13:16:00"/>
    <d v="1899-12-30T01:00:00"/>
    <s v="ANT-0738"/>
    <n v="60"/>
    <s v="Non Résolu"/>
    <x v="24"/>
    <x v="0"/>
    <s v="ZTE"/>
  </r>
  <r>
    <s v="Logs_Reseau_Part_11.xlsx"/>
    <d v="2023-10-19T05:49:00"/>
    <n v="4.4444444444444446E-2"/>
    <s v="ANT-0739"/>
    <n v="64"/>
    <s v="Résolu"/>
    <x v="2"/>
    <x v="1"/>
    <s v="Pas de correspondance"/>
  </r>
  <r>
    <s v="Logs_Reseau_Part_17.xlsx"/>
    <d v="2023-10-03T20:50:00"/>
    <n v="6.3194444444444442E-2"/>
    <s v="ANT-0739"/>
    <n v="91"/>
    <s v="Non Résolu"/>
    <x v="2"/>
    <x v="1"/>
    <s v="Pas de correspondance"/>
  </r>
  <r>
    <s v="Logs_Reseau_Part_06.xlsx"/>
    <d v="2023-10-13T14:59:00"/>
    <n v="7.8472222222222221E-2"/>
    <s v="ANT-0739"/>
    <n v="113"/>
    <s v="En Cours"/>
    <x v="2"/>
    <x v="1"/>
    <s v="Pas de correspondance"/>
  </r>
  <r>
    <s v="Logs_Reseau_Part_01.xlsx"/>
    <d v="2023-10-22T23:57:00"/>
    <n v="5.486111111111111E-2"/>
    <s v="ANT-0740"/>
    <n v="79"/>
    <s v="En Cours"/>
    <x v="2"/>
    <x v="1"/>
    <s v="Pas de correspondance"/>
  </r>
  <r>
    <s v="Logs_Reseau_Part_14.xlsx"/>
    <d v="2023-10-08T07:19:00"/>
    <n v="3.4722222222222224E-2"/>
    <s v="ANT-0740"/>
    <n v="50"/>
    <s v="Non Résolu"/>
    <x v="2"/>
    <x v="1"/>
    <s v="Pas de correspondance"/>
  </r>
  <r>
    <s v="Logs_Reseau_Part_13.xlsx"/>
    <d v="2023-10-03T16:28:00"/>
    <n v="3.6805555555555557E-2"/>
    <s v="ANT-0743"/>
    <n v="53"/>
    <s v="Résolu"/>
    <x v="2"/>
    <x v="1"/>
    <s v="Pas de correspondance"/>
  </r>
  <r>
    <s v="Logs_Reseau_Part_25.xlsx"/>
    <d v="2023-10-02T22:54:00"/>
    <n v="2.2222222222222223E-2"/>
    <s v="ANT-0744"/>
    <n v="32"/>
    <s v="Non Résolu"/>
    <x v="2"/>
    <x v="1"/>
    <s v="Pas de correspondance"/>
  </r>
  <r>
    <s v="Logs_Reseau_Part_15.xlsx"/>
    <d v="2023-10-12T03:05:00"/>
    <d v="1899-12-30T01:50:00"/>
    <s v="ANT-0745"/>
    <n v="110"/>
    <s v="Non Résolu"/>
    <x v="19"/>
    <x v="2"/>
    <s v="Ericsson"/>
  </r>
  <r>
    <s v="Logs_Reseau_Part_13.xlsx"/>
    <d v="2023-10-08T01:42:00"/>
    <d v="1899-12-30T01:34:00"/>
    <s v="ANT-0746"/>
    <n v="94"/>
    <s v="Non Résolu"/>
    <x v="23"/>
    <x v="2"/>
    <s v="Ericsson"/>
  </r>
  <r>
    <s v="Logs_Reseau_Part_06.xlsx"/>
    <d v="2023-10-22T17:24:00"/>
    <d v="1899-12-30T00:55:00"/>
    <s v="ANT-0750"/>
    <n v="55"/>
    <s v="Non Résolu"/>
    <x v="14"/>
    <x v="3"/>
    <s v="Ericsson"/>
  </r>
  <r>
    <s v="Logs_Reseau_Part_24.xlsx"/>
    <d v="2023-10-04T14:29:00"/>
    <d v="1899-12-30T01:46:00"/>
    <s v="ANT-0753"/>
    <n v="106"/>
    <s v="Non Résolu"/>
    <x v="6"/>
    <x v="2"/>
    <s v="Huawei"/>
  </r>
  <r>
    <s v="Logs_Reseau_Part_16.xlsx"/>
    <d v="2023-10-22T15:33:00"/>
    <d v="1899-12-30T01:07:00"/>
    <s v="ANT-0754"/>
    <n v="67"/>
    <s v="Résolu"/>
    <x v="22"/>
    <x v="3"/>
    <s v="Nokia"/>
  </r>
  <r>
    <s v="Logs_Reseau_Part_19.xlsx"/>
    <d v="2023-10-18T07:06:00"/>
    <n v="8.2638888888888887E-2"/>
    <s v="ANT-0756"/>
    <n v="119"/>
    <s v="Résolu"/>
    <x v="2"/>
    <x v="1"/>
    <s v="Pas de correspondance"/>
  </r>
  <r>
    <s v="Logs_Reseau_Part_12.xlsx"/>
    <d v="2023-10-23T22:31:00"/>
    <n v="2.5000000000000001E-2"/>
    <s v="ANT-0757"/>
    <n v="36"/>
    <s v="Résolu"/>
    <x v="2"/>
    <x v="1"/>
    <s v="Pas de correspondance"/>
  </r>
  <r>
    <s v="Logs_Reseau_Part_02.xlsx"/>
    <d v="2023-10-14T22:46:00"/>
    <d v="1899-12-30T01:12:00"/>
    <s v="ANT-0760"/>
    <n v="72"/>
    <s v="Non Résolu"/>
    <x v="15"/>
    <x v="0"/>
    <s v="Nokia"/>
  </r>
  <r>
    <s v="Logs_Reseau_Part_16.xlsx"/>
    <d v="2023-10-12T09:21:00"/>
    <n v="5.2777777777777778E-2"/>
    <s v="ANT-0761"/>
    <n v="76"/>
    <s v="Non Résolu"/>
    <x v="2"/>
    <x v="1"/>
    <s v="Pas de correspondance"/>
  </r>
  <r>
    <s v="Logs_Reseau_Part_03.xlsx"/>
    <d v="2023-10-13T22:18:00"/>
    <n v="8.1944444444444445E-2"/>
    <s v="ANT-0762"/>
    <n v="118"/>
    <s v="En Cours"/>
    <x v="2"/>
    <x v="1"/>
    <s v="Pas de correspondance"/>
  </r>
  <r>
    <s v="Logs_Reseau_Part_08.xlsx"/>
    <d v="2023-10-16T19:28:00"/>
    <n v="4.8611111111111112E-3"/>
    <s v="ANT-0764"/>
    <n v="7"/>
    <s v="En Cours"/>
    <x v="2"/>
    <x v="1"/>
    <s v="Pas de correspondance"/>
  </r>
  <r>
    <s v="Logs_Reseau_Part_04.xlsx"/>
    <d v="2023-10-16T03:27:00"/>
    <n v="7.4305555555555555E-2"/>
    <s v="ANT-0764"/>
    <n v="107"/>
    <s v="Non Résolu"/>
    <x v="2"/>
    <x v="1"/>
    <s v="Pas de correspondance"/>
  </r>
  <r>
    <s v="Logs_Reseau_Part_18.xlsx"/>
    <d v="2023-10-19T21:46:00"/>
    <n v="5.5555555555555558E-3"/>
    <s v="ANT-0766"/>
    <n v="8"/>
    <s v="En Cours"/>
    <x v="2"/>
    <x v="1"/>
    <s v="Pas de correspondance"/>
  </r>
  <r>
    <s v="Logs_Reseau_Part_06.xlsx"/>
    <d v="2023-10-24T02:27:00"/>
    <n v="7.2222222222222215E-2"/>
    <s v="ANT-0766"/>
    <n v="104"/>
    <s v="Non Résolu"/>
    <x v="2"/>
    <x v="1"/>
    <s v="Pas de correspondance"/>
  </r>
  <r>
    <s v="Logs_Reseau_Part_17.xlsx"/>
    <d v="2023-10-02T01:06:00"/>
    <n v="5.7638888888888892E-2"/>
    <s v="ANT-0766"/>
    <n v="83"/>
    <s v="Non Résolu"/>
    <x v="2"/>
    <x v="1"/>
    <s v="Pas de correspondance"/>
  </r>
  <r>
    <s v="Logs_Reseau_Part_10.xlsx"/>
    <d v="2023-10-11T04:02:00"/>
    <d v="1899-12-30T01:50:00"/>
    <s v="ANT-0768"/>
    <n v="110"/>
    <s v="Résolu"/>
    <x v="24"/>
    <x v="0"/>
    <s v="Huawei"/>
  </r>
  <r>
    <s v="Logs_Reseau_Part_16.xlsx"/>
    <d v="2023-10-13T18:07:00"/>
    <d v="1899-12-30T01:52:00"/>
    <s v="ANT-0770"/>
    <n v="112"/>
    <s v="En Cours"/>
    <x v="25"/>
    <x v="0"/>
    <s v="Ericsson"/>
  </r>
  <r>
    <s v="Logs_Reseau_Part_25.xlsx"/>
    <d v="2023-10-22T04:01:00"/>
    <d v="1899-12-30T01:18:00"/>
    <s v="ANT-0770"/>
    <n v="78"/>
    <s v="Non Résolu"/>
    <x v="25"/>
    <x v="0"/>
    <s v="Ericsson"/>
  </r>
  <r>
    <s v="Logs_Reseau_Part_03.xlsx"/>
    <d v="2023-10-10T12:35:00"/>
    <d v="1899-12-30T00:27:00"/>
    <s v="ANT-0770"/>
    <n v="27"/>
    <s v="En Cours"/>
    <x v="25"/>
    <x v="0"/>
    <s v="Ericsson"/>
  </r>
  <r>
    <s v="Logs_Reseau_Part_20.xlsx"/>
    <d v="2023-10-31T18:25:00"/>
    <n v="1.1111111111111112E-2"/>
    <s v="ANT-0771"/>
    <n v="16"/>
    <s v="En Cours"/>
    <x v="2"/>
    <x v="1"/>
    <s v="Pas de correspondance"/>
  </r>
  <r>
    <s v="Logs_Reseau_Part_03.xlsx"/>
    <d v="2023-10-12T23:50:00"/>
    <n v="2.013888888888889E-2"/>
    <s v="ANT-0774"/>
    <n v="29"/>
    <s v="Non Résolu"/>
    <x v="2"/>
    <x v="1"/>
    <s v="Pas de correspondance"/>
  </r>
  <r>
    <s v="Logs_Reseau_Part_12.xlsx"/>
    <d v="2023-10-02T22:08:00"/>
    <d v="1899-12-30T00:32:00"/>
    <s v="ANT-0775"/>
    <n v="32"/>
    <s v="Résolu"/>
    <x v="3"/>
    <x v="3"/>
    <s v="Huawei"/>
  </r>
  <r>
    <s v="Logs_Reseau_Part_13.xlsx"/>
    <d v="2023-10-10T22:07:00"/>
    <d v="1899-12-30T01:59:00"/>
    <s v="ANT-0775"/>
    <n v="119"/>
    <s v="Résolu"/>
    <x v="3"/>
    <x v="3"/>
    <s v="Huawei"/>
  </r>
  <r>
    <s v="Logs_Reseau_Part_16.xlsx"/>
    <d v="2023-10-01T23:39:00"/>
    <d v="1899-12-30T00:29:00"/>
    <s v="ANT-0775"/>
    <n v="29"/>
    <s v="En Cours"/>
    <x v="3"/>
    <x v="3"/>
    <s v="Huawei"/>
  </r>
  <r>
    <s v="Logs_Reseau_Part_20.xlsx"/>
    <d v="2023-10-24T10:28:00"/>
    <d v="1899-12-30T00:26:00"/>
    <s v="ANT-0775"/>
    <n v="26"/>
    <s v="Résolu"/>
    <x v="3"/>
    <x v="3"/>
    <s v="Huawei"/>
  </r>
  <r>
    <s v="Logs_Reseau_Part_05.xlsx"/>
    <d v="2023-10-06T00:26:00"/>
    <d v="1899-12-30T01:07:00"/>
    <s v="ANT-0775"/>
    <n v="67"/>
    <s v="En Cours"/>
    <x v="3"/>
    <x v="3"/>
    <s v="Huawei"/>
  </r>
  <r>
    <s v="Logs_Reseau_Part_04.xlsx"/>
    <d v="2023-10-21T02:49:00"/>
    <n v="2.7083333333333334E-2"/>
    <s v="ANT-0777"/>
    <n v="39"/>
    <s v="Résolu"/>
    <x v="2"/>
    <x v="1"/>
    <s v="Pas de correspondance"/>
  </r>
  <r>
    <s v="Logs_Reseau_Part_05.xlsx"/>
    <d v="2023-10-10T22:55:00"/>
    <n v="3.9583333333333331E-2"/>
    <s v="ANT-0779"/>
    <n v="57"/>
    <s v="Résolu"/>
    <x v="2"/>
    <x v="1"/>
    <s v="Pas de correspondance"/>
  </r>
  <r>
    <s v="Logs_Reseau_Part_16.xlsx"/>
    <d v="2023-10-19T13:24:00"/>
    <n v="3.7499999999999999E-2"/>
    <s v="ANT-0779"/>
    <n v="54"/>
    <s v="En Cours"/>
    <x v="2"/>
    <x v="1"/>
    <s v="Pas de correspondance"/>
  </r>
  <r>
    <s v="Logs_Reseau_Part_01.xlsx"/>
    <d v="2023-10-21T22:34:00"/>
    <n v="2.2916666666666665E-2"/>
    <s v="ANT-0781"/>
    <n v="33"/>
    <s v="En Cours"/>
    <x v="2"/>
    <x v="1"/>
    <s v="Pas de correspondance"/>
  </r>
  <r>
    <s v="Logs_Reseau_Part_01.xlsx"/>
    <d v="2023-10-28T11:36:00"/>
    <n v="5.6250000000000001E-2"/>
    <s v="ANT-0781"/>
    <n v="81"/>
    <s v="Non Résolu"/>
    <x v="2"/>
    <x v="1"/>
    <s v="Pas de correspondance"/>
  </r>
  <r>
    <s v="Logs_Reseau_Part_11.xlsx"/>
    <d v="2023-10-04T16:09:00"/>
    <n v="5.6944444444444443E-2"/>
    <s v="ANT-0782"/>
    <n v="82"/>
    <s v="Résolu"/>
    <x v="2"/>
    <x v="1"/>
    <s v="Pas de correspondance"/>
  </r>
  <r>
    <s v="Logs_Reseau_Part_13.xlsx"/>
    <d v="2023-10-26T01:29:00"/>
    <n v="1.0416666666666666E-2"/>
    <s v="ANT-0784"/>
    <n v="15"/>
    <s v="En Cours"/>
    <x v="2"/>
    <x v="1"/>
    <s v="Pas de correspondance"/>
  </r>
  <r>
    <s v="Logs_Reseau_Part_21.xlsx"/>
    <d v="2023-10-06T08:47:00"/>
    <n v="2.2222222222222223E-2"/>
    <s v="ANT-0784"/>
    <n v="32"/>
    <s v="Résolu"/>
    <x v="2"/>
    <x v="1"/>
    <s v="Pas de correspondance"/>
  </r>
  <r>
    <s v="Logs_Reseau_Part_03.xlsx"/>
    <d v="2023-10-15T14:43:00"/>
    <n v="7.6388888888888886E-3"/>
    <s v="ANT-0785"/>
    <n v="11"/>
    <s v="En Cours"/>
    <x v="2"/>
    <x v="1"/>
    <s v="Pas de correspondance"/>
  </r>
  <r>
    <s v="Logs_Reseau_Part_16.xlsx"/>
    <d v="2023-10-16T11:30:00"/>
    <n v="4.6527777777777779E-2"/>
    <s v="ANT-0785"/>
    <n v="67"/>
    <s v="En Cours"/>
    <x v="2"/>
    <x v="1"/>
    <s v="Pas de correspondance"/>
  </r>
  <r>
    <s v="Logs_Reseau_Part_23.xlsx"/>
    <d v="2023-10-12T21:43:00"/>
    <d v="1899-12-30T00:45:00"/>
    <s v="ANT-0786"/>
    <n v="45"/>
    <s v="En Cours"/>
    <x v="16"/>
    <x v="3"/>
    <s v="Ericsson"/>
  </r>
  <r>
    <s v="Logs_Reseau_Part_06.xlsx"/>
    <d v="2023-10-11T06:44:00"/>
    <d v="1899-12-30T00:43:00"/>
    <s v="ANT-0786"/>
    <n v="43"/>
    <s v="Non Résolu"/>
    <x v="16"/>
    <x v="3"/>
    <s v="Ericsson"/>
  </r>
  <r>
    <s v="Logs_Reseau_Part_15.xlsx"/>
    <d v="2023-10-03T02:17:00"/>
    <n v="4.2361111111111113E-2"/>
    <s v="ANT-0787"/>
    <n v="61"/>
    <s v="Non Résolu"/>
    <x v="2"/>
    <x v="1"/>
    <s v="Pas de correspondance"/>
  </r>
  <r>
    <s v="Logs_Reseau_Part_09.xlsx"/>
    <d v="2023-10-06T01:15:00"/>
    <d v="1899-12-30T01:21:00"/>
    <s v="ANT-0788"/>
    <n v="81"/>
    <s v="En Cours"/>
    <x v="7"/>
    <x v="0"/>
    <s v="ZTE"/>
  </r>
  <r>
    <s v="Logs_Reseau_Part_12.xlsx"/>
    <d v="2023-10-21T22:16:00"/>
    <d v="1899-12-30T00:22:00"/>
    <s v="ANT-0788"/>
    <n v="22"/>
    <s v="Non Résolu"/>
    <x v="7"/>
    <x v="0"/>
    <s v="ZTE"/>
  </r>
  <r>
    <s v="Logs_Reseau_Part_12.xlsx"/>
    <d v="2023-10-23T20:01:00"/>
    <d v="1899-12-30T01:49:00"/>
    <s v="ANT-0790"/>
    <n v="109"/>
    <s v="Non Résolu"/>
    <x v="6"/>
    <x v="2"/>
    <s v="Ericsson"/>
  </r>
  <r>
    <s v="Logs_Reseau_Part_02.xlsx"/>
    <d v="2023-10-14T15:30:00"/>
    <d v="1899-12-30T01:35:00"/>
    <s v="ANT-0790"/>
    <n v="95"/>
    <s v="Résolu"/>
    <x v="6"/>
    <x v="2"/>
    <s v="Ericsson"/>
  </r>
  <r>
    <s v="Logs_Reseau_Part_16.xlsx"/>
    <d v="2023-10-15T06:33:00"/>
    <n v="1.8055555555555554E-2"/>
    <s v="ANT-0792"/>
    <n v="26"/>
    <s v="Non Résolu"/>
    <x v="2"/>
    <x v="1"/>
    <s v="Pas de correspondance"/>
  </r>
  <r>
    <s v="Logs_Reseau_Part_05.xlsx"/>
    <d v="2023-10-16T02:36:00"/>
    <n v="2.7083333333333334E-2"/>
    <s v="ANT-0792"/>
    <n v="39"/>
    <s v="En Cours"/>
    <x v="2"/>
    <x v="1"/>
    <s v="Pas de correspondance"/>
  </r>
  <r>
    <s v="Logs_Reseau_Part_24.xlsx"/>
    <d v="2023-10-18T22:40:00"/>
    <n v="2.2916666666666665E-2"/>
    <s v="ANT-0793"/>
    <n v="33"/>
    <s v="Résolu"/>
    <x v="2"/>
    <x v="1"/>
    <s v="Pas de correspondance"/>
  </r>
  <r>
    <s v="Logs_Reseau_Part_16.xlsx"/>
    <d v="2023-10-17T05:35:00"/>
    <d v="1899-12-30T00:11:00"/>
    <s v="ANT-0794"/>
    <n v="11"/>
    <s v="En Cours"/>
    <x v="7"/>
    <x v="3"/>
    <s v="ZTE"/>
  </r>
  <r>
    <s v="Logs_Reseau_Part_09.xlsx"/>
    <d v="2023-10-17T16:39:00"/>
    <d v="1899-12-30T00:24:00"/>
    <s v="ANT-0797"/>
    <n v="24"/>
    <s v="En Cours"/>
    <x v="22"/>
    <x v="0"/>
    <s v="Huawei"/>
  </r>
  <r>
    <s v="Logs_Reseau_Part_03.xlsx"/>
    <d v="2023-10-07T16:30:00"/>
    <d v="1899-12-30T01:16:00"/>
    <s v="ANT-0797"/>
    <n v="76"/>
    <s v="En Cours"/>
    <x v="22"/>
    <x v="0"/>
    <s v="Huawei"/>
  </r>
  <r>
    <s v="Logs_Reseau_Part_10.xlsx"/>
    <d v="2023-10-21T10:17:00"/>
    <n v="1.8055555555555554E-2"/>
    <s v="ANT-0798"/>
    <n v="26"/>
    <s v="En Cours"/>
    <x v="2"/>
    <x v="1"/>
    <s v="Pas de correspondance"/>
  </r>
  <r>
    <s v="Logs_Reseau_Part_17.xlsx"/>
    <d v="2023-10-23T11:29:00"/>
    <n v="0.05"/>
    <s v="ANT-0798"/>
    <n v="72"/>
    <s v="Non Résolu"/>
    <x v="2"/>
    <x v="1"/>
    <s v="Pas de correspondance"/>
  </r>
  <r>
    <s v="Logs_Reseau_Part_01.xlsx"/>
    <d v="2023-10-28T07:55:00"/>
    <n v="5.6250000000000001E-2"/>
    <s v="ANT-0798"/>
    <n v="81"/>
    <s v="Non Résolu"/>
    <x v="2"/>
    <x v="1"/>
    <s v="Pas de correspondance"/>
  </r>
  <r>
    <s v="Logs_Reseau_Part_08.xlsx"/>
    <d v="2023-10-10T21:43:00"/>
    <n v="3.125E-2"/>
    <s v="ANT-0798"/>
    <n v="45"/>
    <s v="En Cours"/>
    <x v="2"/>
    <x v="1"/>
    <s v="Pas de correspondance"/>
  </r>
  <r>
    <s v="Logs_Reseau_Part_16.xlsx"/>
    <d v="2023-10-10T13:58:00"/>
    <n v="6.458333333333334E-2"/>
    <s v="ANT-0800"/>
    <n v="93"/>
    <s v="Non Résolu"/>
    <x v="2"/>
    <x v="1"/>
    <s v="Pas de correspondance"/>
  </r>
  <r>
    <s v="Logs_Reseau_Part_10.xlsx"/>
    <d v="2023-10-02T10:59:00"/>
    <n v="2.9166666666666667E-2"/>
    <s v="ANT-0801"/>
    <n v="42"/>
    <s v="En Cours"/>
    <x v="2"/>
    <x v="1"/>
    <s v="Pas de correspondance"/>
  </r>
  <r>
    <s v="Logs_Reseau_Part_24.xlsx"/>
    <d v="2023-10-22T08:09:00"/>
    <n v="6.7361111111111108E-2"/>
    <s v="ANT-0803"/>
    <n v="97"/>
    <s v="Non Résolu"/>
    <x v="2"/>
    <x v="1"/>
    <s v="Pas de correspondance"/>
  </r>
  <r>
    <s v="Logs_Reseau_Part_17.xlsx"/>
    <d v="2023-10-05T20:19:00"/>
    <n v="1.1111111111111112E-2"/>
    <s v="ANT-0803"/>
    <n v="16"/>
    <s v="En Cours"/>
    <x v="2"/>
    <x v="1"/>
    <s v="Pas de correspondance"/>
  </r>
  <r>
    <s v="Logs_Reseau_Part_09.xlsx"/>
    <d v="2023-10-21T02:39:00"/>
    <d v="1899-12-30T01:51:00"/>
    <s v="ANT-0804"/>
    <n v="111"/>
    <s v="En Cours"/>
    <x v="10"/>
    <x v="3"/>
    <s v="Nokia"/>
  </r>
  <r>
    <s v="Logs_Reseau_Part_22.xlsx"/>
    <d v="2023-10-29T21:08:00"/>
    <d v="1899-12-30T01:52:00"/>
    <s v="ANT-0804"/>
    <n v="112"/>
    <s v="En Cours"/>
    <x v="10"/>
    <x v="3"/>
    <s v="Nokia"/>
  </r>
  <r>
    <s v="Logs_Reseau_Part_15.xlsx"/>
    <d v="2023-10-14T07:53:00"/>
    <n v="1.5277777777777777E-2"/>
    <s v="ANT-0805"/>
    <n v="22"/>
    <s v="En Cours"/>
    <x v="2"/>
    <x v="1"/>
    <s v="Pas de correspondance"/>
  </r>
  <r>
    <s v="Logs_Reseau_Part_06.xlsx"/>
    <d v="2023-10-11T01:18:00"/>
    <n v="4.7222222222222221E-2"/>
    <s v="ANT-0806"/>
    <n v="68"/>
    <s v="En Cours"/>
    <x v="2"/>
    <x v="1"/>
    <s v="Pas de correspondance"/>
  </r>
  <r>
    <s v="Logs_Reseau_Part_06.xlsx"/>
    <d v="2023-10-28T20:09:00"/>
    <n v="6.5277777777777782E-2"/>
    <s v="ANT-0808"/>
    <n v="94"/>
    <s v="En Cours"/>
    <x v="2"/>
    <x v="1"/>
    <s v="Pas de correspondance"/>
  </r>
  <r>
    <s v="Logs_Reseau_Part_24.xlsx"/>
    <d v="2023-10-01T16:06:00"/>
    <d v="1899-12-30T01:14:00"/>
    <s v="ANT-0809"/>
    <n v="74"/>
    <s v="En Cours"/>
    <x v="10"/>
    <x v="0"/>
    <s v="ZTE"/>
  </r>
  <r>
    <s v="Logs_Reseau_Part_23.xlsx"/>
    <d v="2023-10-28T15:51:00"/>
    <d v="1899-12-30T01:07:00"/>
    <s v="ANT-0811"/>
    <n v="67"/>
    <s v="En Cours"/>
    <x v="7"/>
    <x v="2"/>
    <s v="Huawei"/>
  </r>
  <r>
    <s v="Logs_Reseau_Part_10.xlsx"/>
    <d v="2023-10-12T02:33:00"/>
    <d v="1899-12-30T01:47:00"/>
    <s v="ANT-0811"/>
    <n v="107"/>
    <s v="Résolu"/>
    <x v="7"/>
    <x v="2"/>
    <s v="Huawei"/>
  </r>
  <r>
    <s v="Logs_Reseau_Part_04.xlsx"/>
    <d v="2023-10-12T05:38:00"/>
    <d v="1899-12-30T01:02:00"/>
    <s v="ANT-0812"/>
    <n v="62"/>
    <s v="En Cours"/>
    <x v="13"/>
    <x v="2"/>
    <s v="Nokia"/>
  </r>
  <r>
    <s v="Logs_Reseau_Part_17.xlsx"/>
    <d v="2023-10-21T11:16:00"/>
    <d v="1899-12-30T00:17:00"/>
    <s v="ANT-0813"/>
    <n v="17"/>
    <s v="Non Résolu"/>
    <x v="19"/>
    <x v="3"/>
    <s v="ZTE"/>
  </r>
  <r>
    <s v="Logs_Reseau_Part_07.xlsx"/>
    <d v="2023-10-01T11:50:00"/>
    <d v="1899-12-30T01:53:00"/>
    <s v="ANT-0813"/>
    <n v="113"/>
    <s v="Résolu"/>
    <x v="19"/>
    <x v="3"/>
    <s v="ZTE"/>
  </r>
  <r>
    <s v="Logs_Reseau_Part_14.xlsx"/>
    <d v="2023-10-12T16:56:00"/>
    <n v="6.5972222222222224E-2"/>
    <s v="ANT-0815"/>
    <n v="95"/>
    <s v="Non Résolu"/>
    <x v="2"/>
    <x v="1"/>
    <s v="Pas de correspondance"/>
  </r>
  <r>
    <s v="Logs_Reseau_Part_15.xlsx"/>
    <d v="2023-10-08T18:33:00"/>
    <n v="3.8194444444444448E-2"/>
    <s v="ANT-0815"/>
    <n v="55"/>
    <s v="Non Résolu"/>
    <x v="2"/>
    <x v="1"/>
    <s v="Pas de correspondance"/>
  </r>
  <r>
    <s v="Logs_Reseau_Part_15.xlsx"/>
    <d v="2023-10-06T21:24:00"/>
    <n v="3.125E-2"/>
    <s v="ANT-0815"/>
    <n v="45"/>
    <s v="Non Résolu"/>
    <x v="2"/>
    <x v="1"/>
    <s v="Pas de correspondance"/>
  </r>
  <r>
    <s v="Logs_Reseau_Part_15.xlsx"/>
    <d v="2023-10-04T00:05:00"/>
    <n v="3.1944444444444442E-2"/>
    <s v="ANT-0817"/>
    <n v="46"/>
    <s v="Non Résolu"/>
    <x v="2"/>
    <x v="1"/>
    <s v="Pas de correspondance"/>
  </r>
  <r>
    <s v="Logs_Reseau_Part_05.xlsx"/>
    <d v="2023-10-11T19:16:00"/>
    <n v="6.2500000000000003E-3"/>
    <s v="ANT-0819"/>
    <n v="9"/>
    <s v="Non Résolu"/>
    <x v="2"/>
    <x v="1"/>
    <s v="Pas de correspondance"/>
  </r>
  <r>
    <s v="Logs_Reseau_Part_25.xlsx"/>
    <d v="2023-10-22T13:53:00"/>
    <n v="5.2777777777777778E-2"/>
    <s v="ANT-0819"/>
    <n v="76"/>
    <s v="En Cours"/>
    <x v="2"/>
    <x v="1"/>
    <s v="Pas de correspondance"/>
  </r>
  <r>
    <s v="Logs_Reseau_Part_20.xlsx"/>
    <d v="2023-10-13T18:35:00"/>
    <n v="2.2916666666666665E-2"/>
    <s v="ANT-0820"/>
    <n v="33"/>
    <s v="Résolu"/>
    <x v="2"/>
    <x v="1"/>
    <s v="Pas de correspondance"/>
  </r>
  <r>
    <s v="Logs_Reseau_Part_08.xlsx"/>
    <d v="2023-10-08T13:54:00"/>
    <d v="1899-12-30T01:08:00"/>
    <s v="ANT-0821"/>
    <n v="68"/>
    <s v="Résolu"/>
    <x v="10"/>
    <x v="2"/>
    <s v="ZTE"/>
  </r>
  <r>
    <s v="Logs_Reseau_Part_10.xlsx"/>
    <d v="2023-10-19T23:48:00"/>
    <d v="1899-12-30T01:22:00"/>
    <s v="ANT-0821"/>
    <n v="82"/>
    <s v="Résolu"/>
    <x v="10"/>
    <x v="2"/>
    <s v="ZTE"/>
  </r>
  <r>
    <s v="Logs_Reseau_Part_09.xlsx"/>
    <d v="2023-10-28T21:58:00"/>
    <d v="1899-12-30T00:26:00"/>
    <s v="ANT-0821"/>
    <n v="26"/>
    <s v="Non Résolu"/>
    <x v="10"/>
    <x v="2"/>
    <s v="ZTE"/>
  </r>
  <r>
    <s v="Logs_Reseau_Part_21.xlsx"/>
    <d v="2023-10-19T06:54:00"/>
    <n v="4.9305555555555554E-2"/>
    <s v="ANT-0825"/>
    <n v="71"/>
    <s v="En Cours"/>
    <x v="2"/>
    <x v="1"/>
    <s v="Pas de correspondance"/>
  </r>
  <r>
    <s v="Logs_Reseau_Part_14.xlsx"/>
    <d v="2023-10-24T06:03:00"/>
    <d v="1899-12-30T00:12:00"/>
    <s v="ANT-0826"/>
    <n v="12"/>
    <s v="Non Résolu"/>
    <x v="13"/>
    <x v="0"/>
    <s v="Ericsson"/>
  </r>
  <r>
    <s v="Logs_Reseau_Part_06.xlsx"/>
    <d v="2023-10-23T08:29:00"/>
    <d v="1899-12-30T01:41:00"/>
    <s v="ANT-0826"/>
    <n v="101"/>
    <s v="Non Résolu"/>
    <x v="13"/>
    <x v="0"/>
    <s v="Ericsson"/>
  </r>
  <r>
    <s v="Logs_Reseau_Part_19.xlsx"/>
    <d v="2023-10-15T17:47:00"/>
    <d v="1899-12-30T00:08:00"/>
    <s v="ANT-0826"/>
    <n v="8"/>
    <s v="Résolu"/>
    <x v="13"/>
    <x v="0"/>
    <s v="Ericsson"/>
  </r>
  <r>
    <s v="Logs_Reseau_Part_20.xlsx"/>
    <d v="2023-10-08T11:20:00"/>
    <n v="2.0833333333333332E-2"/>
    <s v="ANT-0828"/>
    <n v="30"/>
    <s v="En Cours"/>
    <x v="2"/>
    <x v="1"/>
    <s v="Pas de correspondance"/>
  </r>
  <r>
    <s v="Logs_Reseau_Part_09.xlsx"/>
    <d v="2023-10-27T09:04:00"/>
    <d v="1899-12-30T01:14:00"/>
    <s v="ANT-0829"/>
    <n v="74"/>
    <s v="En Cours"/>
    <x v="11"/>
    <x v="2"/>
    <s v="Nokia"/>
  </r>
  <r>
    <s v="Logs_Reseau_Part_19.xlsx"/>
    <d v="2023-10-22T13:11:00"/>
    <n v="2.7083333333333334E-2"/>
    <s v="ANT-0830"/>
    <n v="39"/>
    <s v="Non Résolu"/>
    <x v="2"/>
    <x v="1"/>
    <s v="Pas de correspondance"/>
  </r>
  <r>
    <s v="Logs_Reseau_Part_14.xlsx"/>
    <d v="2023-10-08T08:13:00"/>
    <d v="1899-12-30T00:28:00"/>
    <s v="ANT-0833"/>
    <n v="28"/>
    <s v="Résolu"/>
    <x v="3"/>
    <x v="3"/>
    <s v="Nokia"/>
  </r>
  <r>
    <s v="Logs_Reseau_Part_11.xlsx"/>
    <d v="2023-10-11T20:04:00"/>
    <n v="1.7361111111111112E-2"/>
    <s v="ANT-0834"/>
    <n v="25"/>
    <s v="En Cours"/>
    <x v="2"/>
    <x v="1"/>
    <s v="Pas de correspondance"/>
  </r>
  <r>
    <s v="Logs_Reseau_Part_14.xlsx"/>
    <d v="2023-10-11T09:24:00"/>
    <d v="1899-12-30T01:25:00"/>
    <s v="ANT-0835"/>
    <n v="85"/>
    <s v="Non Résolu"/>
    <x v="13"/>
    <x v="3"/>
    <s v="Nokia"/>
  </r>
  <r>
    <s v="Logs_Reseau_Part_03.xlsx"/>
    <d v="2023-10-09T01:45:00"/>
    <d v="1899-12-30T01:08:00"/>
    <s v="ANT-0835"/>
    <n v="68"/>
    <s v="Résolu"/>
    <x v="13"/>
    <x v="3"/>
    <s v="Nokia"/>
  </r>
  <r>
    <s v="Logs_Reseau_Part_15.xlsx"/>
    <d v="2023-10-12T01:06:00"/>
    <d v="1899-12-30T00:18:00"/>
    <s v="ANT-0837"/>
    <n v="18"/>
    <s v="En Cours"/>
    <x v="11"/>
    <x v="2"/>
    <s v="Huawei"/>
  </r>
  <r>
    <s v="Logs_Reseau_Part_23.xlsx"/>
    <d v="2023-10-24T18:14:00"/>
    <d v="1899-12-30T01:18:00"/>
    <s v="ANT-0837"/>
    <n v="78"/>
    <s v="Non Résolu"/>
    <x v="11"/>
    <x v="2"/>
    <s v="Huawei"/>
  </r>
  <r>
    <s v="Logs_Reseau_Part_16.xlsx"/>
    <d v="2023-10-23T04:32:00"/>
    <d v="1899-12-30T00:33:00"/>
    <s v="ANT-0837"/>
    <n v="33"/>
    <s v="Résolu"/>
    <x v="11"/>
    <x v="2"/>
    <s v="Huawei"/>
  </r>
  <r>
    <s v="Logs_Reseau_Part_09.xlsx"/>
    <d v="2023-10-18T21:24:00"/>
    <d v="1899-12-30T01:48:00"/>
    <s v="ANT-0837"/>
    <n v="108"/>
    <s v="En Cours"/>
    <x v="11"/>
    <x v="2"/>
    <s v="Huawei"/>
  </r>
  <r>
    <s v="Logs_Reseau_Part_15.xlsx"/>
    <d v="2023-10-25T02:46:00"/>
    <d v="1899-12-30T00:45:00"/>
    <s v="ANT-0839"/>
    <n v="45"/>
    <s v="Non Résolu"/>
    <x v="4"/>
    <x v="0"/>
    <s v="Ericsson"/>
  </r>
  <r>
    <s v="Logs_Reseau_Part_20.xlsx"/>
    <d v="2023-10-29T13:31:00"/>
    <d v="1899-12-30T00:44:00"/>
    <s v="ANT-0839"/>
    <n v="44"/>
    <s v="Résolu"/>
    <x v="4"/>
    <x v="0"/>
    <s v="Ericsson"/>
  </r>
  <r>
    <s v="Logs_Reseau_Part_18.xlsx"/>
    <d v="2023-10-26T22:47:00"/>
    <n v="8.1250000000000003E-2"/>
    <s v="ANT-0840"/>
    <n v="117"/>
    <s v="Résolu"/>
    <x v="2"/>
    <x v="1"/>
    <s v="Pas de correspondance"/>
  </r>
  <r>
    <s v="Logs_Reseau_Part_16.xlsx"/>
    <d v="2023-10-22T13:25:00"/>
    <d v="1899-12-30T00:22:00"/>
    <s v="ANT-0843"/>
    <n v="22"/>
    <s v="Résolu"/>
    <x v="26"/>
    <x v="2"/>
    <s v="Ericsson"/>
  </r>
  <r>
    <s v="Logs_Reseau_Part_13.xlsx"/>
    <d v="2023-10-20T02:33:00"/>
    <n v="6.0416666666666667E-2"/>
    <s v="ANT-0844"/>
    <n v="87"/>
    <s v="Non Résolu"/>
    <x v="2"/>
    <x v="1"/>
    <s v="Pas de correspondance"/>
  </r>
  <r>
    <s v="Logs_Reseau_Part_16.xlsx"/>
    <d v="2023-10-14T14:14:00"/>
    <n v="3.4722222222222224E-2"/>
    <s v="ANT-0844"/>
    <n v="50"/>
    <s v="En Cours"/>
    <x v="2"/>
    <x v="1"/>
    <s v="Pas de correspondance"/>
  </r>
  <r>
    <s v="Logs_Reseau_Part_06.xlsx"/>
    <d v="2023-10-10T21:34:00"/>
    <d v="1899-12-30T00:29:00"/>
    <s v="ANT-0845"/>
    <n v="29"/>
    <s v="Non Résolu"/>
    <x v="20"/>
    <x v="3"/>
    <s v="ZTE"/>
  </r>
  <r>
    <s v="Logs_Reseau_Part_05.xlsx"/>
    <d v="2023-10-08T03:35:00"/>
    <d v="1899-12-30T01:41:00"/>
    <s v="ANT-0845"/>
    <n v="101"/>
    <s v="En Cours"/>
    <x v="20"/>
    <x v="3"/>
    <s v="ZTE"/>
  </r>
  <r>
    <s v="Logs_Reseau_Part_21.xlsx"/>
    <d v="2023-10-09T12:41:00"/>
    <d v="1899-12-30T00:33:00"/>
    <s v="ANT-0845"/>
    <n v="33"/>
    <s v="Non Résolu"/>
    <x v="20"/>
    <x v="3"/>
    <s v="ZTE"/>
  </r>
  <r>
    <s v="Logs_Reseau_Part_23.xlsx"/>
    <d v="2023-10-28T21:33:00"/>
    <d v="1899-12-30T01:01:00"/>
    <s v="ANT-0846"/>
    <n v="61"/>
    <s v="Résolu"/>
    <x v="8"/>
    <x v="2"/>
    <s v="Nokia"/>
  </r>
  <r>
    <s v="Logs_Reseau_Part_23.xlsx"/>
    <d v="2023-10-31T14:17:00"/>
    <d v="1899-12-30T00:14:00"/>
    <s v="ANT-0846"/>
    <n v="14"/>
    <s v="Résolu"/>
    <x v="8"/>
    <x v="2"/>
    <s v="Nokia"/>
  </r>
  <r>
    <s v="Logs_Reseau_Part_14.xlsx"/>
    <d v="2023-10-18T20:43:00"/>
    <n v="6.1805555555555558E-2"/>
    <s v="ANT-0848"/>
    <n v="89"/>
    <s v="Résolu"/>
    <x v="2"/>
    <x v="1"/>
    <s v="Pas de correspondance"/>
  </r>
  <r>
    <s v="Logs_Reseau_Part_16.xlsx"/>
    <d v="2023-10-31T20:20:00"/>
    <d v="1899-12-30T00:58:00"/>
    <s v="ANT-0850"/>
    <n v="58"/>
    <s v="En Cours"/>
    <x v="25"/>
    <x v="3"/>
    <s v="Huawei"/>
  </r>
  <r>
    <s v="Logs_Reseau_Part_02.xlsx"/>
    <d v="2023-10-08T02:28:00"/>
    <d v="1899-12-30T00:41:00"/>
    <s v="ANT-0850"/>
    <n v="41"/>
    <s v="Résolu"/>
    <x v="25"/>
    <x v="3"/>
    <s v="Huawei"/>
  </r>
  <r>
    <s v="Logs_Reseau_Part_06.xlsx"/>
    <d v="2023-10-08T14:40:00"/>
    <n v="7.4305555555555555E-2"/>
    <s v="ANT-0851"/>
    <n v="107"/>
    <s v="Non Résolu"/>
    <x v="2"/>
    <x v="1"/>
    <s v="Pas de correspondance"/>
  </r>
  <r>
    <s v="Logs_Reseau_Part_22.xlsx"/>
    <d v="2023-10-21T23:15:00"/>
    <n v="7.1527777777777773E-2"/>
    <s v="ANT-0851"/>
    <n v="103"/>
    <s v="Résolu"/>
    <x v="2"/>
    <x v="1"/>
    <s v="Pas de correspondance"/>
  </r>
  <r>
    <s v="Logs_Reseau_Part_03.xlsx"/>
    <d v="2023-10-14T02:42:00"/>
    <n v="6.458333333333334E-2"/>
    <s v="ANT-0851"/>
    <n v="93"/>
    <s v="Résolu"/>
    <x v="2"/>
    <x v="1"/>
    <s v="Pas de correspondance"/>
  </r>
  <r>
    <s v="Logs_Reseau_Part_15.xlsx"/>
    <d v="2023-10-20T19:50:00"/>
    <d v="1899-12-30T01:33:00"/>
    <s v="ANT-0852"/>
    <n v="93"/>
    <s v="En Cours"/>
    <x v="19"/>
    <x v="3"/>
    <s v="ZTE"/>
  </r>
  <r>
    <s v="Logs_Reseau_Part_08.xlsx"/>
    <d v="2023-10-22T22:17:00"/>
    <d v="1899-12-30T00:21:00"/>
    <s v="ANT-0852"/>
    <n v="21"/>
    <s v="Résolu"/>
    <x v="19"/>
    <x v="3"/>
    <s v="ZTE"/>
  </r>
  <r>
    <s v="Logs_Reseau_Part_01.xlsx"/>
    <d v="2023-10-27T01:51:00"/>
    <d v="1899-12-30T01:41:00"/>
    <s v="ANT-0852"/>
    <n v="101"/>
    <s v="Résolu"/>
    <x v="19"/>
    <x v="3"/>
    <s v="ZTE"/>
  </r>
  <r>
    <s v="Logs_Reseau_Part_13.xlsx"/>
    <d v="2023-10-06T12:43:00"/>
    <d v="1899-12-30T01:14:00"/>
    <s v="ANT-0855"/>
    <n v="74"/>
    <s v="Non Résolu"/>
    <x v="11"/>
    <x v="2"/>
    <s v="Ericsson"/>
  </r>
  <r>
    <s v="Logs_Reseau_Part_02.xlsx"/>
    <d v="2023-10-22T18:36:00"/>
    <d v="1899-12-30T00:24:00"/>
    <s v="ANT-0855"/>
    <n v="24"/>
    <s v="Résolu"/>
    <x v="11"/>
    <x v="2"/>
    <s v="Ericsson"/>
  </r>
  <r>
    <s v="Logs_Reseau_Part_09.xlsx"/>
    <d v="2023-10-31T23:57:00"/>
    <d v="1899-12-30T01:12:00"/>
    <s v="ANT-0856"/>
    <n v="72"/>
    <s v="En Cours"/>
    <x v="10"/>
    <x v="2"/>
    <s v="Huawei"/>
  </r>
  <r>
    <s v="Logs_Reseau_Part_19.xlsx"/>
    <d v="2023-10-16T00:24:00"/>
    <n v="2.4305555555555556E-2"/>
    <s v="ANT-0857"/>
    <n v="35"/>
    <s v="Non Résolu"/>
    <x v="2"/>
    <x v="1"/>
    <s v="Pas de correspondance"/>
  </r>
  <r>
    <s v="Logs_Reseau_Part_06.xlsx"/>
    <d v="2023-10-11T23:30:00"/>
    <n v="7.9166666666666663E-2"/>
    <s v="ANT-0859"/>
    <n v="114"/>
    <s v="En Cours"/>
    <x v="2"/>
    <x v="1"/>
    <s v="Pas de correspondance"/>
  </r>
  <r>
    <s v="Logs_Reseau_Part_21.xlsx"/>
    <d v="2023-10-27T09:19:00"/>
    <n v="7.9861111111111105E-2"/>
    <s v="ANT-0860"/>
    <n v="115"/>
    <s v="En Cours"/>
    <x v="2"/>
    <x v="1"/>
    <s v="Pas de correspondance"/>
  </r>
  <r>
    <s v="Logs_Reseau_Part_03.xlsx"/>
    <d v="2023-10-10T06:27:00"/>
    <n v="6.5277777777777782E-2"/>
    <s v="ANT-0861"/>
    <n v="94"/>
    <s v="Non Résolu"/>
    <x v="2"/>
    <x v="1"/>
    <s v="Pas de correspondance"/>
  </r>
  <r>
    <s v="Logs_Reseau_Part_20.xlsx"/>
    <d v="2023-10-02T12:28:00"/>
    <n v="7.8472222222222221E-2"/>
    <s v="ANT-0861"/>
    <n v="113"/>
    <s v="En Cours"/>
    <x v="2"/>
    <x v="1"/>
    <s v="Pas de correspondance"/>
  </r>
  <r>
    <s v="Logs_Reseau_Part_01.xlsx"/>
    <d v="2023-10-13T03:22:00"/>
    <d v="1899-12-30T00:19:00"/>
    <s v="ANT-0862"/>
    <n v="19"/>
    <s v="Non Résolu"/>
    <x v="24"/>
    <x v="3"/>
    <s v="ZTE"/>
  </r>
  <r>
    <s v="Logs_Reseau_Part_24.xlsx"/>
    <d v="2023-10-31T21:45:00"/>
    <n v="6.0416666666666667E-2"/>
    <s v="ANT-0864"/>
    <n v="87"/>
    <s v="Résolu"/>
    <x v="2"/>
    <x v="1"/>
    <s v="Pas de correspondance"/>
  </r>
  <r>
    <s v="Logs_Reseau_Part_21.xlsx"/>
    <d v="2023-10-12T00:21:00"/>
    <n v="4.8611111111111112E-3"/>
    <s v="ANT-0864"/>
    <n v="7"/>
    <s v="En Cours"/>
    <x v="2"/>
    <x v="1"/>
    <s v="Pas de correspondance"/>
  </r>
  <r>
    <s v="Logs_Reseau_Part_08.xlsx"/>
    <d v="2023-10-05T23:40:00"/>
    <d v="1899-12-30T01:16:00"/>
    <s v="ANT-0865"/>
    <n v="76"/>
    <s v="Non Résolu"/>
    <x v="22"/>
    <x v="2"/>
    <s v="Ericsson"/>
  </r>
  <r>
    <s v="Logs_Reseau_Part_23.xlsx"/>
    <d v="2023-10-11T16:33:00"/>
    <d v="1899-12-30T00:16:00"/>
    <s v="ANT-0865"/>
    <n v="16"/>
    <s v="Résolu"/>
    <x v="22"/>
    <x v="2"/>
    <s v="Ericsson"/>
  </r>
  <r>
    <s v="Logs_Reseau_Part_18.xlsx"/>
    <d v="2023-10-26T13:17:00"/>
    <n v="8.3333333333333329E-2"/>
    <s v="ANT-0866"/>
    <n v="120"/>
    <s v="Résolu"/>
    <x v="2"/>
    <x v="1"/>
    <s v="Pas de correspondance"/>
  </r>
  <r>
    <s v="Logs_Reseau_Part_09.xlsx"/>
    <d v="2023-10-12T09:11:00"/>
    <n v="7.2916666666666671E-2"/>
    <s v="ANT-0867"/>
    <n v="105"/>
    <s v="Résolu"/>
    <x v="2"/>
    <x v="1"/>
    <s v="Pas de correspondance"/>
  </r>
  <r>
    <s v="Logs_Reseau_Part_02.xlsx"/>
    <d v="2023-10-24T10:51:00"/>
    <n v="8.1250000000000003E-2"/>
    <s v="ANT-0867"/>
    <n v="117"/>
    <s v="En Cours"/>
    <x v="2"/>
    <x v="1"/>
    <s v="Pas de correspondance"/>
  </r>
  <r>
    <s v="Logs_Reseau_Part_24.xlsx"/>
    <d v="2023-10-20T22:48:00"/>
    <n v="3.125E-2"/>
    <s v="ANT-0867"/>
    <n v="45"/>
    <s v="En Cours"/>
    <x v="2"/>
    <x v="1"/>
    <s v="Pas de correspondance"/>
  </r>
  <r>
    <s v="Logs_Reseau_Part_17.xlsx"/>
    <d v="2023-10-22T22:22:00"/>
    <n v="1.8055555555555554E-2"/>
    <s v="ANT-0868"/>
    <n v="26"/>
    <s v="Résolu"/>
    <x v="2"/>
    <x v="1"/>
    <s v="Pas de correspondance"/>
  </r>
  <r>
    <s v="Logs_Reseau_Part_15.xlsx"/>
    <d v="2023-10-29T17:57:00"/>
    <d v="1899-12-30T00:27:00"/>
    <s v="ANT-0869"/>
    <n v="27"/>
    <s v="Résolu"/>
    <x v="20"/>
    <x v="2"/>
    <s v="ZTE"/>
  </r>
  <r>
    <s v="Logs_Reseau_Part_17.xlsx"/>
    <d v="2023-10-24T14:40:00"/>
    <d v="1899-12-30T01:28:00"/>
    <s v="ANT-0869"/>
    <n v="88"/>
    <s v="Résolu"/>
    <x v="20"/>
    <x v="2"/>
    <s v="ZTE"/>
  </r>
  <r>
    <s v="Logs_Reseau_Part_14.xlsx"/>
    <d v="2023-10-11T08:48:00"/>
    <d v="1899-12-30T01:07:00"/>
    <s v="ANT-0869"/>
    <n v="67"/>
    <s v="Non Résolu"/>
    <x v="20"/>
    <x v="2"/>
    <s v="ZTE"/>
  </r>
  <r>
    <s v="Logs_Reseau_Part_10.xlsx"/>
    <d v="2023-10-23T14:02:00"/>
    <d v="1899-12-30T00:15:00"/>
    <s v="ANT-0870"/>
    <n v="15"/>
    <s v="En Cours"/>
    <x v="23"/>
    <x v="0"/>
    <s v="Nokia"/>
  </r>
  <r>
    <s v="Logs_Reseau_Part_09.xlsx"/>
    <d v="2023-10-31T15:12:00"/>
    <d v="1899-12-30T00:34:00"/>
    <s v="ANT-0872"/>
    <n v="34"/>
    <s v="Résolu"/>
    <x v="14"/>
    <x v="2"/>
    <s v="ZTE"/>
  </r>
  <r>
    <s v="Logs_Reseau_Part_25.xlsx"/>
    <d v="2023-10-27T02:47:00"/>
    <d v="1899-12-30T00:05:00"/>
    <s v="ANT-0872"/>
    <n v="5"/>
    <s v="En Cours"/>
    <x v="14"/>
    <x v="2"/>
    <s v="ZTE"/>
  </r>
  <r>
    <s v="Logs_Reseau_Part_25.xlsx"/>
    <d v="2023-10-27T22:56:00"/>
    <n v="1.3888888888888888E-2"/>
    <s v="ANT-0873"/>
    <n v="20"/>
    <s v="Non Résolu"/>
    <x v="2"/>
    <x v="1"/>
    <s v="Pas de correspondance"/>
  </r>
  <r>
    <s v="Logs_Reseau_Part_02.xlsx"/>
    <d v="2023-10-26T15:51:00"/>
    <n v="9.7222222222222224E-3"/>
    <s v="ANT-0874"/>
    <n v="14"/>
    <s v="Résolu"/>
    <x v="2"/>
    <x v="1"/>
    <s v="Pas de correspondance"/>
  </r>
  <r>
    <s v="Logs_Reseau_Part_07.xlsx"/>
    <d v="2023-10-09T01:08:00"/>
    <n v="6.3888888888888884E-2"/>
    <s v="ANT-0874"/>
    <n v="92"/>
    <s v="En Cours"/>
    <x v="2"/>
    <x v="1"/>
    <s v="Pas de correspondance"/>
  </r>
  <r>
    <s v="Logs_Reseau_Part_20.xlsx"/>
    <d v="2023-10-14T05:03:00"/>
    <d v="1899-12-30T00:28:00"/>
    <s v="ANT-0875"/>
    <n v="28"/>
    <s v="En Cours"/>
    <x v="5"/>
    <x v="3"/>
    <s v="Huawei"/>
  </r>
  <r>
    <s v="Logs_Reseau_Part_13.xlsx"/>
    <d v="2023-10-04T05:08:00"/>
    <d v="1899-12-30T00:05:00"/>
    <s v="ANT-0881"/>
    <n v="5"/>
    <s v="Résolu"/>
    <x v="13"/>
    <x v="0"/>
    <s v="Huawei"/>
  </r>
  <r>
    <s v="Logs_Reseau_Part_17.xlsx"/>
    <d v="2023-10-25T04:41:00"/>
    <d v="1899-12-30T01:21:00"/>
    <s v="ANT-0882"/>
    <n v="81"/>
    <s v="Non Résolu"/>
    <x v="3"/>
    <x v="2"/>
    <s v="Nokia"/>
  </r>
  <r>
    <s v="Logs_Reseau_Part_21.xlsx"/>
    <d v="2023-10-19T00:11:00"/>
    <d v="1899-12-30T00:44:00"/>
    <s v="ANT-0883"/>
    <n v="44"/>
    <s v="Non Résolu"/>
    <x v="19"/>
    <x v="3"/>
    <s v="Ericsson"/>
  </r>
  <r>
    <s v="Logs_Reseau_Part_03.xlsx"/>
    <d v="2023-10-18T04:12:00"/>
    <d v="1899-12-30T00:18:00"/>
    <s v="ANT-0883"/>
    <n v="18"/>
    <s v="En Cours"/>
    <x v="19"/>
    <x v="3"/>
    <s v="Ericsson"/>
  </r>
  <r>
    <s v="Logs_Reseau_Part_16.xlsx"/>
    <d v="2023-10-04T05:23:00"/>
    <d v="1899-12-30T01:42:00"/>
    <s v="ANT-0883"/>
    <n v="102"/>
    <s v="En Cours"/>
    <x v="19"/>
    <x v="3"/>
    <s v="Ericsson"/>
  </r>
  <r>
    <s v="Logs_Reseau_Part_11.xlsx"/>
    <d v="2023-10-12T17:36:00"/>
    <n v="7.4999999999999997E-2"/>
    <s v="ANT-0885"/>
    <n v="108"/>
    <s v="Non Résolu"/>
    <x v="2"/>
    <x v="1"/>
    <s v="Pas de correspondance"/>
  </r>
  <r>
    <s v="Logs_Reseau_Part_05.xlsx"/>
    <d v="2023-10-05T04:51:00"/>
    <n v="6.9444444444444441E-3"/>
    <s v="ANT-0886"/>
    <n v="10"/>
    <s v="Résolu"/>
    <x v="2"/>
    <x v="1"/>
    <s v="Pas de correspondance"/>
  </r>
  <r>
    <s v="Logs_Reseau_Part_11.xlsx"/>
    <d v="2023-10-24T15:33:00"/>
    <n v="9.7222222222222224E-3"/>
    <s v="ANT-0887"/>
    <n v="14"/>
    <s v="En Cours"/>
    <x v="2"/>
    <x v="1"/>
    <s v="Pas de correspondance"/>
  </r>
  <r>
    <s v="Logs_Reseau_Part_20.xlsx"/>
    <d v="2023-10-06T14:04:00"/>
    <n v="6.1805555555555558E-2"/>
    <s v="ANT-0888"/>
    <n v="89"/>
    <s v="En Cours"/>
    <x v="2"/>
    <x v="1"/>
    <s v="Pas de correspondance"/>
  </r>
  <r>
    <s v="Logs_Reseau_Part_10.xlsx"/>
    <d v="2023-10-18T00:40:00"/>
    <n v="3.7499999999999999E-2"/>
    <s v="ANT-0891"/>
    <n v="54"/>
    <s v="Non Résolu"/>
    <x v="2"/>
    <x v="1"/>
    <s v="Pas de correspondance"/>
  </r>
  <r>
    <s v="Logs_Reseau_Part_05.xlsx"/>
    <d v="2023-10-25T16:24:00"/>
    <n v="4.9305555555555554E-2"/>
    <s v="ANT-0891"/>
    <n v="71"/>
    <s v="Résolu"/>
    <x v="2"/>
    <x v="1"/>
    <s v="Pas de correspondance"/>
  </r>
  <r>
    <s v="Logs_Reseau_Part_01.xlsx"/>
    <d v="2023-10-14T10:17:00"/>
    <n v="7.013888888888889E-2"/>
    <s v="ANT-0892"/>
    <n v="101"/>
    <s v="Non Résolu"/>
    <x v="2"/>
    <x v="1"/>
    <s v="Pas de correspondance"/>
  </r>
  <r>
    <s v="Logs_Reseau_Part_09.xlsx"/>
    <d v="2023-10-05T11:19:00"/>
    <d v="1899-12-30T00:10:00"/>
    <s v="ANT-0894"/>
    <n v="10"/>
    <s v="Résolu"/>
    <x v="13"/>
    <x v="2"/>
    <s v="Huawei"/>
  </r>
  <r>
    <s v="Logs_Reseau_Part_09.xlsx"/>
    <d v="2023-10-21T10:52:00"/>
    <n v="2.4305555555555556E-2"/>
    <s v="ANT-0896"/>
    <n v="35"/>
    <s v="Non Résolu"/>
    <x v="2"/>
    <x v="1"/>
    <s v="Pas de correspondance"/>
  </r>
  <r>
    <s v="Logs_Reseau_Part_16.xlsx"/>
    <d v="2023-10-27T21:45:00"/>
    <n v="1.8055555555555554E-2"/>
    <s v="ANT-0896"/>
    <n v="26"/>
    <s v="Non Résolu"/>
    <x v="2"/>
    <x v="1"/>
    <s v="Pas de correspondance"/>
  </r>
  <r>
    <s v="Logs_Reseau_Part_17.xlsx"/>
    <d v="2023-10-18T12:13:00"/>
    <n v="3.4027777777777775E-2"/>
    <s v="ANT-0897"/>
    <n v="49"/>
    <s v="Résolu"/>
    <x v="2"/>
    <x v="1"/>
    <s v="Pas de correspondance"/>
  </r>
  <r>
    <s v="Logs_Reseau_Part_01.xlsx"/>
    <d v="2023-10-18T02:37:00"/>
    <n v="4.0972222222222222E-2"/>
    <s v="ANT-0897"/>
    <n v="59"/>
    <s v="Résolu"/>
    <x v="2"/>
    <x v="1"/>
    <s v="Pas de correspondance"/>
  </r>
  <r>
    <s v="Logs_Reseau_Part_13.xlsx"/>
    <d v="2023-10-23T18:31:00"/>
    <n v="3.6805555555555557E-2"/>
    <s v="ANT-0897"/>
    <n v="53"/>
    <s v="En Cours"/>
    <x v="2"/>
    <x v="1"/>
    <s v="Pas de correspondance"/>
  </r>
  <r>
    <s v="Logs_Reseau_Part_06.xlsx"/>
    <d v="2023-10-05T07:33:00"/>
    <n v="8.3333333333333329E-2"/>
    <s v="ANT-0898"/>
    <n v="120"/>
    <s v="Non Résolu"/>
    <x v="2"/>
    <x v="1"/>
    <s v="Pas de correspondance"/>
  </r>
  <r>
    <s v="Logs_Reseau_Part_01.xlsx"/>
    <d v="2023-10-11T01:14:00"/>
    <d v="1899-12-30T01:13:00"/>
    <s v="ANT-0900"/>
    <n v="73"/>
    <s v="Résolu"/>
    <x v="24"/>
    <x v="0"/>
    <s v="Ericsson"/>
  </r>
  <r>
    <s v="Logs_Reseau_Part_01.xlsx"/>
    <d v="2023-10-29T20:29:00"/>
    <d v="1899-12-30T00:42:00"/>
    <s v="ANT-0900"/>
    <n v="42"/>
    <s v="Résolu"/>
    <x v="24"/>
    <x v="0"/>
    <s v="Ericsson"/>
  </r>
  <r>
    <s v="Logs_Reseau_Part_12.xlsx"/>
    <d v="2023-10-15T10:26:00"/>
    <d v="1899-12-30T01:01:00"/>
    <s v="ANT-0900"/>
    <n v="61"/>
    <s v="En Cours"/>
    <x v="24"/>
    <x v="0"/>
    <s v="Ericsson"/>
  </r>
  <r>
    <s v="Logs_Reseau_Part_11.xlsx"/>
    <d v="2023-10-09T04:40:00"/>
    <n v="6.805555555555555E-2"/>
    <s v="ANT-0901"/>
    <n v="98"/>
    <s v="Non Résolu"/>
    <x v="2"/>
    <x v="1"/>
    <s v="Pas de correspondance"/>
  </r>
  <r>
    <s v="Logs_Reseau_Part_05.xlsx"/>
    <d v="2023-10-10T19:47:00"/>
    <d v="1899-12-30T01:33:00"/>
    <s v="ANT-0902"/>
    <n v="93"/>
    <s v="En Cours"/>
    <x v="12"/>
    <x v="3"/>
    <s v="Ericsson"/>
  </r>
  <r>
    <s v="Logs_Reseau_Part_12.xlsx"/>
    <d v="2023-10-04T06:01:00"/>
    <d v="1899-12-30T00:49:00"/>
    <s v="ANT-0902"/>
    <n v="49"/>
    <s v="Non Résolu"/>
    <x v="12"/>
    <x v="3"/>
    <s v="Ericsson"/>
  </r>
  <r>
    <s v="Logs_Reseau_Part_04.xlsx"/>
    <d v="2023-10-22T21:51:00"/>
    <d v="1899-12-30T01:00:00"/>
    <s v="ANT-0902"/>
    <n v="60"/>
    <s v="Non Résolu"/>
    <x v="12"/>
    <x v="3"/>
    <s v="Ericsson"/>
  </r>
  <r>
    <s v="Logs_Reseau_Part_04.xlsx"/>
    <d v="2023-10-05T19:34:00"/>
    <d v="1899-12-30T01:11:00"/>
    <s v="ANT-0902"/>
    <n v="71"/>
    <s v="En Cours"/>
    <x v="12"/>
    <x v="3"/>
    <s v="Ericsson"/>
  </r>
  <r>
    <s v="Logs_Reseau_Part_20.xlsx"/>
    <d v="2023-10-11T05:56:00"/>
    <n v="5.1388888888888887E-2"/>
    <s v="ANT-0903"/>
    <n v="74"/>
    <s v="Résolu"/>
    <x v="2"/>
    <x v="1"/>
    <s v="Pas de correspondance"/>
  </r>
  <r>
    <s v="Logs_Reseau_Part_19.xlsx"/>
    <d v="2023-10-12T06:58:00"/>
    <n v="5.0694444444444445E-2"/>
    <s v="ANT-0903"/>
    <n v="73"/>
    <s v="En Cours"/>
    <x v="2"/>
    <x v="1"/>
    <s v="Pas de correspondance"/>
  </r>
  <r>
    <s v="Logs_Reseau_Part_02.xlsx"/>
    <d v="2023-10-28T05:04:00"/>
    <n v="2.6388888888888889E-2"/>
    <s v="ANT-0905"/>
    <n v="38"/>
    <s v="Résolu"/>
    <x v="2"/>
    <x v="1"/>
    <s v="Pas de correspondance"/>
  </r>
  <r>
    <s v="Logs_Reseau_Part_17.xlsx"/>
    <d v="2023-10-27T03:55:00"/>
    <n v="2.5000000000000001E-2"/>
    <s v="ANT-0911"/>
    <n v="36"/>
    <s v="Non Résolu"/>
    <x v="2"/>
    <x v="1"/>
    <s v="Pas de correspondance"/>
  </r>
  <r>
    <s v="Logs_Reseau_Part_23.xlsx"/>
    <d v="2023-10-26T18:43:00"/>
    <n v="4.791666666666667E-2"/>
    <s v="ANT-0912"/>
    <n v="69"/>
    <s v="Non Résolu"/>
    <x v="2"/>
    <x v="1"/>
    <s v="Pas de correspondance"/>
  </r>
  <r>
    <s v="Logs_Reseau_Part_03.xlsx"/>
    <d v="2023-10-11T13:38:00"/>
    <d v="1899-12-30T01:36:00"/>
    <s v="ANT-0913"/>
    <n v="96"/>
    <s v="Résolu"/>
    <x v="8"/>
    <x v="2"/>
    <s v="ZTE"/>
  </r>
  <r>
    <s v="Logs_Reseau_Part_21.xlsx"/>
    <d v="2023-10-15T16:25:00"/>
    <d v="1899-12-30T01:59:00"/>
    <s v="ANT-0914"/>
    <n v="119"/>
    <s v="En Cours"/>
    <x v="9"/>
    <x v="2"/>
    <s v="ZTE"/>
  </r>
  <r>
    <s v="Logs_Reseau_Part_03.xlsx"/>
    <d v="2023-10-30T17:43:00"/>
    <d v="1899-12-30T00:36:00"/>
    <s v="ANT-0914"/>
    <n v="36"/>
    <s v="Non Résolu"/>
    <x v="9"/>
    <x v="2"/>
    <s v="ZTE"/>
  </r>
  <r>
    <s v="Logs_Reseau_Part_18.xlsx"/>
    <d v="2023-10-17T11:03:00"/>
    <d v="1899-12-30T00:36:00"/>
    <s v="ANT-0918"/>
    <n v="36"/>
    <s v="En Cours"/>
    <x v="13"/>
    <x v="0"/>
    <s v="Huawei"/>
  </r>
  <r>
    <s v="Logs_Reseau_Part_18.xlsx"/>
    <d v="2023-10-29T00:21:00"/>
    <n v="6.805555555555555E-2"/>
    <s v="ANT-0919"/>
    <n v="98"/>
    <s v="Résolu"/>
    <x v="2"/>
    <x v="1"/>
    <s v="Pas de correspondance"/>
  </r>
  <r>
    <s v="Logs_Reseau_Part_03.xlsx"/>
    <d v="2023-10-10T16:19:00"/>
    <n v="7.9861111111111105E-2"/>
    <s v="ANT-0919"/>
    <n v="115"/>
    <s v="En Cours"/>
    <x v="2"/>
    <x v="1"/>
    <s v="Pas de correspondance"/>
  </r>
  <r>
    <s v="Logs_Reseau_Part_17.xlsx"/>
    <d v="2023-10-06T08:05:00"/>
    <n v="8.2638888888888887E-2"/>
    <s v="ANT-0920"/>
    <n v="119"/>
    <s v="En Cours"/>
    <x v="2"/>
    <x v="1"/>
    <s v="Pas de correspondance"/>
  </r>
  <r>
    <s v="Logs_Reseau_Part_07.xlsx"/>
    <d v="2023-10-04T15:39:00"/>
    <d v="1899-12-30T01:05:00"/>
    <s v="ANT-0921"/>
    <n v="65"/>
    <s v="En Cours"/>
    <x v="6"/>
    <x v="2"/>
    <s v="Huawei"/>
  </r>
  <r>
    <s v="Logs_Reseau_Part_22.xlsx"/>
    <d v="2023-10-08T22:56:00"/>
    <d v="1899-12-30T01:13:00"/>
    <s v="ANT-0921"/>
    <n v="73"/>
    <s v="Non Résolu"/>
    <x v="6"/>
    <x v="2"/>
    <s v="Huawei"/>
  </r>
  <r>
    <s v="Logs_Reseau_Part_21.xlsx"/>
    <d v="2023-10-10T00:24:00"/>
    <n v="2.9861111111111113E-2"/>
    <s v="ANT-0922"/>
    <n v="43"/>
    <s v="Résolu"/>
    <x v="2"/>
    <x v="1"/>
    <s v="Pas de correspondance"/>
  </r>
  <r>
    <s v="Logs_Reseau_Part_20.xlsx"/>
    <d v="2023-10-22T09:19:00"/>
    <d v="1899-12-30T01:04:00"/>
    <s v="ANT-0923"/>
    <n v="64"/>
    <s v="Non Résolu"/>
    <x v="4"/>
    <x v="0"/>
    <s v="ZTE"/>
  </r>
  <r>
    <s v="Logs_Reseau_Part_11.xlsx"/>
    <d v="2023-10-14T13:52:00"/>
    <n v="6.458333333333334E-2"/>
    <s v="ANT-0924"/>
    <n v="93"/>
    <s v="Non Résolu"/>
    <x v="2"/>
    <x v="1"/>
    <s v="Pas de correspondance"/>
  </r>
  <r>
    <s v="Logs_Reseau_Part_20.xlsx"/>
    <d v="2023-10-06T19:56:00"/>
    <d v="1899-12-30T00:52:00"/>
    <s v="ANT-0925"/>
    <n v="52"/>
    <s v="Résolu"/>
    <x v="22"/>
    <x v="3"/>
    <s v="Nokia"/>
  </r>
  <r>
    <s v="Logs_Reseau_Part_06.xlsx"/>
    <d v="2023-10-17T18:21:00"/>
    <d v="1899-12-30T00:53:00"/>
    <s v="ANT-0926"/>
    <n v="53"/>
    <s v="Non Résolu"/>
    <x v="16"/>
    <x v="0"/>
    <s v="Huawei"/>
  </r>
  <r>
    <s v="Logs_Reseau_Part_09.xlsx"/>
    <d v="2023-10-15T18:35:00"/>
    <d v="1899-12-30T01:58:00"/>
    <s v="ANT-0926"/>
    <n v="118"/>
    <s v="Résolu"/>
    <x v="16"/>
    <x v="0"/>
    <s v="Huawei"/>
  </r>
  <r>
    <s v="Logs_Reseau_Part_02.xlsx"/>
    <d v="2023-10-28T07:25:00"/>
    <d v="1899-12-30T01:58:00"/>
    <s v="ANT-0926"/>
    <n v="118"/>
    <s v="En Cours"/>
    <x v="16"/>
    <x v="0"/>
    <s v="Huawei"/>
  </r>
  <r>
    <s v="Logs_Reseau_Part_12.xlsx"/>
    <d v="2023-10-26T15:33:00"/>
    <n v="3.4027777777777775E-2"/>
    <s v="ANT-0927"/>
    <n v="49"/>
    <s v="Résolu"/>
    <x v="2"/>
    <x v="1"/>
    <s v="Pas de correspondance"/>
  </r>
  <r>
    <s v="Logs_Reseau_Part_02.xlsx"/>
    <d v="2023-10-22T20:41:00"/>
    <d v="1899-12-30T00:21:00"/>
    <s v="ANT-0928"/>
    <n v="21"/>
    <s v="Non Résolu"/>
    <x v="24"/>
    <x v="2"/>
    <s v="Ericsson"/>
  </r>
  <r>
    <s v="Logs_Reseau_Part_03.xlsx"/>
    <d v="2023-10-30T10:39:00"/>
    <d v="1899-12-30T00:05:00"/>
    <s v="ANT-0929"/>
    <n v="5"/>
    <s v="Résolu"/>
    <x v="12"/>
    <x v="0"/>
    <s v="Nokia"/>
  </r>
  <r>
    <s v="Logs_Reseau_Part_12.xlsx"/>
    <d v="2023-10-25T23:43:00"/>
    <n v="2.7083333333333334E-2"/>
    <s v="ANT-0930"/>
    <n v="39"/>
    <s v="Résolu"/>
    <x v="2"/>
    <x v="1"/>
    <s v="Pas de correspondance"/>
  </r>
  <r>
    <s v="Logs_Reseau_Part_02.xlsx"/>
    <d v="2023-10-04T01:25:00"/>
    <n v="3.4027777777777775E-2"/>
    <s v="ANT-0930"/>
    <n v="49"/>
    <s v="Résolu"/>
    <x v="2"/>
    <x v="1"/>
    <s v="Pas de correspondance"/>
  </r>
  <r>
    <s v="Logs_Reseau_Part_07.xlsx"/>
    <d v="2023-10-31T17:26:00"/>
    <n v="1.3194444444444444E-2"/>
    <s v="ANT-0932"/>
    <n v="19"/>
    <s v="Non Résolu"/>
    <x v="2"/>
    <x v="1"/>
    <s v="Pas de correspondance"/>
  </r>
  <r>
    <s v="Logs_Reseau_Part_14.xlsx"/>
    <d v="2023-10-20T19:02:00"/>
    <n v="6.2500000000000003E-3"/>
    <s v="ANT-0932"/>
    <n v="9"/>
    <s v="Non Résolu"/>
    <x v="2"/>
    <x v="1"/>
    <s v="Pas de correspondance"/>
  </r>
  <r>
    <s v="Logs_Reseau_Part_06.xlsx"/>
    <d v="2023-10-18T01:39:00"/>
    <n v="5.347222222222222E-2"/>
    <s v="ANT-0932"/>
    <n v="77"/>
    <s v="En Cours"/>
    <x v="2"/>
    <x v="1"/>
    <s v="Pas de correspondance"/>
  </r>
  <r>
    <s v="Logs_Reseau_Part_10.xlsx"/>
    <d v="2023-10-17T18:15:00"/>
    <d v="1899-12-30T00:48:00"/>
    <s v="ANT-0934"/>
    <n v="48"/>
    <s v="Résolu"/>
    <x v="10"/>
    <x v="2"/>
    <s v="ZTE"/>
  </r>
  <r>
    <s v="Logs_Reseau_Part_01.xlsx"/>
    <d v="2023-10-28T00:48:00"/>
    <d v="1899-12-30T01:08:00"/>
    <s v="ANT-0935"/>
    <n v="68"/>
    <s v="En Cours"/>
    <x v="0"/>
    <x v="2"/>
    <s v="ZTE"/>
  </r>
  <r>
    <s v="Logs_Reseau_Part_06.xlsx"/>
    <d v="2023-10-22T07:31:00"/>
    <d v="1899-12-30T00:34:00"/>
    <s v="ANT-0936"/>
    <n v="34"/>
    <s v="Non Résolu"/>
    <x v="7"/>
    <x v="2"/>
    <s v="Huawei"/>
  </r>
  <r>
    <s v="Logs_Reseau_Part_06.xlsx"/>
    <d v="2023-10-26T14:57:00"/>
    <d v="1899-12-30T01:26:00"/>
    <s v="ANT-0936"/>
    <n v="86"/>
    <s v="Résolu"/>
    <x v="7"/>
    <x v="2"/>
    <s v="Huawei"/>
  </r>
  <r>
    <s v="Logs_Reseau_Part_19.xlsx"/>
    <d v="2023-10-01T01:53:00"/>
    <d v="1899-12-30T00:40:00"/>
    <s v="ANT-0936"/>
    <n v="40"/>
    <s v="Résolu"/>
    <x v="7"/>
    <x v="2"/>
    <s v="Huawei"/>
  </r>
  <r>
    <s v="Logs_Reseau_Part_01.xlsx"/>
    <d v="2023-10-12T05:23:00"/>
    <d v="1899-12-30T00:37:00"/>
    <s v="ANT-0941"/>
    <n v="37"/>
    <s v="Résolu"/>
    <x v="24"/>
    <x v="2"/>
    <s v="Ericsson"/>
  </r>
  <r>
    <s v="Logs_Reseau_Part_14.xlsx"/>
    <d v="2023-10-22T17:13:00"/>
    <d v="1899-12-30T00:14:00"/>
    <s v="ANT-0941"/>
    <n v="14"/>
    <s v="Résolu"/>
    <x v="24"/>
    <x v="2"/>
    <s v="Ericsson"/>
  </r>
  <r>
    <s v="Logs_Reseau_Part_08.xlsx"/>
    <d v="2023-10-23T09:58:00"/>
    <d v="1899-12-30T01:13:00"/>
    <s v="ANT-0942"/>
    <n v="73"/>
    <s v="Résolu"/>
    <x v="0"/>
    <x v="2"/>
    <s v="ZTE"/>
  </r>
  <r>
    <s v="Logs_Reseau_Part_18.xlsx"/>
    <d v="2023-10-24T08:46:00"/>
    <n v="7.2222222222222215E-2"/>
    <s v="ANT-0944"/>
    <n v="104"/>
    <s v="Non Résolu"/>
    <x v="2"/>
    <x v="1"/>
    <s v="Pas de correspondance"/>
  </r>
  <r>
    <s v="Logs_Reseau_Part_01.xlsx"/>
    <d v="2023-10-04T12:17:00"/>
    <d v="1899-12-30T01:04:00"/>
    <s v="ANT-0945"/>
    <n v="64"/>
    <s v="En Cours"/>
    <x v="4"/>
    <x v="3"/>
    <s v="ZTE"/>
  </r>
  <r>
    <s v="Logs_Reseau_Part_05.xlsx"/>
    <d v="2023-10-21T04:58:00"/>
    <d v="1899-12-30T00:25:00"/>
    <s v="ANT-0950"/>
    <n v="25"/>
    <s v="Résolu"/>
    <x v="23"/>
    <x v="2"/>
    <s v="Nokia"/>
  </r>
  <r>
    <s v="Logs_Reseau_Part_24.xlsx"/>
    <d v="2023-10-20T22:18:00"/>
    <n v="7.9861111111111105E-2"/>
    <s v="ANT-0951"/>
    <n v="115"/>
    <s v="Résolu"/>
    <x v="2"/>
    <x v="1"/>
    <s v="Pas de correspondance"/>
  </r>
  <r>
    <s v="Logs_Reseau_Part_12.xlsx"/>
    <d v="2023-10-19T15:10:00"/>
    <d v="1899-12-30T00:42:00"/>
    <s v="ANT-0952"/>
    <n v="42"/>
    <s v="Non Résolu"/>
    <x v="25"/>
    <x v="0"/>
    <s v="Huawei"/>
  </r>
  <r>
    <s v="Logs_Reseau_Part_01.xlsx"/>
    <d v="2023-10-09T20:44:00"/>
    <d v="1899-12-30T01:32:00"/>
    <s v="ANT-0952"/>
    <n v="92"/>
    <s v="Résolu"/>
    <x v="25"/>
    <x v="0"/>
    <s v="Huawei"/>
  </r>
  <r>
    <s v="Logs_Reseau_Part_24.xlsx"/>
    <d v="2023-10-11T22:07:00"/>
    <n v="5.9722222222222225E-2"/>
    <s v="ANT-0955"/>
    <n v="86"/>
    <s v="Non Résolu"/>
    <x v="2"/>
    <x v="1"/>
    <s v="Pas de correspondance"/>
  </r>
  <r>
    <s v="Logs_Reseau_Part_25.xlsx"/>
    <d v="2023-10-15T22:21:00"/>
    <n v="5.6250000000000001E-2"/>
    <s v="ANT-0955"/>
    <n v="81"/>
    <s v="Non Résolu"/>
    <x v="2"/>
    <x v="1"/>
    <s v="Pas de correspondance"/>
  </r>
  <r>
    <s v="Logs_Reseau_Part_15.xlsx"/>
    <d v="2023-10-21T08:50:00"/>
    <n v="3.2638888888888891E-2"/>
    <s v="ANT-0955"/>
    <n v="47"/>
    <s v="En Cours"/>
    <x v="2"/>
    <x v="1"/>
    <s v="Pas de correspondance"/>
  </r>
  <r>
    <s v="Logs_Reseau_Part_11.xlsx"/>
    <d v="2023-10-17T11:08:00"/>
    <d v="1899-12-30T00:58:00"/>
    <s v="ANT-0957"/>
    <n v="58"/>
    <s v="Résolu"/>
    <x v="5"/>
    <x v="0"/>
    <s v="Nokia"/>
  </r>
  <r>
    <s v="Logs_Reseau_Part_17.xlsx"/>
    <d v="2023-10-13T02:46:00"/>
    <d v="1899-12-30T00:15:00"/>
    <s v="ANT-0957"/>
    <n v="15"/>
    <s v="Non Résolu"/>
    <x v="5"/>
    <x v="0"/>
    <s v="Nokia"/>
  </r>
  <r>
    <s v="Logs_Reseau_Part_09.xlsx"/>
    <d v="2023-10-30T16:05:00"/>
    <d v="1899-12-30T00:41:00"/>
    <s v="ANT-0957"/>
    <n v="41"/>
    <s v="En Cours"/>
    <x v="5"/>
    <x v="0"/>
    <s v="Nokia"/>
  </r>
  <r>
    <s v="Logs_Reseau_Part_12.xlsx"/>
    <d v="2023-10-02T18:44:00"/>
    <n v="1.0416666666666666E-2"/>
    <s v="ANT-0958"/>
    <n v="15"/>
    <s v="Résolu"/>
    <x v="2"/>
    <x v="1"/>
    <s v="Pas de correspondance"/>
  </r>
  <r>
    <s v="Logs_Reseau_Part_20.xlsx"/>
    <d v="2023-10-26T01:18:00"/>
    <d v="1899-12-30T00:38:00"/>
    <s v="ANT-0959"/>
    <n v="38"/>
    <s v="En Cours"/>
    <x v="20"/>
    <x v="0"/>
    <s v="Ericsson"/>
  </r>
  <r>
    <s v="Logs_Reseau_Part_13.xlsx"/>
    <d v="2023-10-04T21:13:00"/>
    <n v="8.0555555555555561E-2"/>
    <s v="ANT-0960"/>
    <n v="116"/>
    <s v="Non Résolu"/>
    <x v="2"/>
    <x v="1"/>
    <s v="Pas de correspondance"/>
  </r>
  <r>
    <s v="Logs_Reseau_Part_24.xlsx"/>
    <d v="2023-10-10T22:35:00"/>
    <n v="2.0833333333333332E-2"/>
    <s v="ANT-0960"/>
    <n v="30"/>
    <s v="En Cours"/>
    <x v="2"/>
    <x v="1"/>
    <s v="Pas de correspondance"/>
  </r>
  <r>
    <s v="Logs_Reseau_Part_14.xlsx"/>
    <d v="2023-10-09T12:43:00"/>
    <n v="0.05"/>
    <s v="ANT-0963"/>
    <n v="72"/>
    <s v="En Cours"/>
    <x v="2"/>
    <x v="1"/>
    <s v="Pas de correspondance"/>
  </r>
  <r>
    <s v="Logs_Reseau_Part_17.xlsx"/>
    <d v="2023-10-31T15:20:00"/>
    <d v="1899-12-30T01:17:00"/>
    <s v="ANT-0964"/>
    <n v="77"/>
    <s v="Non Résolu"/>
    <x v="8"/>
    <x v="2"/>
    <s v="Nokia"/>
  </r>
  <r>
    <s v="Logs_Reseau_Part_15.xlsx"/>
    <d v="2023-10-12T08:06:00"/>
    <d v="1899-12-30T01:28:00"/>
    <s v="ANT-0966"/>
    <n v="88"/>
    <s v="Non Résolu"/>
    <x v="10"/>
    <x v="3"/>
    <s v="Nokia"/>
  </r>
  <r>
    <s v="Logs_Reseau_Part_06.xlsx"/>
    <d v="2023-10-06T02:28:00"/>
    <n v="5.8333333333333334E-2"/>
    <s v="ANT-0967"/>
    <n v="84"/>
    <s v="En Cours"/>
    <x v="2"/>
    <x v="1"/>
    <s v="Pas de correspondance"/>
  </r>
  <r>
    <s v="Logs_Reseau_Part_02.xlsx"/>
    <d v="2023-10-02T16:05:00"/>
    <n v="1.5277777777777777E-2"/>
    <s v="ANT-0968"/>
    <n v="22"/>
    <s v="En Cours"/>
    <x v="2"/>
    <x v="1"/>
    <s v="Pas de correspondance"/>
  </r>
  <r>
    <s v="Logs_Reseau_Part_11.xlsx"/>
    <d v="2023-10-20T23:57:00"/>
    <n v="7.0833333333333331E-2"/>
    <s v="ANT-0968"/>
    <n v="102"/>
    <s v="Non Résolu"/>
    <x v="2"/>
    <x v="1"/>
    <s v="Pas de correspondance"/>
  </r>
  <r>
    <s v="Logs_Reseau_Part_11.xlsx"/>
    <d v="2023-10-26T04:15:00"/>
    <n v="2.5000000000000001E-2"/>
    <s v="ANT-0969"/>
    <n v="36"/>
    <s v="En Cours"/>
    <x v="2"/>
    <x v="1"/>
    <s v="Pas de correspondance"/>
  </r>
  <r>
    <s v="Logs_Reseau_Part_09.xlsx"/>
    <d v="2023-10-16T16:09:00"/>
    <d v="1899-12-30T01:57:00"/>
    <s v="ANT-0970"/>
    <n v="117"/>
    <s v="En Cours"/>
    <x v="13"/>
    <x v="3"/>
    <s v="Huawei"/>
  </r>
  <r>
    <s v="Logs_Reseau_Part_01.xlsx"/>
    <d v="2023-10-08T23:35:00"/>
    <d v="1899-12-30T00:25:00"/>
    <s v="ANT-0970"/>
    <n v="25"/>
    <s v="En Cours"/>
    <x v="13"/>
    <x v="3"/>
    <s v="Huawei"/>
  </r>
  <r>
    <s v="Logs_Reseau_Part_04.xlsx"/>
    <d v="2023-10-02T08:24:00"/>
    <n v="5.0694444444444445E-2"/>
    <s v="ANT-0971"/>
    <n v="73"/>
    <s v="Résolu"/>
    <x v="2"/>
    <x v="1"/>
    <s v="Pas de correspondance"/>
  </r>
  <r>
    <s v="Logs_Reseau_Part_08.xlsx"/>
    <d v="2023-10-18T19:39:00"/>
    <n v="6.9444444444444448E-2"/>
    <s v="ANT-0971"/>
    <n v="100"/>
    <s v="Résolu"/>
    <x v="2"/>
    <x v="1"/>
    <s v="Pas de correspondance"/>
  </r>
  <r>
    <s v="Logs_Reseau_Part_19.xlsx"/>
    <d v="2023-10-03T06:57:00"/>
    <n v="7.1527777777777773E-2"/>
    <s v="ANT-0971"/>
    <n v="103"/>
    <s v="Non Résolu"/>
    <x v="2"/>
    <x v="1"/>
    <s v="Pas de correspondance"/>
  </r>
  <r>
    <s v="Logs_Reseau_Part_10.xlsx"/>
    <d v="2023-10-18T16:50:00"/>
    <n v="4.9305555555555554E-2"/>
    <s v="ANT-0971"/>
    <n v="71"/>
    <s v="Non Résolu"/>
    <x v="2"/>
    <x v="1"/>
    <s v="Pas de correspondance"/>
  </r>
  <r>
    <s v="Logs_Reseau_Part_19.xlsx"/>
    <d v="2023-10-06T18:27:00"/>
    <d v="1899-12-30T00:36:00"/>
    <s v="ANT-0972"/>
    <n v="36"/>
    <s v="Résolu"/>
    <x v="21"/>
    <x v="3"/>
    <s v="Ericsson"/>
  </r>
  <r>
    <s v="Logs_Reseau_Part_03.xlsx"/>
    <d v="2023-10-04T19:27:00"/>
    <n v="5.4166666666666669E-2"/>
    <s v="ANT-0973"/>
    <n v="78"/>
    <s v="En Cours"/>
    <x v="2"/>
    <x v="1"/>
    <s v="Pas de correspondance"/>
  </r>
  <r>
    <s v="Logs_Reseau_Part_23.xlsx"/>
    <d v="2023-10-14T14:02:00"/>
    <n v="2.4305555555555556E-2"/>
    <s v="ANT-0974"/>
    <n v="35"/>
    <s v="Non Résolu"/>
    <x v="2"/>
    <x v="1"/>
    <s v="Pas de correspondance"/>
  </r>
  <r>
    <s v="Logs_Reseau_Part_25.xlsx"/>
    <d v="2023-10-26T21:19:00"/>
    <d v="1899-12-30T01:27:00"/>
    <s v="ANT-0975"/>
    <n v="87"/>
    <s v="En Cours"/>
    <x v="5"/>
    <x v="2"/>
    <s v="Huawei"/>
  </r>
  <r>
    <s v="Logs_Reseau_Part_10.xlsx"/>
    <d v="2023-10-27T21:29:00"/>
    <n v="2.9166666666666667E-2"/>
    <s v="ANT-0976"/>
    <n v="42"/>
    <s v="Résolu"/>
    <x v="2"/>
    <x v="1"/>
    <s v="Pas de correspondance"/>
  </r>
  <r>
    <s v="Logs_Reseau_Part_15.xlsx"/>
    <d v="2023-10-24T12:20:00"/>
    <n v="7.5694444444444439E-2"/>
    <s v="ANT-0976"/>
    <n v="109"/>
    <s v="Non Résolu"/>
    <x v="2"/>
    <x v="1"/>
    <s v="Pas de correspondance"/>
  </r>
  <r>
    <s v="Logs_Reseau_Part_21.xlsx"/>
    <d v="2023-10-09T11:52:00"/>
    <n v="4.0972222222222222E-2"/>
    <s v="ANT-0976"/>
    <n v="59"/>
    <s v="Non Résolu"/>
    <x v="2"/>
    <x v="1"/>
    <s v="Pas de correspondance"/>
  </r>
  <r>
    <s v="Logs_Reseau_Part_01.xlsx"/>
    <d v="2023-10-05T23:06:00"/>
    <n v="6.9444444444444448E-2"/>
    <s v="ANT-0977"/>
    <n v="100"/>
    <s v="Non Résolu"/>
    <x v="2"/>
    <x v="1"/>
    <s v="Pas de correspondance"/>
  </r>
  <r>
    <s v="Logs_Reseau_Part_01.xlsx"/>
    <d v="2023-10-25T09:05:00"/>
    <n v="3.6805555555555557E-2"/>
    <s v="ANT-0977"/>
    <n v="53"/>
    <s v="En Cours"/>
    <x v="2"/>
    <x v="1"/>
    <s v="Pas de correspondance"/>
  </r>
  <r>
    <s v="Logs_Reseau_Part_17.xlsx"/>
    <d v="2023-10-03T11:42:00"/>
    <n v="1.5277777777777777E-2"/>
    <s v="ANT-0978"/>
    <n v="22"/>
    <s v="En Cours"/>
    <x v="2"/>
    <x v="1"/>
    <s v="Pas de correspondance"/>
  </r>
  <r>
    <s v="Logs_Reseau_Part_24.xlsx"/>
    <d v="2023-10-20T21:47:00"/>
    <n v="6.3888888888888884E-2"/>
    <s v="ANT-0980"/>
    <n v="92"/>
    <s v="Non Résolu"/>
    <x v="2"/>
    <x v="1"/>
    <s v="Pas de correspondance"/>
  </r>
  <r>
    <s v="Logs_Reseau_Part_14.xlsx"/>
    <d v="2023-10-07T11:20:00"/>
    <n v="4.791666666666667E-2"/>
    <s v="ANT-0983"/>
    <n v="69"/>
    <s v="En Cours"/>
    <x v="2"/>
    <x v="1"/>
    <s v="Pas de correspondance"/>
  </r>
  <r>
    <s v="Logs_Reseau_Part_18.xlsx"/>
    <d v="2023-10-10T21:47:00"/>
    <d v="1899-12-30T01:39:00"/>
    <s v="ANT-0985"/>
    <n v="99"/>
    <s v="En Cours"/>
    <x v="7"/>
    <x v="2"/>
    <s v="Ericsson"/>
  </r>
  <r>
    <s v="Logs_Reseau_Part_11.xlsx"/>
    <d v="2023-10-10T12:45:00"/>
    <d v="1899-12-30T01:03:00"/>
    <s v="ANT-0986"/>
    <n v="63"/>
    <s v="Résolu"/>
    <x v="17"/>
    <x v="0"/>
    <s v="Huawei"/>
  </r>
  <r>
    <s v="Logs_Reseau_Part_23.xlsx"/>
    <d v="2023-10-26T05:07:00"/>
    <n v="2.4305555555555556E-2"/>
    <s v="ANT-0987"/>
    <n v="35"/>
    <s v="En Cours"/>
    <x v="2"/>
    <x v="1"/>
    <s v="Pas de correspondance"/>
  </r>
  <r>
    <s v="Logs_Reseau_Part_12.xlsx"/>
    <d v="2023-10-25T18:36:00"/>
    <d v="1899-12-30T01:47:00"/>
    <s v="ANT-0988"/>
    <n v="107"/>
    <s v="En Cours"/>
    <x v="23"/>
    <x v="2"/>
    <s v="ZTE"/>
  </r>
  <r>
    <s v="Logs_Reseau_Part_12.xlsx"/>
    <d v="2023-10-17T06:35:00"/>
    <d v="1899-12-30T00:30:00"/>
    <s v="ANT-0988"/>
    <n v="30"/>
    <s v="Non Résolu"/>
    <x v="23"/>
    <x v="2"/>
    <s v="ZTE"/>
  </r>
  <r>
    <s v="Logs_Reseau_Part_18.xlsx"/>
    <d v="2023-10-31T12:04:00"/>
    <d v="1899-12-30T01:39:00"/>
    <s v="ANT-0988"/>
    <n v="99"/>
    <s v="Résolu"/>
    <x v="23"/>
    <x v="2"/>
    <s v="ZTE"/>
  </r>
  <r>
    <s v="Logs_Reseau_Part_20.xlsx"/>
    <d v="2023-10-27T15:50:00"/>
    <d v="1899-12-30T01:05:00"/>
    <s v="ANT-0989"/>
    <n v="65"/>
    <s v="Non Résolu"/>
    <x v="6"/>
    <x v="3"/>
    <s v="ZTE"/>
  </r>
  <r>
    <s v="Logs_Reseau_Part_09.xlsx"/>
    <d v="2023-10-02T01:23:00"/>
    <d v="1899-12-30T01:43:00"/>
    <s v="ANT-0989"/>
    <n v="103"/>
    <s v="Résolu"/>
    <x v="6"/>
    <x v="3"/>
    <s v="ZTE"/>
  </r>
  <r>
    <s v="Logs_Reseau_Part_08.xlsx"/>
    <d v="2023-10-08T03:22:00"/>
    <d v="1899-12-30T00:46:00"/>
    <s v="ANT-0990"/>
    <n v="46"/>
    <s v="Non Résolu"/>
    <x v="21"/>
    <x v="0"/>
    <s v="Nokia"/>
  </r>
  <r>
    <s v="Logs_Reseau_Part_11.xlsx"/>
    <d v="2023-10-02T20:49:00"/>
    <d v="1899-12-30T00:18:00"/>
    <s v="ANT-0990"/>
    <n v="18"/>
    <s v="Résolu"/>
    <x v="21"/>
    <x v="0"/>
    <s v="Nokia"/>
  </r>
  <r>
    <s v="Logs_Reseau_Part_09.xlsx"/>
    <d v="2023-10-21T20:21:00"/>
    <d v="1899-12-30T01:43:00"/>
    <s v="ANT-0990"/>
    <n v="103"/>
    <s v="Résolu"/>
    <x v="21"/>
    <x v="0"/>
    <s v="Nokia"/>
  </r>
  <r>
    <s v="Logs_Reseau_Part_21.xlsx"/>
    <d v="2023-10-16T08:57:00"/>
    <d v="1899-12-30T01:10:00"/>
    <s v="ANT-0990"/>
    <n v="70"/>
    <s v="Non Résolu"/>
    <x v="21"/>
    <x v="0"/>
    <s v="Nokia"/>
  </r>
  <r>
    <s v="Logs_Reseau_Part_06.xlsx"/>
    <d v="2023-10-10T20:27:00"/>
    <d v="1899-12-30T01:31:00"/>
    <s v="ANT-0991"/>
    <n v="91"/>
    <s v="En Cours"/>
    <x v="26"/>
    <x v="2"/>
    <s v="Huawei"/>
  </r>
  <r>
    <s v="Logs_Reseau_Part_19.xlsx"/>
    <d v="2023-10-06T08:17:00"/>
    <d v="1899-12-30T01:49:00"/>
    <s v="ANT-0994"/>
    <n v="109"/>
    <s v="Non Résolu"/>
    <x v="9"/>
    <x v="3"/>
    <s v="ZTE"/>
  </r>
  <r>
    <s v="Logs_Reseau_Part_05.xlsx"/>
    <d v="2023-10-27T02:25:00"/>
    <d v="1899-12-30T01:50:00"/>
    <s v="ANT-0994"/>
    <n v="110"/>
    <s v="Non Résolu"/>
    <x v="9"/>
    <x v="3"/>
    <s v="ZTE"/>
  </r>
  <r>
    <s v="Logs_Reseau_Part_06.xlsx"/>
    <d v="2023-10-14T18:43:00"/>
    <d v="1899-12-30T02:00:00"/>
    <s v="ANT-0995"/>
    <n v="120"/>
    <s v="Résolu"/>
    <x v="15"/>
    <x v="3"/>
    <s v="Ericsson"/>
  </r>
  <r>
    <s v="Logs_Reseau_Part_20.xlsx"/>
    <d v="2023-10-23T21:40:00"/>
    <d v="1899-12-30T00:31:00"/>
    <s v="ANT-0995"/>
    <n v="31"/>
    <s v="En Cours"/>
    <x v="15"/>
    <x v="3"/>
    <s v="Ericsson"/>
  </r>
  <r>
    <s v="Logs_Reseau_Part_01.xlsx"/>
    <d v="2023-10-17T19:01:00"/>
    <n v="3.888888888888889E-2"/>
    <s v="ANT-0996"/>
    <n v="56"/>
    <s v="Résolu"/>
    <x v="2"/>
    <x v="1"/>
    <s v="Pas de correspondance"/>
  </r>
  <r>
    <s v="Logs_Reseau_Part_18.xlsx"/>
    <d v="2023-10-04T00:45:00"/>
    <n v="2.5000000000000001E-2"/>
    <s v="ANT-0996"/>
    <n v="36"/>
    <s v="En Cours"/>
    <x v="2"/>
    <x v="1"/>
    <s v="Pas de correspondance"/>
  </r>
  <r>
    <s v="Logs_Reseau_Part_05.xlsx"/>
    <d v="2023-10-17T17:31:00"/>
    <d v="1899-12-30T01:49:00"/>
    <s v="ANT-0997"/>
    <n v="109"/>
    <s v="En Cours"/>
    <x v="14"/>
    <x v="0"/>
    <s v="Huawei"/>
  </r>
  <r>
    <s v="Logs_Reseau_Part_18.xlsx"/>
    <d v="2023-10-25T03:57:00"/>
    <n v="3.9583333333333331E-2"/>
    <s v="ANT-0998"/>
    <n v="57"/>
    <s v="Non Résolu"/>
    <x v="2"/>
    <x v="1"/>
    <s v="Pas de correspondan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07A81-E776-4DFE-8111-207A669A27EF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/>
  <pivotFields count="9">
    <pivotField showAll="0"/>
    <pivotField numFmtId="22" showAll="0"/>
    <pivotField dataField="1" showAll="0"/>
    <pivotField showAll="0"/>
    <pivotField showAll="0"/>
    <pivotField showAll="0"/>
    <pivotField axis="axisRow" showAll="0">
      <items count="28">
        <item x="3"/>
        <item x="23"/>
        <item x="6"/>
        <item x="5"/>
        <item x="22"/>
        <item x="10"/>
        <item x="7"/>
        <item x="12"/>
        <item x="14"/>
        <item x="8"/>
        <item x="21"/>
        <item x="26"/>
        <item x="25"/>
        <item x="9"/>
        <item x="20"/>
        <item x="1"/>
        <item x="17"/>
        <item x="11"/>
        <item x="13"/>
        <item x="0"/>
        <item h="1" x="2"/>
        <item x="15"/>
        <item x="19"/>
        <item x="16"/>
        <item x="24"/>
        <item x="4"/>
        <item x="18"/>
        <item t="default"/>
      </items>
    </pivotField>
    <pivotField showAll="0"/>
    <pivotField showAll="0"/>
  </pivotFields>
  <rowFields count="1">
    <field x="6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me de Duree_Panne_Heure" fld="2" baseField="6" baseItem="0" numFmtId="165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5A219-A6FA-430B-8653-9F96EDB736AE}" name="Tableau croisé dynamique3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07" firstHeaderRow="1" firstDataRow="1" firstDataCol="1"/>
  <pivotFields count="9">
    <pivotField showAll="0"/>
    <pivotField numFmtId="22" showAll="0"/>
    <pivotField dataField="1" showAll="0"/>
    <pivotField showAll="0"/>
    <pivotField showAll="0"/>
    <pivotField showAll="0"/>
    <pivotField axis="axisRow" showAll="0">
      <items count="28">
        <item x="3"/>
        <item x="23"/>
        <item x="6"/>
        <item x="5"/>
        <item x="22"/>
        <item x="10"/>
        <item x="7"/>
        <item x="12"/>
        <item x="14"/>
        <item x="8"/>
        <item x="21"/>
        <item x="26"/>
        <item x="25"/>
        <item x="9"/>
        <item x="20"/>
        <item x="1"/>
        <item x="17"/>
        <item x="11"/>
        <item x="13"/>
        <item x="0"/>
        <item h="1" x="2"/>
        <item x="15"/>
        <item x="19"/>
        <item x="16"/>
        <item x="24"/>
        <item x="4"/>
        <item x="18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2">
    <field x="6"/>
    <field x="7"/>
  </rowFields>
  <rowItems count="104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1"/>
    </i>
    <i r="1">
      <x v="2"/>
    </i>
    <i>
      <x v="23"/>
    </i>
    <i r="1">
      <x/>
    </i>
    <i r="1">
      <x v="1"/>
    </i>
    <i r="1">
      <x v="2"/>
    </i>
    <i>
      <x v="24"/>
    </i>
    <i r="1">
      <x/>
    </i>
    <i r="1">
      <x v="1"/>
    </i>
    <i r="1">
      <x v="2"/>
    </i>
    <i>
      <x v="25"/>
    </i>
    <i r="1">
      <x/>
    </i>
    <i r="1">
      <x v="1"/>
    </i>
    <i r="1">
      <x v="2"/>
    </i>
    <i>
      <x v="26"/>
    </i>
    <i r="1">
      <x/>
    </i>
    <i r="1">
      <x v="1"/>
    </i>
    <i r="1">
      <x v="2"/>
    </i>
    <i t="grand">
      <x/>
    </i>
  </rowItems>
  <colItems count="1">
    <i/>
  </colItems>
  <dataFields count="1">
    <dataField name="Somme de Duree_Panne_Heure" fld="2" baseField="7" baseItem="1" numFmtId="165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BDD0C-9270-4403-811D-3633F37CCA29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82" firstHeaderRow="0" firstDataRow="1" firstDataCol="1"/>
  <pivotFields count="4">
    <pivotField axis="axisRow" allDrilled="1" subtotalTop="0" showAll="0" dataSourceSort="1" defaultSubtotal="0" defaultAttributeDrillState="1">
      <items count="2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7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Statut_Resolution" fld="2" subtotal="count" baseField="0" baseItem="0"/>
    <dataField fld="3" subtotal="count" baseField="0" baseItem="0" numFmtId="2"/>
  </dataFields>
  <formats count="2"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9_03_2026_Registre_Maintenance_Master.xlsx!Log_Reseau_Master">
        <x15:activeTabTopLevelEntity name="[Log_Reseau_Mast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BD627-0DAB-4D77-9845-CF42C951EEE2}" name="Tableau croisé dynamique10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 rowPageCount="1" colPageCount="1"/>
  <pivotFields count="13">
    <pivotField showAll="0"/>
    <pivotField dataField="1" showAll="0"/>
    <pivotField numFmtId="1" showAll="0"/>
    <pivotField axis="axisRow" showAll="0">
      <items count="27">
        <item x="5"/>
        <item x="18"/>
        <item x="14"/>
        <item x="4"/>
        <item x="12"/>
        <item x="8"/>
        <item x="13"/>
        <item x="15"/>
        <item x="21"/>
        <item x="23"/>
        <item x="3"/>
        <item x="19"/>
        <item x="1"/>
        <item x="10"/>
        <item x="25"/>
        <item x="17"/>
        <item x="7"/>
        <item x="2"/>
        <item x="9"/>
        <item x="22"/>
        <item x="24"/>
        <item x="11"/>
        <item x="16"/>
        <item x="0"/>
        <item x="20"/>
        <item x="6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Page" multipleItemSelectionAllowed="1" showAll="0">
      <items count="508">
        <item h="1" x="0"/>
        <item x="12"/>
        <item x="284"/>
        <item x="254"/>
        <item x="52"/>
        <item x="160"/>
        <item x="46"/>
        <item x="7"/>
        <item x="90"/>
        <item x="307"/>
        <item x="347"/>
        <item x="341"/>
        <item x="387"/>
        <item x="401"/>
        <item x="484"/>
        <item x="506"/>
        <item x="83"/>
        <item x="176"/>
        <item x="152"/>
        <item x="60"/>
        <item x="3"/>
        <item x="374"/>
        <item x="47"/>
        <item x="438"/>
        <item x="35"/>
        <item x="165"/>
        <item x="67"/>
        <item x="308"/>
        <item x="134"/>
        <item x="221"/>
        <item x="239"/>
        <item x="226"/>
        <item x="233"/>
        <item x="447"/>
        <item x="120"/>
        <item x="9"/>
        <item x="99"/>
        <item x="325"/>
        <item x="42"/>
        <item x="330"/>
        <item x="299"/>
        <item x="148"/>
        <item x="25"/>
        <item x="4"/>
        <item x="82"/>
        <item x="275"/>
        <item x="313"/>
        <item x="29"/>
        <item x="420"/>
        <item x="23"/>
        <item x="485"/>
        <item x="26"/>
        <item x="230"/>
        <item x="446"/>
        <item x="6"/>
        <item x="264"/>
        <item x="124"/>
        <item x="393"/>
        <item x="253"/>
        <item x="435"/>
        <item x="103"/>
        <item x="481"/>
        <item x="293"/>
        <item x="319"/>
        <item x="238"/>
        <item x="69"/>
        <item x="365"/>
        <item x="234"/>
        <item x="140"/>
        <item x="144"/>
        <item x="258"/>
        <item x="372"/>
        <item x="375"/>
        <item x="337"/>
        <item x="40"/>
        <item x="259"/>
        <item x="8"/>
        <item x="385"/>
        <item x="54"/>
        <item x="68"/>
        <item x="474"/>
        <item x="100"/>
        <item x="336"/>
        <item x="389"/>
        <item x="266"/>
        <item x="243"/>
        <item x="252"/>
        <item x="376"/>
        <item x="273"/>
        <item x="118"/>
        <item x="213"/>
        <item x="141"/>
        <item x="492"/>
        <item x="500"/>
        <item x="75"/>
        <item x="114"/>
        <item x="459"/>
        <item x="461"/>
        <item x="403"/>
        <item x="453"/>
        <item x="232"/>
        <item x="251"/>
        <item x="295"/>
        <item x="241"/>
        <item x="423"/>
        <item x="172"/>
        <item x="373"/>
        <item x="362"/>
        <item x="182"/>
        <item x="236"/>
        <item x="199"/>
        <item x="178"/>
        <item x="463"/>
        <item x="351"/>
        <item x="78"/>
        <item x="397"/>
        <item x="271"/>
        <item x="168"/>
        <item x="33"/>
        <item x="444"/>
        <item x="66"/>
        <item x="340"/>
        <item x="123"/>
        <item x="320"/>
        <item x="156"/>
        <item x="405"/>
        <item x="332"/>
        <item x="244"/>
        <item x="223"/>
        <item x="14"/>
        <item x="240"/>
        <item x="13"/>
        <item x="268"/>
        <item x="277"/>
        <item x="371"/>
        <item x="328"/>
        <item x="194"/>
        <item x="196"/>
        <item x="61"/>
        <item x="497"/>
        <item x="2"/>
        <item x="158"/>
        <item x="304"/>
        <item x="335"/>
        <item x="185"/>
        <item x="171"/>
        <item x="157"/>
        <item x="478"/>
        <item x="465"/>
        <item x="450"/>
        <item x="349"/>
        <item x="338"/>
        <item x="260"/>
        <item x="412"/>
        <item x="449"/>
        <item x="360"/>
        <item x="283"/>
        <item x="19"/>
        <item x="411"/>
        <item x="36"/>
        <item x="367"/>
        <item x="368"/>
        <item x="219"/>
        <item x="503"/>
        <item x="451"/>
        <item x="231"/>
        <item x="55"/>
        <item x="344"/>
        <item x="183"/>
        <item x="428"/>
        <item x="352"/>
        <item x="163"/>
        <item x="416"/>
        <item x="63"/>
        <item x="354"/>
        <item x="499"/>
        <item x="17"/>
        <item x="22"/>
        <item x="224"/>
        <item x="370"/>
        <item x="38"/>
        <item x="74"/>
        <item x="164"/>
        <item x="462"/>
        <item x="480"/>
        <item x="72"/>
        <item x="149"/>
        <item x="177"/>
        <item x="280"/>
        <item x="470"/>
        <item x="263"/>
        <item x="454"/>
        <item x="133"/>
        <item x="334"/>
        <item x="58"/>
        <item x="464"/>
        <item x="460"/>
        <item x="166"/>
        <item x="382"/>
        <item x="37"/>
        <item x="281"/>
        <item x="87"/>
        <item x="51"/>
        <item x="175"/>
        <item x="225"/>
        <item x="346"/>
        <item x="490"/>
        <item x="433"/>
        <item x="265"/>
        <item x="439"/>
        <item x="391"/>
        <item x="300"/>
        <item x="279"/>
        <item x="297"/>
        <item x="151"/>
        <item x="188"/>
        <item x="48"/>
        <item x="84"/>
        <item x="128"/>
        <item x="489"/>
        <item x="180"/>
        <item x="197"/>
        <item x="62"/>
        <item x="147"/>
        <item x="119"/>
        <item x="363"/>
        <item x="329"/>
        <item x="105"/>
        <item x="104"/>
        <item x="458"/>
        <item x="11"/>
        <item x="30"/>
        <item x="311"/>
        <item x="131"/>
        <item x="430"/>
        <item x="501"/>
        <item x="137"/>
        <item x="399"/>
        <item x="288"/>
        <item x="436"/>
        <item x="246"/>
        <item x="187"/>
        <item x="211"/>
        <item x="71"/>
        <item x="261"/>
        <item x="204"/>
        <item x="286"/>
        <item x="381"/>
        <item x="24"/>
        <item x="56"/>
        <item x="154"/>
        <item x="270"/>
        <item x="64"/>
        <item x="32"/>
        <item x="109"/>
        <item x="414"/>
        <item x="468"/>
        <item x="92"/>
        <item x="18"/>
        <item x="496"/>
        <item x="159"/>
        <item x="167"/>
        <item x="210"/>
        <item x="70"/>
        <item x="269"/>
        <item x="333"/>
        <item x="220"/>
        <item x="113"/>
        <item x="353"/>
        <item x="315"/>
        <item x="227"/>
        <item x="392"/>
        <item x="79"/>
        <item x="384"/>
        <item x="153"/>
        <item x="502"/>
        <item x="303"/>
        <item x="312"/>
        <item x="394"/>
        <item x="125"/>
        <item x="97"/>
        <item x="121"/>
        <item x="117"/>
        <item x="98"/>
        <item x="431"/>
        <item x="487"/>
        <item x="202"/>
        <item x="91"/>
        <item x="195"/>
        <item x="27"/>
        <item x="390"/>
        <item x="467"/>
        <item x="289"/>
        <item x="432"/>
        <item x="198"/>
        <item x="50"/>
        <item x="276"/>
        <item x="20"/>
        <item x="217"/>
        <item x="16"/>
        <item x="215"/>
        <item x="285"/>
        <item x="306"/>
        <item x="342"/>
        <item x="214"/>
        <item x="469"/>
        <item x="398"/>
        <item x="388"/>
        <item x="418"/>
        <item x="127"/>
        <item x="80"/>
        <item x="345"/>
        <item x="136"/>
        <item x="324"/>
        <item x="331"/>
        <item x="126"/>
        <item x="291"/>
        <item x="314"/>
        <item x="294"/>
        <item x="110"/>
        <item x="292"/>
        <item x="471"/>
        <item x="323"/>
        <item x="302"/>
        <item x="130"/>
        <item x="448"/>
        <item x="482"/>
        <item x="76"/>
        <item x="486"/>
        <item x="112"/>
        <item x="189"/>
        <item x="483"/>
        <item x="201"/>
        <item x="169"/>
        <item x="366"/>
        <item x="274"/>
        <item x="326"/>
        <item x="359"/>
        <item x="327"/>
        <item x="205"/>
        <item x="361"/>
        <item x="395"/>
        <item x="424"/>
        <item x="73"/>
        <item x="107"/>
        <item x="437"/>
        <item x="94"/>
        <item x="316"/>
        <item x="493"/>
        <item x="102"/>
        <item x="34"/>
        <item x="85"/>
        <item x="355"/>
        <item x="429"/>
        <item x="129"/>
        <item x="455"/>
        <item x="415"/>
        <item x="145"/>
        <item x="228"/>
        <item x="358"/>
        <item x="406"/>
        <item x="184"/>
        <item x="343"/>
        <item x="212"/>
        <item x="472"/>
        <item x="377"/>
        <item x="191"/>
        <item x="257"/>
        <item x="86"/>
        <item x="498"/>
        <item x="57"/>
        <item x="298"/>
        <item x="442"/>
        <item x="207"/>
        <item x="287"/>
        <item x="179"/>
        <item x="400"/>
        <item x="296"/>
        <item x="310"/>
        <item x="108"/>
        <item x="475"/>
        <item x="402"/>
        <item x="5"/>
        <item x="116"/>
        <item x="410"/>
        <item x="491"/>
        <item x="49"/>
        <item x="143"/>
        <item x="427"/>
        <item x="132"/>
        <item x="378"/>
        <item x="235"/>
        <item x="305"/>
        <item x="396"/>
        <item x="282"/>
        <item x="256"/>
        <item x="473"/>
        <item x="479"/>
        <item x="186"/>
        <item x="77"/>
        <item x="89"/>
        <item x="339"/>
        <item x="452"/>
        <item x="494"/>
        <item x="31"/>
        <item x="440"/>
        <item x="150"/>
        <item x="41"/>
        <item x="262"/>
        <item x="21"/>
        <item x="290"/>
        <item x="209"/>
        <item x="434"/>
        <item x="426"/>
        <item x="457"/>
        <item x="301"/>
        <item x="206"/>
        <item x="364"/>
        <item x="321"/>
        <item x="443"/>
        <item x="43"/>
        <item x="101"/>
        <item x="422"/>
        <item x="155"/>
        <item x="356"/>
        <item x="242"/>
        <item x="88"/>
        <item x="39"/>
        <item x="81"/>
        <item x="96"/>
        <item x="413"/>
        <item x="445"/>
        <item x="495"/>
        <item x="53"/>
        <item x="192"/>
        <item x="245"/>
        <item x="10"/>
        <item x="161"/>
        <item x="505"/>
        <item x="309"/>
        <item x="1"/>
        <item x="488"/>
        <item x="409"/>
        <item x="386"/>
        <item x="379"/>
        <item x="322"/>
        <item x="203"/>
        <item x="135"/>
        <item x="44"/>
        <item x="249"/>
        <item x="255"/>
        <item x="408"/>
        <item x="425"/>
        <item x="146"/>
        <item x="248"/>
        <item x="28"/>
        <item x="138"/>
        <item x="45"/>
        <item x="181"/>
        <item x="350"/>
        <item x="278"/>
        <item x="216"/>
        <item x="111"/>
        <item x="139"/>
        <item x="193"/>
        <item x="229"/>
        <item x="317"/>
        <item x="174"/>
        <item x="250"/>
        <item x="222"/>
        <item x="142"/>
        <item x="95"/>
        <item x="476"/>
        <item x="477"/>
        <item x="407"/>
        <item x="122"/>
        <item x="421"/>
        <item x="504"/>
        <item x="456"/>
        <item x="162"/>
        <item x="93"/>
        <item x="380"/>
        <item x="318"/>
        <item x="383"/>
        <item x="272"/>
        <item x="200"/>
        <item x="267"/>
        <item x="419"/>
        <item x="237"/>
        <item x="190"/>
        <item x="348"/>
        <item x="65"/>
        <item x="59"/>
        <item x="417"/>
        <item x="106"/>
        <item x="247"/>
        <item x="369"/>
        <item x="115"/>
        <item x="15"/>
        <item x="173"/>
        <item x="218"/>
        <item x="208"/>
        <item x="441"/>
        <item x="466"/>
        <item x="170"/>
        <item x="357"/>
        <item x="404"/>
        <item t="default"/>
      </items>
    </pivotField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12" hier="-1"/>
  </pageFields>
  <dataFields count="1">
    <dataField name="Nombre de ID_Cli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3C9B3-B550-4CF7-B641-5BF2437295F2}" name="Tableau croisé dynamique1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 rowPageCount="1" colPageCount="1"/>
  <pivotFields count="13">
    <pivotField showAll="0"/>
    <pivotField dataField="1" showAll="0"/>
    <pivotField numFmtId="1" showAll="0"/>
    <pivotField axis="axisRow" showAll="0">
      <items count="27">
        <item x="5"/>
        <item x="18"/>
        <item x="14"/>
        <item x="4"/>
        <item x="12"/>
        <item x="8"/>
        <item x="13"/>
        <item x="15"/>
        <item x="21"/>
        <item x="23"/>
        <item x="3"/>
        <item x="19"/>
        <item x="1"/>
        <item x="10"/>
        <item x="25"/>
        <item x="17"/>
        <item x="7"/>
        <item x="2"/>
        <item x="9"/>
        <item x="22"/>
        <item x="24"/>
        <item x="11"/>
        <item x="16"/>
        <item x="0"/>
        <item x="20"/>
        <item x="6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Page" multipleItemSelectionAllowed="1" showAll="0">
      <items count="508">
        <item x="0"/>
        <item h="1" x="12"/>
        <item h="1" x="284"/>
        <item h="1" x="254"/>
        <item h="1" x="52"/>
        <item h="1" x="160"/>
        <item h="1" x="46"/>
        <item h="1" x="7"/>
        <item h="1" x="90"/>
        <item h="1" x="307"/>
        <item h="1" x="347"/>
        <item h="1" x="341"/>
        <item h="1" x="387"/>
        <item h="1" x="401"/>
        <item h="1" x="484"/>
        <item h="1" x="506"/>
        <item h="1" x="83"/>
        <item h="1" x="176"/>
        <item h="1" x="152"/>
        <item h="1" x="60"/>
        <item h="1" x="3"/>
        <item h="1" x="374"/>
        <item h="1" x="47"/>
        <item h="1" x="438"/>
        <item h="1" x="35"/>
        <item h="1" x="165"/>
        <item h="1" x="67"/>
        <item h="1" x="308"/>
        <item h="1" x="134"/>
        <item h="1" x="221"/>
        <item h="1" x="239"/>
        <item h="1" x="226"/>
        <item h="1" x="233"/>
        <item h="1" x="447"/>
        <item h="1" x="120"/>
        <item h="1" x="9"/>
        <item h="1" x="99"/>
        <item h="1" x="325"/>
        <item h="1" x="42"/>
        <item h="1" x="330"/>
        <item h="1" x="299"/>
        <item h="1" x="148"/>
        <item h="1" x="25"/>
        <item h="1" x="4"/>
        <item h="1" x="82"/>
        <item h="1" x="275"/>
        <item h="1" x="313"/>
        <item h="1" x="29"/>
        <item h="1" x="420"/>
        <item h="1" x="23"/>
        <item h="1" x="485"/>
        <item h="1" x="26"/>
        <item h="1" x="230"/>
        <item h="1" x="446"/>
        <item h="1" x="6"/>
        <item h="1" x="264"/>
        <item h="1" x="124"/>
        <item h="1" x="393"/>
        <item h="1" x="253"/>
        <item h="1" x="435"/>
        <item h="1" x="103"/>
        <item h="1" x="481"/>
        <item h="1" x="293"/>
        <item h="1" x="319"/>
        <item h="1" x="238"/>
        <item h="1" x="69"/>
        <item h="1" x="365"/>
        <item h="1" x="234"/>
        <item h="1" x="140"/>
        <item h="1" x="144"/>
        <item h="1" x="258"/>
        <item h="1" x="372"/>
        <item h="1" x="375"/>
        <item h="1" x="337"/>
        <item h="1" x="40"/>
        <item h="1" x="259"/>
        <item h="1" x="8"/>
        <item h="1" x="385"/>
        <item h="1" x="54"/>
        <item h="1" x="68"/>
        <item h="1" x="474"/>
        <item h="1" x="100"/>
        <item h="1" x="336"/>
        <item h="1" x="389"/>
        <item h="1" x="266"/>
        <item h="1" x="243"/>
        <item h="1" x="252"/>
        <item h="1" x="376"/>
        <item h="1" x="273"/>
        <item h="1" x="118"/>
        <item h="1" x="213"/>
        <item h="1" x="141"/>
        <item h="1" x="492"/>
        <item h="1" x="500"/>
        <item h="1" x="75"/>
        <item h="1" x="114"/>
        <item h="1" x="459"/>
        <item h="1" x="461"/>
        <item h="1" x="403"/>
        <item h="1" x="453"/>
        <item h="1" x="232"/>
        <item h="1" x="251"/>
        <item h="1" x="295"/>
        <item h="1" x="241"/>
        <item h="1" x="423"/>
        <item h="1" x="172"/>
        <item h="1" x="373"/>
        <item h="1" x="362"/>
        <item h="1" x="182"/>
        <item h="1" x="236"/>
        <item h="1" x="199"/>
        <item h="1" x="178"/>
        <item h="1" x="463"/>
        <item h="1" x="351"/>
        <item h="1" x="78"/>
        <item h="1" x="397"/>
        <item h="1" x="271"/>
        <item h="1" x="168"/>
        <item h="1" x="33"/>
        <item h="1" x="444"/>
        <item h="1" x="66"/>
        <item h="1" x="340"/>
        <item h="1" x="123"/>
        <item h="1" x="320"/>
        <item h="1" x="156"/>
        <item h="1" x="405"/>
        <item h="1" x="332"/>
        <item h="1" x="244"/>
        <item h="1" x="223"/>
        <item h="1" x="14"/>
        <item h="1" x="240"/>
        <item h="1" x="13"/>
        <item h="1" x="268"/>
        <item h="1" x="277"/>
        <item h="1" x="371"/>
        <item h="1" x="328"/>
        <item h="1" x="194"/>
        <item h="1" x="196"/>
        <item h="1" x="61"/>
        <item h="1" x="497"/>
        <item h="1" x="2"/>
        <item h="1" x="158"/>
        <item h="1" x="304"/>
        <item h="1" x="335"/>
        <item h="1" x="185"/>
        <item h="1" x="171"/>
        <item h="1" x="157"/>
        <item h="1" x="478"/>
        <item h="1" x="465"/>
        <item h="1" x="450"/>
        <item h="1" x="349"/>
        <item h="1" x="338"/>
        <item h="1" x="260"/>
        <item h="1" x="412"/>
        <item h="1" x="449"/>
        <item h="1" x="360"/>
        <item h="1" x="283"/>
        <item h="1" x="19"/>
        <item h="1" x="411"/>
        <item h="1" x="36"/>
        <item h="1" x="367"/>
        <item h="1" x="368"/>
        <item h="1" x="219"/>
        <item h="1" x="503"/>
        <item h="1" x="451"/>
        <item h="1" x="231"/>
        <item h="1" x="55"/>
        <item h="1" x="344"/>
        <item h="1" x="183"/>
        <item h="1" x="428"/>
        <item h="1" x="352"/>
        <item h="1" x="163"/>
        <item h="1" x="416"/>
        <item h="1" x="63"/>
        <item h="1" x="354"/>
        <item h="1" x="499"/>
        <item h="1" x="17"/>
        <item h="1" x="22"/>
        <item h="1" x="224"/>
        <item h="1" x="370"/>
        <item h="1" x="38"/>
        <item h="1" x="74"/>
        <item h="1" x="164"/>
        <item h="1" x="462"/>
        <item h="1" x="480"/>
        <item h="1" x="72"/>
        <item h="1" x="149"/>
        <item h="1" x="177"/>
        <item h="1" x="280"/>
        <item h="1" x="470"/>
        <item h="1" x="263"/>
        <item h="1" x="454"/>
        <item h="1" x="133"/>
        <item h="1" x="334"/>
        <item h="1" x="58"/>
        <item h="1" x="464"/>
        <item h="1" x="460"/>
        <item h="1" x="166"/>
        <item h="1" x="382"/>
        <item h="1" x="37"/>
        <item h="1" x="281"/>
        <item h="1" x="87"/>
        <item h="1" x="51"/>
        <item h="1" x="175"/>
        <item h="1" x="225"/>
        <item h="1" x="346"/>
        <item h="1" x="490"/>
        <item h="1" x="433"/>
        <item h="1" x="265"/>
        <item h="1" x="439"/>
        <item h="1" x="391"/>
        <item h="1" x="300"/>
        <item h="1" x="279"/>
        <item h="1" x="297"/>
        <item h="1" x="151"/>
        <item h="1" x="188"/>
        <item h="1" x="48"/>
        <item h="1" x="84"/>
        <item h="1" x="128"/>
        <item h="1" x="489"/>
        <item h="1" x="180"/>
        <item h="1" x="197"/>
        <item h="1" x="62"/>
        <item h="1" x="147"/>
        <item h="1" x="119"/>
        <item h="1" x="363"/>
        <item h="1" x="329"/>
        <item h="1" x="105"/>
        <item h="1" x="104"/>
        <item h="1" x="458"/>
        <item h="1" x="11"/>
        <item h="1" x="30"/>
        <item h="1" x="311"/>
        <item h="1" x="131"/>
        <item h="1" x="430"/>
        <item h="1" x="501"/>
        <item h="1" x="137"/>
        <item h="1" x="399"/>
        <item h="1" x="288"/>
        <item h="1" x="436"/>
        <item h="1" x="246"/>
        <item h="1" x="187"/>
        <item h="1" x="211"/>
        <item h="1" x="71"/>
        <item h="1" x="261"/>
        <item h="1" x="204"/>
        <item h="1" x="286"/>
        <item h="1" x="381"/>
        <item h="1" x="24"/>
        <item h="1" x="56"/>
        <item h="1" x="154"/>
        <item h="1" x="270"/>
        <item h="1" x="64"/>
        <item h="1" x="32"/>
        <item h="1" x="109"/>
        <item h="1" x="414"/>
        <item h="1" x="468"/>
        <item h="1" x="92"/>
        <item h="1" x="18"/>
        <item h="1" x="496"/>
        <item h="1" x="159"/>
        <item h="1" x="167"/>
        <item h="1" x="210"/>
        <item h="1" x="70"/>
        <item h="1" x="269"/>
        <item h="1" x="333"/>
        <item h="1" x="220"/>
        <item h="1" x="113"/>
        <item h="1" x="353"/>
        <item h="1" x="315"/>
        <item h="1" x="227"/>
        <item h="1" x="392"/>
        <item h="1" x="79"/>
        <item h="1" x="384"/>
        <item h="1" x="153"/>
        <item h="1" x="502"/>
        <item h="1" x="303"/>
        <item h="1" x="312"/>
        <item h="1" x="394"/>
        <item h="1" x="125"/>
        <item h="1" x="97"/>
        <item h="1" x="121"/>
        <item h="1" x="117"/>
        <item h="1" x="98"/>
        <item h="1" x="431"/>
        <item h="1" x="487"/>
        <item h="1" x="202"/>
        <item h="1" x="91"/>
        <item h="1" x="195"/>
        <item h="1" x="27"/>
        <item h="1" x="390"/>
        <item h="1" x="467"/>
        <item h="1" x="289"/>
        <item h="1" x="432"/>
        <item h="1" x="198"/>
        <item h="1" x="50"/>
        <item h="1" x="276"/>
        <item h="1" x="20"/>
        <item h="1" x="217"/>
        <item h="1" x="16"/>
        <item h="1" x="215"/>
        <item h="1" x="285"/>
        <item h="1" x="306"/>
        <item h="1" x="342"/>
        <item h="1" x="214"/>
        <item h="1" x="469"/>
        <item h="1" x="398"/>
        <item h="1" x="388"/>
        <item h="1" x="418"/>
        <item h="1" x="127"/>
        <item h="1" x="80"/>
        <item h="1" x="345"/>
        <item h="1" x="136"/>
        <item h="1" x="324"/>
        <item h="1" x="331"/>
        <item h="1" x="126"/>
        <item h="1" x="291"/>
        <item h="1" x="314"/>
        <item h="1" x="294"/>
        <item h="1" x="110"/>
        <item h="1" x="292"/>
        <item h="1" x="471"/>
        <item h="1" x="323"/>
        <item h="1" x="302"/>
        <item h="1" x="130"/>
        <item h="1" x="448"/>
        <item h="1" x="482"/>
        <item h="1" x="76"/>
        <item h="1" x="486"/>
        <item h="1" x="112"/>
        <item h="1" x="189"/>
        <item h="1" x="483"/>
        <item h="1" x="201"/>
        <item h="1" x="169"/>
        <item h="1" x="366"/>
        <item h="1" x="274"/>
        <item h="1" x="326"/>
        <item h="1" x="359"/>
        <item h="1" x="327"/>
        <item h="1" x="205"/>
        <item h="1" x="361"/>
        <item h="1" x="395"/>
        <item h="1" x="424"/>
        <item h="1" x="73"/>
        <item h="1" x="107"/>
        <item h="1" x="437"/>
        <item h="1" x="94"/>
        <item h="1" x="316"/>
        <item h="1" x="493"/>
        <item h="1" x="102"/>
        <item h="1" x="34"/>
        <item h="1" x="85"/>
        <item h="1" x="355"/>
        <item h="1" x="429"/>
        <item h="1" x="129"/>
        <item h="1" x="455"/>
        <item h="1" x="415"/>
        <item h="1" x="145"/>
        <item h="1" x="228"/>
        <item h="1" x="358"/>
        <item h="1" x="406"/>
        <item h="1" x="184"/>
        <item h="1" x="343"/>
        <item h="1" x="212"/>
        <item h="1" x="472"/>
        <item h="1" x="377"/>
        <item h="1" x="191"/>
        <item h="1" x="257"/>
        <item h="1" x="86"/>
        <item h="1" x="498"/>
        <item h="1" x="57"/>
        <item h="1" x="298"/>
        <item h="1" x="442"/>
        <item h="1" x="207"/>
        <item h="1" x="287"/>
        <item h="1" x="179"/>
        <item h="1" x="400"/>
        <item h="1" x="296"/>
        <item h="1" x="310"/>
        <item h="1" x="108"/>
        <item h="1" x="475"/>
        <item h="1" x="402"/>
        <item h="1" x="5"/>
        <item h="1" x="116"/>
        <item h="1" x="410"/>
        <item h="1" x="491"/>
        <item h="1" x="49"/>
        <item h="1" x="143"/>
        <item h="1" x="427"/>
        <item h="1" x="132"/>
        <item h="1" x="378"/>
        <item h="1" x="235"/>
        <item h="1" x="305"/>
        <item h="1" x="396"/>
        <item h="1" x="282"/>
        <item h="1" x="256"/>
        <item h="1" x="473"/>
        <item h="1" x="479"/>
        <item h="1" x="186"/>
        <item h="1" x="77"/>
        <item h="1" x="89"/>
        <item h="1" x="339"/>
        <item h="1" x="452"/>
        <item h="1" x="494"/>
        <item h="1" x="31"/>
        <item h="1" x="440"/>
        <item h="1" x="150"/>
        <item h="1" x="41"/>
        <item h="1" x="262"/>
        <item h="1" x="21"/>
        <item h="1" x="290"/>
        <item h="1" x="209"/>
        <item h="1" x="434"/>
        <item h="1" x="426"/>
        <item h="1" x="457"/>
        <item h="1" x="301"/>
        <item h="1" x="206"/>
        <item h="1" x="364"/>
        <item h="1" x="321"/>
        <item h="1" x="443"/>
        <item h="1" x="43"/>
        <item h="1" x="101"/>
        <item h="1" x="422"/>
        <item h="1" x="155"/>
        <item h="1" x="356"/>
        <item h="1" x="242"/>
        <item h="1" x="88"/>
        <item h="1" x="39"/>
        <item h="1" x="81"/>
        <item h="1" x="96"/>
        <item h="1" x="413"/>
        <item h="1" x="445"/>
        <item h="1" x="495"/>
        <item h="1" x="53"/>
        <item h="1" x="192"/>
        <item h="1" x="245"/>
        <item h="1" x="10"/>
        <item h="1" x="161"/>
        <item h="1" x="505"/>
        <item h="1" x="309"/>
        <item h="1" x="1"/>
        <item h="1" x="488"/>
        <item h="1" x="409"/>
        <item h="1" x="386"/>
        <item h="1" x="379"/>
        <item h="1" x="322"/>
        <item h="1" x="203"/>
        <item h="1" x="135"/>
        <item h="1" x="44"/>
        <item h="1" x="249"/>
        <item h="1" x="255"/>
        <item h="1" x="408"/>
        <item h="1" x="425"/>
        <item h="1" x="146"/>
        <item h="1" x="248"/>
        <item h="1" x="28"/>
        <item h="1" x="138"/>
        <item h="1" x="45"/>
        <item h="1" x="181"/>
        <item h="1" x="350"/>
        <item h="1" x="278"/>
        <item h="1" x="216"/>
        <item h="1" x="111"/>
        <item h="1" x="139"/>
        <item h="1" x="193"/>
        <item h="1" x="229"/>
        <item h="1" x="317"/>
        <item h="1" x="174"/>
        <item h="1" x="250"/>
        <item h="1" x="222"/>
        <item h="1" x="142"/>
        <item h="1" x="95"/>
        <item h="1" x="476"/>
        <item h="1" x="477"/>
        <item h="1" x="407"/>
        <item h="1" x="122"/>
        <item h="1" x="421"/>
        <item h="1" x="504"/>
        <item h="1" x="456"/>
        <item h="1" x="162"/>
        <item h="1" x="93"/>
        <item h="1" x="380"/>
        <item h="1" x="318"/>
        <item h="1" x="383"/>
        <item h="1" x="272"/>
        <item h="1" x="200"/>
        <item h="1" x="267"/>
        <item h="1" x="419"/>
        <item h="1" x="237"/>
        <item h="1" x="190"/>
        <item h="1" x="348"/>
        <item h="1" x="65"/>
        <item h="1" x="59"/>
        <item h="1" x="417"/>
        <item h="1" x="106"/>
        <item h="1" x="247"/>
        <item h="1" x="369"/>
        <item h="1" x="115"/>
        <item h="1" x="15"/>
        <item h="1" x="173"/>
        <item h="1" x="218"/>
        <item h="1" x="208"/>
        <item h="1" x="441"/>
        <item h="1" x="466"/>
        <item h="1" x="170"/>
        <item h="1" x="357"/>
        <item h="1" x="404"/>
        <item t="default"/>
      </items>
    </pivotField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12" hier="-1"/>
  </pageFields>
  <dataFields count="1">
    <dataField name="Nombre de ID_Cli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C19E5-8254-4A0D-ACA1-547944EAC221}" name="Tableau croisé dynamique1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/>
  <pivotFields count="13">
    <pivotField showAll="0"/>
    <pivotField showAll="0"/>
    <pivotField numFmtId="1" showAll="0"/>
    <pivotField axis="axisRow" showAll="0">
      <items count="27">
        <item x="5"/>
        <item x="18"/>
        <item x="14"/>
        <item x="4"/>
        <item x="12"/>
        <item x="8"/>
        <item x="13"/>
        <item x="15"/>
        <item x="21"/>
        <item x="23"/>
        <item x="3"/>
        <item x="19"/>
        <item x="1"/>
        <item x="10"/>
        <item x="25"/>
        <item x="17"/>
        <item x="7"/>
        <item x="2"/>
        <item x="9"/>
        <item x="22"/>
        <item x="24"/>
        <item x="11"/>
        <item x="16"/>
        <item x="0"/>
        <item x="20"/>
        <item x="6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omme de Montant remis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8DC47F3E-21B2-45A1-B968-F0645C2AF364}" autoFormatId="16" applyNumberFormats="0" applyBorderFormats="0" applyFontFormats="0" applyPatternFormats="0" applyAlignmentFormats="0" applyWidthHeightFormats="0">
  <queryTableRefresh nextId="19" unboundColumnsRight="2">
    <queryTableFields count="13">
      <queryTableField id="14" name="Source.Name" tableColumnId="1"/>
      <queryTableField id="2" name="ID_Client" tableColumnId="2"/>
      <queryTableField id="10" dataBound="0" tableColumnId="10"/>
      <queryTableField id="3" name="Province_Client" tableColumnId="3"/>
      <queryTableField id="4" name="Anciennete_Mois" tableColumnId="4"/>
      <queryTableField id="11" dataBound="0" tableColumnId="11"/>
      <queryTableField id="13" dataBound="0" tableColumnId="13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  <queryTableField id="9" dataBound="0" tableColumnId="9"/>
      <queryTableField id="12" dataBound="0" tableColumnId="12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A68FFDD2-41A3-4365-933C-A1C654DFBDE7}" autoFormatId="16" applyNumberFormats="0" applyBorderFormats="0" applyFontFormats="0" applyPatternFormats="0" applyAlignmentFormats="0" applyWidthHeightFormats="0">
  <queryTableRefresh nextId="6">
    <queryTableFields count="5">
      <queryTableField id="1" name="Source.Name" tableColumnId="1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860BDAE-08FE-409E-AB66-C6090B2384C4}" autoFormatId="16" applyNumberFormats="0" applyBorderFormats="0" applyFontFormats="0" applyPatternFormats="0" applyAlignmentFormats="0" applyWidthHeightFormats="0">
  <queryTableRefresh nextId="12">
    <queryTableFields count="7">
      <queryTableField id="1" name="Source.Name" tableColumnId="1"/>
      <queryTableField id="2" name="ID_Antenne" tableColumnId="2"/>
      <queryTableField id="3" name="Province_RDC" tableColumnId="3"/>
      <queryTableField id="8" name="Latitude" tableColumnId="4"/>
      <queryTableField id="9" name="Longitude" tableColumnId="5"/>
      <queryTableField id="6" name="Technologie" tableColumnId="6"/>
      <queryTableField id="7" name="Equipementier" tableColumnId="7"/>
    </queryTableFields>
    <queryTableDeletedFields count="2">
      <deletedField name="Latitude"/>
      <deletedField name="Longitud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4CF403CA-A5EC-46D1-ABA2-5B2C6EA02E2B}" autoFormatId="16" applyNumberFormats="0" applyBorderFormats="0" applyFontFormats="0" applyPatternFormats="0" applyAlignmentFormats="0" applyWidthHeightFormats="0">
  <queryTableRefresh nextId="24" unboundColumnsRight="3">
    <queryTableFields count="8">
      <queryTableField id="2" name="Date_Heure_Panne" tableColumnId="2"/>
      <queryTableField id="15" dataBound="0" tableColumnId="14"/>
      <queryTableField id="3" name="Cell_ID" tableColumnId="3"/>
      <queryTableField id="4" name="Duree_Panne_Min" tableColumnId="4"/>
      <queryTableField id="5" name="Statut_Resolution" tableColumnId="5"/>
      <queryTableField id="8" dataBound="0" tableColumnId="8"/>
      <queryTableField id="7" dataBound="0" tableColumnId="7"/>
      <queryTableField id="6" dataBound="0" tableColumnId="6"/>
    </queryTableFields>
    <queryTableDeletedFields count="2">
      <deletedField name="Source.Name"/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7FF4E-9680-4BEB-AC94-020FA2D012C6}" name="Clients_Churn_Master" displayName="Clients_Churn_Master" ref="A1:M749" tableType="queryTable" totalsRowShown="0">
  <autoFilter ref="A1:M749" xr:uid="{0287FF4E-9680-4BEB-AC94-020FA2D012C6}"/>
  <sortState xmlns:xlrd2="http://schemas.microsoft.com/office/spreadsheetml/2017/richdata2" ref="A2:M749">
    <sortCondition ref="B1:B749"/>
  </sortState>
  <tableColumns count="13">
    <tableColumn id="1" xr3:uid="{C6A94867-A7F2-4FC8-9BDB-78613CB2481C}" uniqueName="1" name="Source.Name" queryTableFieldId="14" dataDxfId="8"/>
    <tableColumn id="2" xr3:uid="{064E64F8-2CC2-43F4-BDFB-89C4CFE35869}" uniqueName="2" name="ID_Client" queryTableFieldId="2" dataDxfId="31"/>
    <tableColumn id="10" xr3:uid="{331F66CC-237A-437A-A267-057F0AF81E78}" uniqueName="10" name="Anciennte_Anne" queryTableFieldId="10" dataDxfId="30">
      <calculatedColumnFormula>Clients_Churn_Master[[#This Row],[Anciennete_Mois]]/12</calculatedColumnFormula>
    </tableColumn>
    <tableColumn id="3" xr3:uid="{41C9A795-2B7D-4C41-8199-6F125061A091}" uniqueName="3" name="Province_Client" queryTableFieldId="3" dataDxfId="29"/>
    <tableColumn id="4" xr3:uid="{E9C97305-5FE6-41D9-9E6A-0F3D15E2A16F}" uniqueName="4" name="Anciennete_Mois" queryTableFieldId="4"/>
    <tableColumn id="11" xr3:uid="{A975327C-55DD-4517-906C-DD7D68405647}" uniqueName="11" name="Type_Client" queryTableFieldId="11" dataDxfId="28">
      <calculatedColumnFormula>IF(Clients_Churn_Master[[#This Row],[Type_Forfait]]="Pro Monde","B2B","B2C")</calculatedColumnFormula>
    </tableColumn>
    <tableColumn id="13" xr3:uid="{1E2C89DC-19B4-4258-A2A3-234BB0EB4559}" uniqueName="13" name="Duree_Cumulee_Panne_Heure" queryTableFieldId="13" dataDxfId="27">
      <calculatedColumnFormula>Clients_Churn_Master[[#This Row],[Duree_Cumulee_Panne_Min]]/1440</calculatedColumnFormula>
    </tableColumn>
    <tableColumn id="5" xr3:uid="{0ED42949-6760-419B-BE36-42BADDF373B9}" uniqueName="5" name="Type_Forfait" queryTableFieldId="5" dataDxfId="26"/>
    <tableColumn id="6" xr3:uid="{6D93E94C-B2BA-4254-B7B6-A45AD5788909}" uniqueName="6" name="Duree_Cumulee_Panne_Min" queryTableFieldId="6"/>
    <tableColumn id="7" xr3:uid="{3F687212-0F92-4867-9914-BDC7314BEBD2}" uniqueName="7" name="Facture_Mensuelle" queryTableFieldId="7" dataDxfId="25"/>
    <tableColumn id="8" xr3:uid="{8C5BF4D1-8025-408A-BA81-88C0EB3B85F8}" uniqueName="8" name="Plaintes_Service_Client" queryTableFieldId="8"/>
    <tableColumn id="9" xr3:uid="{96CBE856-BC48-4AC0-BE08-E79EAD04D84C}" uniqueName="9" name="Remise" queryTableFieldId="9" dataCellStyle="Pourcentage">
      <calculatedColumnFormula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calculatedColumnFormula>
    </tableColumn>
    <tableColumn id="12" xr3:uid="{FA8BD27F-6A04-4C3C-99D4-128BF7A661AB}" uniqueName="12" name="Montant remise" queryTableFieldId="12" dataDxfId="24">
      <calculatedColumnFormula>Clients_Churn_Master[[#This Row],[Remise]]*Clients_Churn_Master[[#This Row],[Facture_Mensuelle]]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2E49F4-AA1A-442A-87EA-A9B62333A89F}" name="Logs_Reseau_Master" displayName="Logs_Reseau_Master" ref="A1:E1069" tableType="queryTable" totalsRowShown="0">
  <autoFilter ref="A1:E1069" xr:uid="{4A2E49F4-AA1A-442A-87EA-A9B62333A89F}"/>
  <tableColumns count="5">
    <tableColumn id="1" xr3:uid="{12256650-C6CA-4D3F-B913-CFAA07B69C0F}" uniqueName="1" name="Source.Name" queryTableFieldId="1" dataDxfId="23"/>
    <tableColumn id="2" xr3:uid="{733FE754-806F-42DB-A243-A0955FEE07E4}" uniqueName="2" name="Date_Heure_Panne" queryTableFieldId="2" dataDxfId="22"/>
    <tableColumn id="3" xr3:uid="{A57B5833-FE59-4714-8479-9FC66C81D57E}" uniqueName="3" name="Cell_ID" queryTableFieldId="3" dataDxfId="21"/>
    <tableColumn id="4" xr3:uid="{9159E5DC-497D-42FB-B367-EC9EEC069A88}" uniqueName="4" name="Duree_Panne_Min" queryTableFieldId="4"/>
    <tableColumn id="5" xr3:uid="{982CCCC5-6AA0-4329-8A81-507A998DCA0C}" uniqueName="5" name="Statut_Resolution" queryTableFieldId="5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37DF5-A455-496C-B8B4-C975849273E2}" name="_29_03_2026_Registre_Maintenance_V2" displayName="_29_03_2026_Registre_Maintenance_V2" ref="A1:G499" tableType="queryTable" totalsRowShown="0">
  <autoFilter ref="A1:G499" xr:uid="{4C437DF5-A455-496C-B8B4-C975849273E2}"/>
  <tableColumns count="7">
    <tableColumn id="1" xr3:uid="{53E81802-F493-4782-A346-36176A3A2920}" uniqueName="1" name="Source.Name" queryTableFieldId="1" dataDxfId="13"/>
    <tableColumn id="2" xr3:uid="{D5C698D8-7B5F-4BD9-AE4D-687BC06A3C34}" uniqueName="2" name="ID_Antenne" queryTableFieldId="2" dataDxfId="12"/>
    <tableColumn id="3" xr3:uid="{B3FACE9B-0957-470C-A6E4-1871307E5F13}" uniqueName="3" name="Province_RDC" queryTableFieldId="3" dataDxfId="11"/>
    <tableColumn id="4" xr3:uid="{F8BD666F-7F11-4993-B21C-63221289F0AA}" uniqueName="4" name="Latitude" queryTableFieldId="8"/>
    <tableColumn id="5" xr3:uid="{0E00250E-AB16-40FD-8842-A06B797E4B1B}" uniqueName="5" name="Longitude" queryTableFieldId="9"/>
    <tableColumn id="6" xr3:uid="{5911BBE0-01E3-450D-9019-5B3D63A5261E}" uniqueName="6" name="Technologie" queryTableFieldId="6" dataDxfId="10"/>
    <tableColumn id="7" xr3:uid="{43A68E37-6326-4B71-877C-D4B0B9E46CB0}" uniqueName="7" name="Equipementier" queryTableFieldId="7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27EA27-64A0-4D7E-AAFE-EEBAEEADAA56}" name="Log_Reseau_Master" displayName="Log_Reseau_Master" ref="A1:H1069" tableType="queryTable" totalsRowShown="0">
  <autoFilter ref="A1:H1069" xr:uid="{6E27EA27-64A0-4D7E-AAFE-EEBAEEADAA56}">
    <filterColumn colId="5">
      <filters>
        <filter val="Bas-Uele"/>
        <filter val="Equateur"/>
        <filter val="Haut-Katanga"/>
        <filter val="Haut-Lomami"/>
        <filter val="Haut-Uele"/>
        <filter val="Ituri"/>
        <filter val="Kasai"/>
        <filter val="Kasai-Central"/>
        <filter val="Kasai-Oriental"/>
        <filter val="Kinshasa"/>
        <filter val="Kongo-Central"/>
        <filter val="Kwango"/>
        <filter val="Kwilu"/>
        <filter val="Lomami"/>
        <filter val="Lualaba"/>
        <filter val="Mai-Ndombe"/>
        <filter val="Maniema"/>
        <filter val="Mongala"/>
        <filter val="Nord-Kivu"/>
        <filter val="Nord-Ubangi"/>
        <filter val="Sankuru"/>
        <filter val="Sud-Kivu"/>
        <filter val="Sud-Ubangi"/>
        <filter val="Tanganyika"/>
        <filter val="Tshopo"/>
        <filter val="Tshuapa"/>
      </filters>
    </filterColumn>
  </autoFilter>
  <tableColumns count="8">
    <tableColumn id="2" xr3:uid="{16EFEE00-7191-4318-8FEB-5A3AED15593C}" uniqueName="2" name="Date_Heure_Panne" queryTableFieldId="2" dataDxfId="38"/>
    <tableColumn id="14" xr3:uid="{38FC2D1E-F45D-4B80-A1FC-F5038279E92D}" uniqueName="14" name="Duree_Panne_Heure" queryTableFieldId="15" dataDxfId="37">
      <calculatedColumnFormula>Log_Reseau_Master[[#This Row],[Duree_Panne_Min]]/1440</calculatedColumnFormula>
    </tableColumn>
    <tableColumn id="3" xr3:uid="{69CFB0B9-217C-48CB-8F61-16B16CBC0D50}" uniqueName="3" name="Cell_ID" queryTableFieldId="3" dataDxfId="36"/>
    <tableColumn id="4" xr3:uid="{858DBF76-E5EF-42BF-85F1-BAF3CE21BFF1}" uniqueName="4" name="Duree_Panne_Min" queryTableFieldId="4"/>
    <tableColumn id="5" xr3:uid="{DD84E43C-7AF2-4CF3-8D0E-E34FC71D3897}" uniqueName="5" name="Statut_Resolution" queryTableFieldId="5" dataDxfId="35"/>
    <tableColumn id="8" xr3:uid="{4B9A0FAC-1FEF-4778-8ACF-6380E3F02C70}" uniqueName="8" name="Province_RDC" queryTableFieldId="8" dataDxfId="34">
      <calculatedColumnFormula>_xlfn.XLOOKUP(Log_Reseau_Master[[#This Row],[Cell_ID]],_29_03_2026_Registre_Maintenance_V2[ID_Antenne],_29_03_2026_Registre_Maintenance_V2[Province_RDC],"Pas de correspondance")</calculatedColumnFormula>
    </tableColumn>
    <tableColumn id="7" xr3:uid="{6987DDCF-6F6A-4CF2-8839-600B088B4D7D}" uniqueName="7" name="Technologie" queryTableFieldId="7" dataDxfId="33">
      <calculatedColumnFormula>_xlfn.XLOOKUP(Log_Reseau_Master[[#This Row],[Cell_ID]],_29_03_2026_Registre_Maintenance_V2[ID_Antenne],_29_03_2026_Registre_Maintenance_V2[Technologie],"Pas de correspondance")</calculatedColumnFormula>
    </tableColumn>
    <tableColumn id="6" xr3:uid="{F6127246-63B3-4C60-81BA-1173FBD3EB2C}" uniqueName="6" name="Equipementier" queryTableFieldId="6" dataDxfId="32">
      <calculatedColumnFormula>_xlfn.XLOOKUP(Log_Reseau_Master[[#This Row],[Cell_ID]],_29_03_2026_Registre_Maintenance_V2[ID_Antenne],_29_03_2026_Registre_Maintenance_V2[Equipementier],"Pas de correspondance")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5BCB-9F12-498E-947C-E3070191DE25}">
  <sheetPr>
    <tabColor rgb="FFFFC000"/>
  </sheetPr>
  <dimension ref="A1:M749"/>
  <sheetViews>
    <sheetView tabSelected="1" topLeftCell="G1" workbookViewId="0">
      <selection activeCell="C730" sqref="C730"/>
    </sheetView>
  </sheetViews>
  <sheetFormatPr baseColWidth="10" defaultRowHeight="15" x14ac:dyDescent="0.25"/>
  <cols>
    <col min="1" max="1" width="24.5703125" bestFit="1" customWidth="1"/>
    <col min="2" max="2" width="11.7109375" bestFit="1" customWidth="1"/>
    <col min="3" max="3" width="17.85546875" style="7" bestFit="1" customWidth="1"/>
    <col min="4" max="4" width="17.5703125" bestFit="1" customWidth="1"/>
    <col min="5" max="5" width="18.85546875" bestFit="1" customWidth="1"/>
    <col min="6" max="6" width="14" bestFit="1" customWidth="1"/>
    <col min="7" max="7" width="31.28515625" style="4" bestFit="1" customWidth="1"/>
    <col min="8" max="8" width="17.7109375" bestFit="1" customWidth="1"/>
    <col min="9" max="9" width="29" bestFit="1" customWidth="1"/>
    <col min="10" max="10" width="20.42578125" style="10" bestFit="1" customWidth="1"/>
    <col min="11" max="11" width="24.85546875" customWidth="1"/>
    <col min="12" max="12" width="10.140625" style="11" bestFit="1" customWidth="1"/>
    <col min="13" max="13" width="17.42578125" style="9" bestFit="1" customWidth="1"/>
  </cols>
  <sheetData>
    <row r="1" spans="1:13" x14ac:dyDescent="0.25">
      <c r="A1" t="s">
        <v>0</v>
      </c>
      <c r="B1" t="s">
        <v>548</v>
      </c>
      <c r="C1" s="7" t="s">
        <v>1681</v>
      </c>
      <c r="D1" t="s">
        <v>549</v>
      </c>
      <c r="E1" t="s">
        <v>550</v>
      </c>
      <c r="F1" t="s">
        <v>1682</v>
      </c>
      <c r="G1" s="4" t="s">
        <v>1684</v>
      </c>
      <c r="H1" t="s">
        <v>551</v>
      </c>
      <c r="I1" t="s">
        <v>552</v>
      </c>
      <c r="J1" s="10" t="s">
        <v>553</v>
      </c>
      <c r="K1" t="s">
        <v>554</v>
      </c>
      <c r="L1" s="11" t="s">
        <v>1680</v>
      </c>
      <c r="M1" s="9" t="s">
        <v>1683</v>
      </c>
    </row>
    <row r="2" spans="1:13" x14ac:dyDescent="0.25">
      <c r="A2" t="s">
        <v>1688</v>
      </c>
      <c r="B2" t="s">
        <v>555</v>
      </c>
      <c r="C2" s="7">
        <f>Clients_Churn_Master[[#This Row],[Anciennete_Mois]]/12</f>
        <v>9.1666666666666661</v>
      </c>
      <c r="D2" t="s">
        <v>17</v>
      </c>
      <c r="E2">
        <v>110</v>
      </c>
      <c r="F2" t="str">
        <f>IF(Clients_Churn_Master[[#This Row],[Type_Forfait]]="Pro Monde","B2B","B2C")</f>
        <v>B2C</v>
      </c>
      <c r="G2" s="4">
        <f>Clients_Churn_Master[[#This Row],[Duree_Cumulee_Panne_Min]]/1440</f>
        <v>7.7777777777777779E-2</v>
      </c>
      <c r="H2" t="s">
        <v>556</v>
      </c>
      <c r="I2">
        <v>112</v>
      </c>
      <c r="J2" s="10">
        <v>98.95</v>
      </c>
      <c r="K2">
        <v>5</v>
      </c>
      <c r="L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" s="9">
        <f>Clients_Churn_Master[[#This Row],[Remise]]*Clients_Churn_Master[[#This Row],[Facture_Mensuelle]]</f>
        <v>0</v>
      </c>
    </row>
    <row r="3" spans="1:13" x14ac:dyDescent="0.25">
      <c r="A3" t="s">
        <v>1689</v>
      </c>
      <c r="B3" t="s">
        <v>557</v>
      </c>
      <c r="C3" s="7">
        <f>Clients_Churn_Master[[#This Row],[Anciennete_Mois]]/12</f>
        <v>8.75</v>
      </c>
      <c r="D3" t="s">
        <v>13</v>
      </c>
      <c r="E3">
        <v>105</v>
      </c>
      <c r="F3" t="str">
        <f>IF(Clients_Churn_Master[[#This Row],[Type_Forfait]]="Pro Monde","B2B","B2C")</f>
        <v>B2B</v>
      </c>
      <c r="G3" s="4">
        <f>Clients_Churn_Master[[#This Row],[Duree_Cumulee_Panne_Min]]/1440</f>
        <v>0.20624999999999999</v>
      </c>
      <c r="H3" t="s">
        <v>558</v>
      </c>
      <c r="I3">
        <v>297</v>
      </c>
      <c r="J3" s="10">
        <v>84.66</v>
      </c>
      <c r="K3">
        <v>2</v>
      </c>
      <c r="L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" s="9">
        <f>Clients_Churn_Master[[#This Row],[Remise]]*Clients_Churn_Master[[#This Row],[Facture_Mensuelle]]</f>
        <v>38.097000000000001</v>
      </c>
    </row>
    <row r="4" spans="1:13" x14ac:dyDescent="0.25">
      <c r="A4" t="s">
        <v>1690</v>
      </c>
      <c r="B4" t="s">
        <v>559</v>
      </c>
      <c r="C4" s="7">
        <f>Clients_Churn_Master[[#This Row],[Anciennete_Mois]]/12</f>
        <v>4.083333333333333</v>
      </c>
      <c r="D4" t="s">
        <v>137</v>
      </c>
      <c r="E4">
        <v>49</v>
      </c>
      <c r="F4" t="str">
        <f>IF(Clients_Churn_Master[[#This Row],[Type_Forfait]]="Pro Monde","B2B","B2C")</f>
        <v>B2C</v>
      </c>
      <c r="G4" s="4">
        <f>Clients_Churn_Master[[#This Row],[Duree_Cumulee_Panne_Min]]/1440</f>
        <v>5.9722222222222225E-2</v>
      </c>
      <c r="H4" t="s">
        <v>560</v>
      </c>
      <c r="I4">
        <v>86</v>
      </c>
      <c r="J4" s="10">
        <v>65.400000000000006</v>
      </c>
      <c r="K4">
        <v>2</v>
      </c>
      <c r="L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" s="9">
        <f>Clients_Churn_Master[[#This Row],[Remise]]*Clients_Churn_Master[[#This Row],[Facture_Mensuelle]]</f>
        <v>0</v>
      </c>
    </row>
    <row r="5" spans="1:13" x14ac:dyDescent="0.25">
      <c r="A5" t="s">
        <v>1689</v>
      </c>
      <c r="B5" t="s">
        <v>561</v>
      </c>
      <c r="C5" s="7">
        <f>Clients_Churn_Master[[#This Row],[Anciennete_Mois]]/12</f>
        <v>8.75</v>
      </c>
      <c r="D5" t="s">
        <v>93</v>
      </c>
      <c r="E5">
        <v>105</v>
      </c>
      <c r="F5" t="str">
        <f>IF(Clients_Churn_Master[[#This Row],[Type_Forfait]]="Pro Monde","B2B","B2C")</f>
        <v>B2C</v>
      </c>
      <c r="G5" s="4">
        <f>Clients_Churn_Master[[#This Row],[Duree_Cumulee_Panne_Min]]/1440</f>
        <v>0.11944444444444445</v>
      </c>
      <c r="H5" t="s">
        <v>560</v>
      </c>
      <c r="I5">
        <v>172</v>
      </c>
      <c r="J5" s="10">
        <v>15.88</v>
      </c>
      <c r="K5">
        <v>5</v>
      </c>
      <c r="L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" s="9">
        <f>Clients_Churn_Master[[#This Row],[Remise]]*Clients_Churn_Master[[#This Row],[Facture_Mensuelle]]</f>
        <v>0</v>
      </c>
    </row>
    <row r="6" spans="1:13" x14ac:dyDescent="0.25">
      <c r="A6" t="s">
        <v>1691</v>
      </c>
      <c r="B6" t="s">
        <v>562</v>
      </c>
      <c r="C6" s="7">
        <f>Clients_Churn_Master[[#This Row],[Anciennete_Mois]]/12</f>
        <v>2.4166666666666665</v>
      </c>
      <c r="D6" t="s">
        <v>17</v>
      </c>
      <c r="E6">
        <v>29</v>
      </c>
      <c r="F6" t="str">
        <f>IF(Clients_Churn_Master[[#This Row],[Type_Forfait]]="Pro Monde","B2B","B2C")</f>
        <v>B2C</v>
      </c>
      <c r="G6" s="4">
        <f>Clients_Churn_Master[[#This Row],[Duree_Cumulee_Panne_Min]]/1440</f>
        <v>8.611111111111111E-2</v>
      </c>
      <c r="H6" t="s">
        <v>560</v>
      </c>
      <c r="I6">
        <v>124</v>
      </c>
      <c r="J6" s="10">
        <v>43.83</v>
      </c>
      <c r="K6">
        <v>5</v>
      </c>
      <c r="L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" s="9">
        <f>Clients_Churn_Master[[#This Row],[Remise]]*Clients_Churn_Master[[#This Row],[Facture_Mensuelle]]</f>
        <v>0</v>
      </c>
    </row>
    <row r="7" spans="1:13" x14ac:dyDescent="0.25">
      <c r="A7" t="s">
        <v>1692</v>
      </c>
      <c r="B7" t="s">
        <v>563</v>
      </c>
      <c r="C7" s="7">
        <f>Clients_Churn_Master[[#This Row],[Anciennete_Mois]]/12</f>
        <v>6.416666666666667</v>
      </c>
      <c r="D7" t="s">
        <v>82</v>
      </c>
      <c r="E7">
        <v>77</v>
      </c>
      <c r="F7" t="str">
        <f>IF(Clients_Churn_Master[[#This Row],[Type_Forfait]]="Pro Monde","B2B","B2C")</f>
        <v>B2C</v>
      </c>
      <c r="G7" s="4">
        <f>Clients_Churn_Master[[#This Row],[Duree_Cumulee_Panne_Min]]/1440</f>
        <v>0.33888888888888891</v>
      </c>
      <c r="H7" t="s">
        <v>564</v>
      </c>
      <c r="I7">
        <v>488</v>
      </c>
      <c r="J7" s="10">
        <v>21.17</v>
      </c>
      <c r="K7">
        <v>0</v>
      </c>
      <c r="L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" s="9">
        <f>Clients_Churn_Master[[#This Row],[Remise]]*Clients_Churn_Master[[#This Row],[Facture_Mensuelle]]</f>
        <v>9.5265000000000004</v>
      </c>
    </row>
    <row r="8" spans="1:13" x14ac:dyDescent="0.25">
      <c r="A8" t="s">
        <v>1693</v>
      </c>
      <c r="B8" t="s">
        <v>565</v>
      </c>
      <c r="C8" s="7">
        <f>Clients_Churn_Master[[#This Row],[Anciennete_Mois]]/12</f>
        <v>1.5</v>
      </c>
      <c r="D8" t="s">
        <v>13</v>
      </c>
      <c r="E8">
        <v>18</v>
      </c>
      <c r="F8" t="str">
        <f>IF(Clients_Churn_Master[[#This Row],[Type_Forfait]]="Pro Monde","B2B","B2C")</f>
        <v>B2B</v>
      </c>
      <c r="G8" s="4">
        <f>Clients_Churn_Master[[#This Row],[Duree_Cumulee_Panne_Min]]/1440</f>
        <v>0.15</v>
      </c>
      <c r="H8" t="s">
        <v>558</v>
      </c>
      <c r="I8">
        <v>216</v>
      </c>
      <c r="J8" s="10">
        <v>33.74</v>
      </c>
      <c r="K8">
        <v>5</v>
      </c>
      <c r="L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8" s="9">
        <f>Clients_Churn_Master[[#This Row],[Remise]]*Clients_Churn_Master[[#This Row],[Facture_Mensuelle]]</f>
        <v>3.3740000000000006</v>
      </c>
    </row>
    <row r="9" spans="1:13" x14ac:dyDescent="0.25">
      <c r="A9" t="s">
        <v>1694</v>
      </c>
      <c r="B9" t="s">
        <v>566</v>
      </c>
      <c r="C9" s="7">
        <f>Clients_Churn_Master[[#This Row],[Anciennete_Mois]]/12</f>
        <v>9.9166666666666661</v>
      </c>
      <c r="D9" t="s">
        <v>55</v>
      </c>
      <c r="E9">
        <v>119</v>
      </c>
      <c r="F9" t="str">
        <f>IF(Clients_Churn_Master[[#This Row],[Type_Forfait]]="Pro Monde","B2B","B2C")</f>
        <v>B2B</v>
      </c>
      <c r="G9" s="4">
        <f>Clients_Churn_Master[[#This Row],[Duree_Cumulee_Panne_Min]]/1440</f>
        <v>0.2388888888888889</v>
      </c>
      <c r="H9" t="s">
        <v>558</v>
      </c>
      <c r="I9">
        <v>344</v>
      </c>
      <c r="J9" s="10">
        <v>10.28</v>
      </c>
      <c r="K9">
        <v>0</v>
      </c>
      <c r="L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9" s="9">
        <f>Clients_Churn_Master[[#This Row],[Remise]]*Clients_Churn_Master[[#This Row],[Facture_Mensuelle]]</f>
        <v>4.6259999999999994</v>
      </c>
    </row>
    <row r="10" spans="1:13" x14ac:dyDescent="0.25">
      <c r="A10" t="s">
        <v>1695</v>
      </c>
      <c r="B10" t="s">
        <v>567</v>
      </c>
      <c r="C10" s="7">
        <f>Clients_Churn_Master[[#This Row],[Anciennete_Mois]]/12</f>
        <v>0.16666666666666666</v>
      </c>
      <c r="D10" t="s">
        <v>30</v>
      </c>
      <c r="E10">
        <v>2</v>
      </c>
      <c r="F10" t="str">
        <f>IF(Clients_Churn_Master[[#This Row],[Type_Forfait]]="Pro Monde","B2B","B2C")</f>
        <v>B2C</v>
      </c>
      <c r="G10" s="4">
        <f>Clients_Churn_Master[[#This Row],[Duree_Cumulee_Panne_Min]]/1440</f>
        <v>0.13958333333333334</v>
      </c>
      <c r="H10" t="s">
        <v>564</v>
      </c>
      <c r="I10">
        <v>201</v>
      </c>
      <c r="J10" s="10">
        <v>71.900000000000006</v>
      </c>
      <c r="K10">
        <v>2</v>
      </c>
      <c r="L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" s="9">
        <f>Clients_Churn_Master[[#This Row],[Remise]]*Clients_Churn_Master[[#This Row],[Facture_Mensuelle]]</f>
        <v>32.355000000000004</v>
      </c>
    </row>
    <row r="11" spans="1:13" x14ac:dyDescent="0.25">
      <c r="A11" t="s">
        <v>1693</v>
      </c>
      <c r="B11" t="s">
        <v>568</v>
      </c>
      <c r="C11" s="7">
        <f>Clients_Churn_Master[[#This Row],[Anciennete_Mois]]/12</f>
        <v>2.0833333333333335</v>
      </c>
      <c r="D11" t="s">
        <v>93</v>
      </c>
      <c r="E11">
        <v>25</v>
      </c>
      <c r="F11" t="str">
        <f>IF(Clients_Churn_Master[[#This Row],[Type_Forfait]]="Pro Monde","B2B","B2C")</f>
        <v>B2C</v>
      </c>
      <c r="G11" s="4">
        <f>Clients_Churn_Master[[#This Row],[Duree_Cumulee_Panne_Min]]/1440</f>
        <v>6.5972222222222224E-2</v>
      </c>
      <c r="H11" t="s">
        <v>556</v>
      </c>
      <c r="I11">
        <v>95</v>
      </c>
      <c r="J11" s="10">
        <v>15.93</v>
      </c>
      <c r="K11">
        <v>4</v>
      </c>
      <c r="L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" s="9">
        <f>Clients_Churn_Master[[#This Row],[Remise]]*Clients_Churn_Master[[#This Row],[Facture_Mensuelle]]</f>
        <v>0</v>
      </c>
    </row>
    <row r="12" spans="1:13" x14ac:dyDescent="0.25">
      <c r="A12" t="s">
        <v>1693</v>
      </c>
      <c r="B12" t="s">
        <v>569</v>
      </c>
      <c r="C12" s="7">
        <f>Clients_Churn_Master[[#This Row],[Anciennete_Mois]]/12</f>
        <v>2.9166666666666665</v>
      </c>
      <c r="D12" t="s">
        <v>17</v>
      </c>
      <c r="E12">
        <v>35</v>
      </c>
      <c r="F12" t="str">
        <f>IF(Clients_Churn_Master[[#This Row],[Type_Forfait]]="Pro Monde","B2B","B2C")</f>
        <v>B2C</v>
      </c>
      <c r="G12" s="4">
        <f>Clients_Churn_Master[[#This Row],[Duree_Cumulee_Panne_Min]]/1440</f>
        <v>0.23055555555555557</v>
      </c>
      <c r="H12" t="s">
        <v>564</v>
      </c>
      <c r="I12">
        <v>332</v>
      </c>
      <c r="J12" s="10">
        <v>11.15</v>
      </c>
      <c r="K12">
        <v>0</v>
      </c>
      <c r="L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" s="9">
        <f>Clients_Churn_Master[[#This Row],[Remise]]*Clients_Churn_Master[[#This Row],[Facture_Mensuelle]]</f>
        <v>5.0175000000000001</v>
      </c>
    </row>
    <row r="13" spans="1:13" x14ac:dyDescent="0.25">
      <c r="A13" t="s">
        <v>1696</v>
      </c>
      <c r="B13" t="s">
        <v>570</v>
      </c>
      <c r="C13" s="7">
        <f>Clients_Churn_Master[[#This Row],[Anciennete_Mois]]/12</f>
        <v>9.9166666666666661</v>
      </c>
      <c r="D13" t="s">
        <v>24</v>
      </c>
      <c r="E13">
        <v>119</v>
      </c>
      <c r="F13" t="str">
        <f>IF(Clients_Churn_Master[[#This Row],[Type_Forfait]]="Pro Monde","B2B","B2C")</f>
        <v>B2B</v>
      </c>
      <c r="G13" s="4">
        <f>Clients_Churn_Master[[#This Row],[Duree_Cumulee_Panne_Min]]/1440</f>
        <v>2.1527777777777778E-2</v>
      </c>
      <c r="H13" t="s">
        <v>558</v>
      </c>
      <c r="I13">
        <v>31</v>
      </c>
      <c r="J13" s="10">
        <v>21.27</v>
      </c>
      <c r="K13">
        <v>5</v>
      </c>
      <c r="L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3" s="9">
        <f>Clients_Churn_Master[[#This Row],[Remise]]*Clients_Churn_Master[[#This Row],[Facture_Mensuelle]]</f>
        <v>2.1270000000000002</v>
      </c>
    </row>
    <row r="14" spans="1:13" x14ac:dyDescent="0.25">
      <c r="A14" t="s">
        <v>1697</v>
      </c>
      <c r="B14" t="s">
        <v>571</v>
      </c>
      <c r="C14" s="7">
        <f>Clients_Churn_Master[[#This Row],[Anciennete_Mois]]/12</f>
        <v>8.5833333333333339</v>
      </c>
      <c r="D14" t="s">
        <v>62</v>
      </c>
      <c r="E14">
        <v>103</v>
      </c>
      <c r="F14" t="str">
        <f>IF(Clients_Churn_Master[[#This Row],[Type_Forfait]]="Pro Monde","B2B","B2C")</f>
        <v>B2B</v>
      </c>
      <c r="G14" s="4">
        <f>Clients_Churn_Master[[#This Row],[Duree_Cumulee_Panne_Min]]/1440</f>
        <v>7.2916666666666671E-2</v>
      </c>
      <c r="H14" t="s">
        <v>558</v>
      </c>
      <c r="I14">
        <v>105</v>
      </c>
      <c r="J14" s="10">
        <v>61.52</v>
      </c>
      <c r="K14">
        <v>3</v>
      </c>
      <c r="L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4" s="9">
        <f>Clients_Churn_Master[[#This Row],[Remise]]*Clients_Churn_Master[[#This Row],[Facture_Mensuelle]]</f>
        <v>6.152000000000001</v>
      </c>
    </row>
    <row r="15" spans="1:13" x14ac:dyDescent="0.25">
      <c r="A15" t="s">
        <v>1694</v>
      </c>
      <c r="B15" t="s">
        <v>572</v>
      </c>
      <c r="C15" s="7">
        <f>Clients_Churn_Master[[#This Row],[Anciennete_Mois]]/12</f>
        <v>9.8333333333333339</v>
      </c>
      <c r="D15" t="s">
        <v>34</v>
      </c>
      <c r="E15">
        <v>118</v>
      </c>
      <c r="F15" t="str">
        <f>IF(Clients_Churn_Master[[#This Row],[Type_Forfait]]="Pro Monde","B2B","B2C")</f>
        <v>B2B</v>
      </c>
      <c r="G15" s="4">
        <f>Clients_Churn_Master[[#This Row],[Duree_Cumulee_Panne_Min]]/1440</f>
        <v>9.166666666666666E-2</v>
      </c>
      <c r="H15" t="s">
        <v>558</v>
      </c>
      <c r="I15">
        <v>132</v>
      </c>
      <c r="J15" s="10">
        <v>40.880000000000003</v>
      </c>
      <c r="K15">
        <v>4</v>
      </c>
      <c r="L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5" s="9">
        <f>Clients_Churn_Master[[#This Row],[Remise]]*Clients_Churn_Master[[#This Row],[Facture_Mensuelle]]</f>
        <v>4.0880000000000001</v>
      </c>
    </row>
    <row r="16" spans="1:13" x14ac:dyDescent="0.25">
      <c r="A16" t="s">
        <v>1691</v>
      </c>
      <c r="B16" t="s">
        <v>573</v>
      </c>
      <c r="C16" s="7">
        <f>Clients_Churn_Master[[#This Row],[Anciennete_Mois]]/12</f>
        <v>4.416666666666667</v>
      </c>
      <c r="D16" t="s">
        <v>45</v>
      </c>
      <c r="E16">
        <v>53</v>
      </c>
      <c r="F16" t="str">
        <f>IF(Clients_Churn_Master[[#This Row],[Type_Forfait]]="Pro Monde","B2B","B2C")</f>
        <v>B2C</v>
      </c>
      <c r="G16" s="4">
        <f>Clients_Churn_Master[[#This Row],[Duree_Cumulee_Panne_Min]]/1440</f>
        <v>0.23958333333333334</v>
      </c>
      <c r="H16" t="s">
        <v>560</v>
      </c>
      <c r="I16">
        <v>345</v>
      </c>
      <c r="J16" s="10">
        <v>83.73</v>
      </c>
      <c r="K16">
        <v>0</v>
      </c>
      <c r="L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" s="9">
        <f>Clients_Churn_Master[[#This Row],[Remise]]*Clients_Churn_Master[[#This Row],[Facture_Mensuelle]]</f>
        <v>37.6785</v>
      </c>
    </row>
    <row r="17" spans="1:13" x14ac:dyDescent="0.25">
      <c r="A17" t="s">
        <v>1695</v>
      </c>
      <c r="B17" t="s">
        <v>574</v>
      </c>
      <c r="C17" s="7">
        <f>Clients_Churn_Master[[#This Row],[Anciennete_Mois]]/12</f>
        <v>2.75</v>
      </c>
      <c r="D17" t="s">
        <v>17</v>
      </c>
      <c r="E17">
        <v>33</v>
      </c>
      <c r="F17" t="str">
        <f>IF(Clients_Churn_Master[[#This Row],[Type_Forfait]]="Pro Monde","B2B","B2C")</f>
        <v>B2C</v>
      </c>
      <c r="G17" s="4">
        <f>Clients_Churn_Master[[#This Row],[Duree_Cumulee_Panne_Min]]/1440</f>
        <v>3.7499999999999999E-2</v>
      </c>
      <c r="H17" t="s">
        <v>556</v>
      </c>
      <c r="I17">
        <v>54</v>
      </c>
      <c r="J17" s="10">
        <v>71.319999999999993</v>
      </c>
      <c r="K17">
        <v>4</v>
      </c>
      <c r="L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7" s="9">
        <f>Clients_Churn_Master[[#This Row],[Remise]]*Clients_Churn_Master[[#This Row],[Facture_Mensuelle]]</f>
        <v>0</v>
      </c>
    </row>
    <row r="18" spans="1:13" x14ac:dyDescent="0.25">
      <c r="A18" t="s">
        <v>1694</v>
      </c>
      <c r="B18" t="s">
        <v>575</v>
      </c>
      <c r="C18" s="7">
        <f>Clients_Churn_Master[[#This Row],[Anciennete_Mois]]/12</f>
        <v>1.3333333333333333</v>
      </c>
      <c r="D18" t="s">
        <v>62</v>
      </c>
      <c r="E18">
        <v>16</v>
      </c>
      <c r="F18" t="str">
        <f>IF(Clients_Churn_Master[[#This Row],[Type_Forfait]]="Pro Monde","B2B","B2C")</f>
        <v>B2C</v>
      </c>
      <c r="G18" s="4">
        <f>Clients_Churn_Master[[#This Row],[Duree_Cumulee_Panne_Min]]/1440</f>
        <v>0.32013888888888886</v>
      </c>
      <c r="H18" t="s">
        <v>556</v>
      </c>
      <c r="I18">
        <v>461</v>
      </c>
      <c r="J18" s="10">
        <v>38.369999999999997</v>
      </c>
      <c r="K18">
        <v>4</v>
      </c>
      <c r="L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" s="9">
        <f>Clients_Churn_Master[[#This Row],[Remise]]*Clients_Churn_Master[[#This Row],[Facture_Mensuelle]]</f>
        <v>17.266500000000001</v>
      </c>
    </row>
    <row r="19" spans="1:13" x14ac:dyDescent="0.25">
      <c r="A19" t="s">
        <v>1689</v>
      </c>
      <c r="B19" t="s">
        <v>576</v>
      </c>
      <c r="C19" s="7">
        <f>Clients_Churn_Master[[#This Row],[Anciennete_Mois]]/12</f>
        <v>2.8333333333333335</v>
      </c>
      <c r="D19" t="s">
        <v>41</v>
      </c>
      <c r="E19">
        <v>34</v>
      </c>
      <c r="F19" t="str">
        <f>IF(Clients_Churn_Master[[#This Row],[Type_Forfait]]="Pro Monde","B2B","B2C")</f>
        <v>B2C</v>
      </c>
      <c r="G19" s="4">
        <f>Clients_Churn_Master[[#This Row],[Duree_Cumulee_Panne_Min]]/1440</f>
        <v>2.7777777777777776E-2</v>
      </c>
      <c r="H19" t="s">
        <v>556</v>
      </c>
      <c r="I19">
        <v>40</v>
      </c>
      <c r="J19" s="10">
        <v>65.709999999999994</v>
      </c>
      <c r="K19">
        <v>5</v>
      </c>
      <c r="L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" s="9">
        <f>Clients_Churn_Master[[#This Row],[Remise]]*Clients_Churn_Master[[#This Row],[Facture_Mensuelle]]</f>
        <v>0</v>
      </c>
    </row>
    <row r="20" spans="1:13" x14ac:dyDescent="0.25">
      <c r="A20" t="s">
        <v>1695</v>
      </c>
      <c r="B20" t="s">
        <v>577</v>
      </c>
      <c r="C20" s="7">
        <f>Clients_Churn_Master[[#This Row],[Anciennete_Mois]]/12</f>
        <v>0.5</v>
      </c>
      <c r="D20" t="s">
        <v>9</v>
      </c>
      <c r="E20">
        <v>6</v>
      </c>
      <c r="F20" t="str">
        <f>IF(Clients_Churn_Master[[#This Row],[Type_Forfait]]="Pro Monde","B2B","B2C")</f>
        <v>B2B</v>
      </c>
      <c r="G20" s="4">
        <f>Clients_Churn_Master[[#This Row],[Duree_Cumulee_Panne_Min]]/1440</f>
        <v>0.14305555555555555</v>
      </c>
      <c r="H20" t="s">
        <v>558</v>
      </c>
      <c r="I20">
        <v>206</v>
      </c>
      <c r="J20" s="10">
        <v>10</v>
      </c>
      <c r="K20">
        <v>5</v>
      </c>
      <c r="L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0" s="9">
        <f>Clients_Churn_Master[[#This Row],[Remise]]*Clients_Churn_Master[[#This Row],[Facture_Mensuelle]]</f>
        <v>1</v>
      </c>
    </row>
    <row r="21" spans="1:13" x14ac:dyDescent="0.25">
      <c r="A21" t="s">
        <v>1688</v>
      </c>
      <c r="B21" t="s">
        <v>578</v>
      </c>
      <c r="C21" s="7">
        <f>Clients_Churn_Master[[#This Row],[Anciennete_Mois]]/12</f>
        <v>0.33333333333333331</v>
      </c>
      <c r="D21" t="s">
        <v>47</v>
      </c>
      <c r="E21">
        <v>4</v>
      </c>
      <c r="F21" t="str">
        <f>IF(Clients_Churn_Master[[#This Row],[Type_Forfait]]="Pro Monde","B2B","B2C")</f>
        <v>B2C</v>
      </c>
      <c r="G21" s="4">
        <f>Clients_Churn_Master[[#This Row],[Duree_Cumulee_Panne_Min]]/1440</f>
        <v>0.12638888888888888</v>
      </c>
      <c r="H21" t="s">
        <v>556</v>
      </c>
      <c r="I21">
        <v>182</v>
      </c>
      <c r="J21" s="10">
        <v>89.56</v>
      </c>
      <c r="K21">
        <v>4</v>
      </c>
      <c r="L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1" s="9">
        <f>Clients_Churn_Master[[#This Row],[Remise]]*Clients_Churn_Master[[#This Row],[Facture_Mensuelle]]</f>
        <v>0</v>
      </c>
    </row>
    <row r="22" spans="1:13" x14ac:dyDescent="0.25">
      <c r="A22" t="s">
        <v>1692</v>
      </c>
      <c r="B22" t="s">
        <v>579</v>
      </c>
      <c r="C22" s="7">
        <f>Clients_Churn_Master[[#This Row],[Anciennete_Mois]]/12</f>
        <v>5.75</v>
      </c>
      <c r="D22" t="s">
        <v>85</v>
      </c>
      <c r="E22">
        <v>69</v>
      </c>
      <c r="F22" t="str">
        <f>IF(Clients_Churn_Master[[#This Row],[Type_Forfait]]="Pro Monde","B2B","B2C")</f>
        <v>B2B</v>
      </c>
      <c r="G22" s="4">
        <f>Clients_Churn_Master[[#This Row],[Duree_Cumulee_Panne_Min]]/1440</f>
        <v>5.2777777777777778E-2</v>
      </c>
      <c r="H22" t="s">
        <v>558</v>
      </c>
      <c r="I22">
        <v>76</v>
      </c>
      <c r="J22" s="10">
        <v>91.8</v>
      </c>
      <c r="K22">
        <v>5</v>
      </c>
      <c r="L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2" s="9">
        <f>Clients_Churn_Master[[#This Row],[Remise]]*Clients_Churn_Master[[#This Row],[Facture_Mensuelle]]</f>
        <v>9.18</v>
      </c>
    </row>
    <row r="23" spans="1:13" x14ac:dyDescent="0.25">
      <c r="A23" t="s">
        <v>1697</v>
      </c>
      <c r="B23" t="s">
        <v>580</v>
      </c>
      <c r="C23" s="7">
        <f>Clients_Churn_Master[[#This Row],[Anciennete_Mois]]/12</f>
        <v>6</v>
      </c>
      <c r="D23" t="s">
        <v>32</v>
      </c>
      <c r="E23">
        <v>72</v>
      </c>
      <c r="F23" t="str">
        <f>IF(Clients_Churn_Master[[#This Row],[Type_Forfait]]="Pro Monde","B2B","B2C")</f>
        <v>B2B</v>
      </c>
      <c r="G23" s="4">
        <f>Clients_Churn_Master[[#This Row],[Duree_Cumulee_Panne_Min]]/1440</f>
        <v>0.1111111111111111</v>
      </c>
      <c r="H23" t="s">
        <v>558</v>
      </c>
      <c r="I23">
        <v>160</v>
      </c>
      <c r="J23" s="10">
        <v>90.13</v>
      </c>
      <c r="K23">
        <v>2</v>
      </c>
      <c r="L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3" s="9">
        <f>Clients_Churn_Master[[#This Row],[Remise]]*Clients_Churn_Master[[#This Row],[Facture_Mensuelle]]</f>
        <v>9.0129999999999999</v>
      </c>
    </row>
    <row r="24" spans="1:13" x14ac:dyDescent="0.25">
      <c r="A24" t="s">
        <v>1698</v>
      </c>
      <c r="B24" t="s">
        <v>581</v>
      </c>
      <c r="C24" s="7">
        <f>Clients_Churn_Master[[#This Row],[Anciennete_Mois]]/12</f>
        <v>4.333333333333333</v>
      </c>
      <c r="D24" t="s">
        <v>43</v>
      </c>
      <c r="E24">
        <v>52</v>
      </c>
      <c r="F24" t="str">
        <f>IF(Clients_Churn_Master[[#This Row],[Type_Forfait]]="Pro Monde","B2B","B2C")</f>
        <v>B2C</v>
      </c>
      <c r="G24" s="4">
        <f>Clients_Churn_Master[[#This Row],[Duree_Cumulee_Panne_Min]]/1440</f>
        <v>8.2638888888888887E-2</v>
      </c>
      <c r="H24" t="s">
        <v>560</v>
      </c>
      <c r="I24">
        <v>119</v>
      </c>
      <c r="J24" s="10">
        <v>64.709999999999994</v>
      </c>
      <c r="K24">
        <v>4</v>
      </c>
      <c r="L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4" s="9">
        <f>Clients_Churn_Master[[#This Row],[Remise]]*Clients_Churn_Master[[#This Row],[Facture_Mensuelle]]</f>
        <v>0</v>
      </c>
    </row>
    <row r="25" spans="1:13" x14ac:dyDescent="0.25">
      <c r="A25" t="s">
        <v>1691</v>
      </c>
      <c r="B25" t="s">
        <v>582</v>
      </c>
      <c r="C25" s="7">
        <f>Clients_Churn_Master[[#This Row],[Anciennete_Mois]]/12</f>
        <v>5.583333333333333</v>
      </c>
      <c r="D25" t="s">
        <v>47</v>
      </c>
      <c r="E25">
        <v>67</v>
      </c>
      <c r="F25" t="str">
        <f>IF(Clients_Churn_Master[[#This Row],[Type_Forfait]]="Pro Monde","B2B","B2C")</f>
        <v>B2C</v>
      </c>
      <c r="G25" s="4">
        <f>Clients_Churn_Master[[#This Row],[Duree_Cumulee_Panne_Min]]/1440</f>
        <v>0.18333333333333332</v>
      </c>
      <c r="H25" t="s">
        <v>560</v>
      </c>
      <c r="I25">
        <v>264</v>
      </c>
      <c r="J25" s="10">
        <v>97.89</v>
      </c>
      <c r="K25">
        <v>1</v>
      </c>
      <c r="L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" s="9">
        <f>Clients_Churn_Master[[#This Row],[Remise]]*Clients_Churn_Master[[#This Row],[Facture_Mensuelle]]</f>
        <v>44.0505</v>
      </c>
    </row>
    <row r="26" spans="1:13" x14ac:dyDescent="0.25">
      <c r="A26" t="s">
        <v>1699</v>
      </c>
      <c r="B26" t="s">
        <v>583</v>
      </c>
      <c r="C26" s="7">
        <f>Clients_Churn_Master[[#This Row],[Anciennete_Mois]]/12</f>
        <v>6.5</v>
      </c>
      <c r="D26" t="s">
        <v>93</v>
      </c>
      <c r="E26">
        <v>78</v>
      </c>
      <c r="F26" t="str">
        <f>IF(Clients_Churn_Master[[#This Row],[Type_Forfait]]="Pro Monde","B2B","B2C")</f>
        <v>B2C</v>
      </c>
      <c r="G26" s="4">
        <f>Clients_Churn_Master[[#This Row],[Duree_Cumulee_Panne_Min]]/1440</f>
        <v>4.1666666666666664E-2</v>
      </c>
      <c r="H26" t="s">
        <v>564</v>
      </c>
      <c r="I26">
        <v>60</v>
      </c>
      <c r="J26" s="10">
        <v>33.159999999999997</v>
      </c>
      <c r="K26">
        <v>5</v>
      </c>
      <c r="L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" s="9">
        <f>Clients_Churn_Master[[#This Row],[Remise]]*Clients_Churn_Master[[#This Row],[Facture_Mensuelle]]</f>
        <v>0</v>
      </c>
    </row>
    <row r="27" spans="1:13" x14ac:dyDescent="0.25">
      <c r="A27" t="s">
        <v>1697</v>
      </c>
      <c r="B27" t="s">
        <v>584</v>
      </c>
      <c r="C27" s="7">
        <f>Clients_Churn_Master[[#This Row],[Anciennete_Mois]]/12</f>
        <v>3.8333333333333335</v>
      </c>
      <c r="D27" t="s">
        <v>85</v>
      </c>
      <c r="E27">
        <v>46</v>
      </c>
      <c r="F27" t="str">
        <f>IF(Clients_Churn_Master[[#This Row],[Type_Forfait]]="Pro Monde","B2B","B2C")</f>
        <v>B2C</v>
      </c>
      <c r="G27" s="4">
        <f>Clients_Churn_Master[[#This Row],[Duree_Cumulee_Panne_Min]]/1440</f>
        <v>0.19652777777777777</v>
      </c>
      <c r="H27" t="s">
        <v>564</v>
      </c>
      <c r="I27">
        <v>283</v>
      </c>
      <c r="J27" s="10">
        <v>56.05</v>
      </c>
      <c r="K27">
        <v>1</v>
      </c>
      <c r="L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" s="9">
        <f>Clients_Churn_Master[[#This Row],[Remise]]*Clients_Churn_Master[[#This Row],[Facture_Mensuelle]]</f>
        <v>25.2225</v>
      </c>
    </row>
    <row r="28" spans="1:13" x14ac:dyDescent="0.25">
      <c r="A28" t="s">
        <v>1700</v>
      </c>
      <c r="B28" t="s">
        <v>585</v>
      </c>
      <c r="C28" s="7">
        <f>Clients_Churn_Master[[#This Row],[Anciennete_Mois]]/12</f>
        <v>1.4166666666666667</v>
      </c>
      <c r="D28" t="s">
        <v>9</v>
      </c>
      <c r="E28">
        <v>17</v>
      </c>
      <c r="F28" t="str">
        <f>IF(Clients_Churn_Master[[#This Row],[Type_Forfait]]="Pro Monde","B2B","B2C")</f>
        <v>B2C</v>
      </c>
      <c r="G28" s="4">
        <f>Clients_Churn_Master[[#This Row],[Duree_Cumulee_Panne_Min]]/1440</f>
        <v>0.34652777777777777</v>
      </c>
      <c r="H28" t="s">
        <v>564</v>
      </c>
      <c r="I28">
        <v>499</v>
      </c>
      <c r="J28" s="10">
        <v>27.81</v>
      </c>
      <c r="K28">
        <v>2</v>
      </c>
      <c r="L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" s="9">
        <f>Clients_Churn_Master[[#This Row],[Remise]]*Clients_Churn_Master[[#This Row],[Facture_Mensuelle]]</f>
        <v>12.5145</v>
      </c>
    </row>
    <row r="29" spans="1:13" x14ac:dyDescent="0.25">
      <c r="A29" t="s">
        <v>1699</v>
      </c>
      <c r="B29" t="s">
        <v>586</v>
      </c>
      <c r="C29" s="7">
        <f>Clients_Churn_Master[[#This Row],[Anciennete_Mois]]/12</f>
        <v>1.25</v>
      </c>
      <c r="D29" t="s">
        <v>93</v>
      </c>
      <c r="E29">
        <v>15</v>
      </c>
      <c r="F29" t="str">
        <f>IF(Clients_Churn_Master[[#This Row],[Type_Forfait]]="Pro Monde","B2B","B2C")</f>
        <v>B2C</v>
      </c>
      <c r="G29" s="4">
        <f>Clients_Churn_Master[[#This Row],[Duree_Cumulee_Panne_Min]]/1440</f>
        <v>5.2083333333333336E-2</v>
      </c>
      <c r="H29" t="s">
        <v>564</v>
      </c>
      <c r="I29">
        <v>75</v>
      </c>
      <c r="J29" s="10">
        <v>45.59</v>
      </c>
      <c r="K29">
        <v>0</v>
      </c>
      <c r="L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" s="9">
        <f>Clients_Churn_Master[[#This Row],[Remise]]*Clients_Churn_Master[[#This Row],[Facture_Mensuelle]]</f>
        <v>20.515500000000003</v>
      </c>
    </row>
    <row r="30" spans="1:13" x14ac:dyDescent="0.25">
      <c r="A30" t="s">
        <v>1690</v>
      </c>
      <c r="B30" t="s">
        <v>587</v>
      </c>
      <c r="C30" s="7">
        <f>Clients_Churn_Master[[#This Row],[Anciennete_Mois]]/12</f>
        <v>8.8333333333333339</v>
      </c>
      <c r="D30" t="s">
        <v>137</v>
      </c>
      <c r="E30">
        <v>106</v>
      </c>
      <c r="F30" t="str">
        <f>IF(Clients_Churn_Master[[#This Row],[Type_Forfait]]="Pro Monde","B2B","B2C")</f>
        <v>B2B</v>
      </c>
      <c r="G30" s="4">
        <f>Clients_Churn_Master[[#This Row],[Duree_Cumulee_Panne_Min]]/1440</f>
        <v>0.29791666666666666</v>
      </c>
      <c r="H30" t="s">
        <v>558</v>
      </c>
      <c r="I30">
        <v>429</v>
      </c>
      <c r="J30" s="10">
        <v>23.83</v>
      </c>
      <c r="K30">
        <v>1</v>
      </c>
      <c r="L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" s="9">
        <f>Clients_Churn_Master[[#This Row],[Remise]]*Clients_Churn_Master[[#This Row],[Facture_Mensuelle]]</f>
        <v>10.7235</v>
      </c>
    </row>
    <row r="31" spans="1:13" x14ac:dyDescent="0.25">
      <c r="A31" t="s">
        <v>1697</v>
      </c>
      <c r="B31" t="s">
        <v>588</v>
      </c>
      <c r="C31" s="7">
        <f>Clients_Churn_Master[[#This Row],[Anciennete_Mois]]/12</f>
        <v>1.1666666666666667</v>
      </c>
      <c r="D31" t="s">
        <v>47</v>
      </c>
      <c r="E31">
        <v>14</v>
      </c>
      <c r="F31" t="str">
        <f>IF(Clients_Churn_Master[[#This Row],[Type_Forfait]]="Pro Monde","B2B","B2C")</f>
        <v>B2C</v>
      </c>
      <c r="G31" s="4">
        <f>Clients_Churn_Master[[#This Row],[Duree_Cumulee_Panne_Min]]/1440</f>
        <v>5.2083333333333336E-2</v>
      </c>
      <c r="H31" t="s">
        <v>564</v>
      </c>
      <c r="I31">
        <v>75</v>
      </c>
      <c r="J31" s="10">
        <v>55.67</v>
      </c>
      <c r="K31">
        <v>3</v>
      </c>
      <c r="L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" s="9">
        <f>Clients_Churn_Master[[#This Row],[Remise]]*Clients_Churn_Master[[#This Row],[Facture_Mensuelle]]</f>
        <v>25.051500000000001</v>
      </c>
    </row>
    <row r="32" spans="1:13" x14ac:dyDescent="0.25">
      <c r="A32" t="s">
        <v>1689</v>
      </c>
      <c r="B32" t="s">
        <v>589</v>
      </c>
      <c r="C32" s="7">
        <f>Clients_Churn_Master[[#This Row],[Anciennete_Mois]]/12</f>
        <v>1.25</v>
      </c>
      <c r="D32" t="s">
        <v>76</v>
      </c>
      <c r="E32">
        <v>15</v>
      </c>
      <c r="F32" t="str">
        <f>IF(Clients_Churn_Master[[#This Row],[Type_Forfait]]="Pro Monde","B2B","B2C")</f>
        <v>B2C</v>
      </c>
      <c r="G32" s="4">
        <f>Clients_Churn_Master[[#This Row],[Duree_Cumulee_Panne_Min]]/1440</f>
        <v>0.27777777777777779</v>
      </c>
      <c r="H32" t="s">
        <v>556</v>
      </c>
      <c r="I32">
        <v>400</v>
      </c>
      <c r="J32" s="10">
        <v>78.09</v>
      </c>
      <c r="K32">
        <v>0</v>
      </c>
      <c r="L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" s="9">
        <f>Clients_Churn_Master[[#This Row],[Remise]]*Clients_Churn_Master[[#This Row],[Facture_Mensuelle]]</f>
        <v>35.140500000000003</v>
      </c>
    </row>
    <row r="33" spans="1:13" x14ac:dyDescent="0.25">
      <c r="A33" t="s">
        <v>1690</v>
      </c>
      <c r="B33" t="s">
        <v>590</v>
      </c>
      <c r="C33" s="7">
        <f>Clients_Churn_Master[[#This Row],[Anciennete_Mois]]/12</f>
        <v>4.166666666666667</v>
      </c>
      <c r="D33" t="s">
        <v>49</v>
      </c>
      <c r="E33">
        <v>50</v>
      </c>
      <c r="F33" t="str">
        <f>IF(Clients_Churn_Master[[#This Row],[Type_Forfait]]="Pro Monde","B2B","B2C")</f>
        <v>B2C</v>
      </c>
      <c r="G33" s="4">
        <f>Clients_Churn_Master[[#This Row],[Duree_Cumulee_Panne_Min]]/1440</f>
        <v>0.30208333333333331</v>
      </c>
      <c r="H33" t="s">
        <v>556</v>
      </c>
      <c r="I33">
        <v>435</v>
      </c>
      <c r="J33" s="10">
        <v>27.86</v>
      </c>
      <c r="K33">
        <v>3</v>
      </c>
      <c r="L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3" s="9">
        <f>Clients_Churn_Master[[#This Row],[Remise]]*Clients_Churn_Master[[#This Row],[Facture_Mensuelle]]</f>
        <v>12.537000000000001</v>
      </c>
    </row>
    <row r="34" spans="1:13" x14ac:dyDescent="0.25">
      <c r="A34" t="s">
        <v>1700</v>
      </c>
      <c r="B34" t="s">
        <v>591</v>
      </c>
      <c r="C34" s="7">
        <f>Clients_Churn_Master[[#This Row],[Anciennete_Mois]]/12</f>
        <v>1</v>
      </c>
      <c r="D34" t="s">
        <v>24</v>
      </c>
      <c r="E34">
        <v>12</v>
      </c>
      <c r="F34" t="str">
        <f>IF(Clients_Churn_Master[[#This Row],[Type_Forfait]]="Pro Monde","B2B","B2C")</f>
        <v>B2B</v>
      </c>
      <c r="G34" s="4">
        <f>Clients_Churn_Master[[#This Row],[Duree_Cumulee_Panne_Min]]/1440</f>
        <v>2.9166666666666667E-2</v>
      </c>
      <c r="H34" t="s">
        <v>558</v>
      </c>
      <c r="I34">
        <v>42</v>
      </c>
      <c r="J34" s="10">
        <v>48.64</v>
      </c>
      <c r="K34">
        <v>0</v>
      </c>
      <c r="L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" s="9">
        <f>Clients_Churn_Master[[#This Row],[Remise]]*Clients_Churn_Master[[#This Row],[Facture_Mensuelle]]</f>
        <v>4.8640000000000008</v>
      </c>
    </row>
    <row r="35" spans="1:13" x14ac:dyDescent="0.25">
      <c r="A35" t="s">
        <v>1690</v>
      </c>
      <c r="B35" t="s">
        <v>592</v>
      </c>
      <c r="C35" s="7">
        <f>Clients_Churn_Master[[#This Row],[Anciennete_Mois]]/12</f>
        <v>2.4166666666666665</v>
      </c>
      <c r="D35" t="s">
        <v>96</v>
      </c>
      <c r="E35">
        <v>29</v>
      </c>
      <c r="F35" t="str">
        <f>IF(Clients_Churn_Master[[#This Row],[Type_Forfait]]="Pro Monde","B2B","B2C")</f>
        <v>B2B</v>
      </c>
      <c r="G35" s="4">
        <f>Clients_Churn_Master[[#This Row],[Duree_Cumulee_Panne_Min]]/1440</f>
        <v>0.34236111111111112</v>
      </c>
      <c r="H35" t="s">
        <v>558</v>
      </c>
      <c r="I35">
        <v>493</v>
      </c>
      <c r="J35" s="10">
        <v>42.02</v>
      </c>
      <c r="K35">
        <v>1</v>
      </c>
      <c r="L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" s="9">
        <f>Clients_Churn_Master[[#This Row],[Remise]]*Clients_Churn_Master[[#This Row],[Facture_Mensuelle]]</f>
        <v>18.909000000000002</v>
      </c>
    </row>
    <row r="36" spans="1:13" x14ac:dyDescent="0.25">
      <c r="A36" t="s">
        <v>1700</v>
      </c>
      <c r="B36" t="s">
        <v>593</v>
      </c>
      <c r="C36" s="7">
        <f>Clients_Churn_Master[[#This Row],[Anciennete_Mois]]/12</f>
        <v>3.5</v>
      </c>
      <c r="D36" t="s">
        <v>82</v>
      </c>
      <c r="E36">
        <v>42</v>
      </c>
      <c r="F36" t="str">
        <f>IF(Clients_Churn_Master[[#This Row],[Type_Forfait]]="Pro Monde","B2B","B2C")</f>
        <v>B2B</v>
      </c>
      <c r="G36" s="4">
        <f>Clients_Churn_Master[[#This Row],[Duree_Cumulee_Panne_Min]]/1440</f>
        <v>0.11597222222222223</v>
      </c>
      <c r="H36" t="s">
        <v>558</v>
      </c>
      <c r="I36">
        <v>167</v>
      </c>
      <c r="J36" s="10">
        <v>45.85</v>
      </c>
      <c r="K36">
        <v>2</v>
      </c>
      <c r="L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6" s="9">
        <f>Clients_Churn_Master[[#This Row],[Remise]]*Clients_Churn_Master[[#This Row],[Facture_Mensuelle]]</f>
        <v>4.585</v>
      </c>
    </row>
    <row r="37" spans="1:13" x14ac:dyDescent="0.25">
      <c r="A37" t="s">
        <v>1701</v>
      </c>
      <c r="B37" t="s">
        <v>594</v>
      </c>
      <c r="C37" s="7">
        <f>Clients_Churn_Master[[#This Row],[Anciennete_Mois]]/12</f>
        <v>6.166666666666667</v>
      </c>
      <c r="D37" t="s">
        <v>21</v>
      </c>
      <c r="E37">
        <v>74</v>
      </c>
      <c r="F37" t="str">
        <f>IF(Clients_Churn_Master[[#This Row],[Type_Forfait]]="Pro Monde","B2B","B2C")</f>
        <v>B2C</v>
      </c>
      <c r="G37" s="4">
        <f>Clients_Churn_Master[[#This Row],[Duree_Cumulee_Panne_Min]]/1440</f>
        <v>0.26944444444444443</v>
      </c>
      <c r="H37" t="s">
        <v>556</v>
      </c>
      <c r="I37">
        <v>388</v>
      </c>
      <c r="J37" s="10">
        <v>10.89</v>
      </c>
      <c r="K37">
        <v>4</v>
      </c>
      <c r="L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" s="9">
        <f>Clients_Churn_Master[[#This Row],[Remise]]*Clients_Churn_Master[[#This Row],[Facture_Mensuelle]]</f>
        <v>4.9005000000000001</v>
      </c>
    </row>
    <row r="38" spans="1:13" x14ac:dyDescent="0.25">
      <c r="A38" t="s">
        <v>1694</v>
      </c>
      <c r="B38" t="s">
        <v>595</v>
      </c>
      <c r="C38" s="7">
        <f>Clients_Churn_Master[[#This Row],[Anciennete_Mois]]/12</f>
        <v>7.75</v>
      </c>
      <c r="D38" t="s">
        <v>9</v>
      </c>
      <c r="E38">
        <v>93</v>
      </c>
      <c r="F38" t="str">
        <f>IF(Clients_Churn_Master[[#This Row],[Type_Forfait]]="Pro Monde","B2B","B2C")</f>
        <v>B2C</v>
      </c>
      <c r="G38" s="4">
        <f>Clients_Churn_Master[[#This Row],[Duree_Cumulee_Panne_Min]]/1440</f>
        <v>0.10416666666666667</v>
      </c>
      <c r="H38" t="s">
        <v>564</v>
      </c>
      <c r="I38">
        <v>150</v>
      </c>
      <c r="J38" s="10">
        <v>93.25</v>
      </c>
      <c r="K38">
        <v>3</v>
      </c>
      <c r="L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" s="9">
        <f>Clients_Churn_Master[[#This Row],[Remise]]*Clients_Churn_Master[[#This Row],[Facture_Mensuelle]]</f>
        <v>0</v>
      </c>
    </row>
    <row r="39" spans="1:13" x14ac:dyDescent="0.25">
      <c r="A39" t="s">
        <v>1695</v>
      </c>
      <c r="B39" t="s">
        <v>596</v>
      </c>
      <c r="C39" s="7">
        <f>Clients_Churn_Master[[#This Row],[Anciennete_Mois]]/12</f>
        <v>1.5833333333333333</v>
      </c>
      <c r="D39" t="s">
        <v>30</v>
      </c>
      <c r="E39">
        <v>19</v>
      </c>
      <c r="F39" t="str">
        <f>IF(Clients_Churn_Master[[#This Row],[Type_Forfait]]="Pro Monde","B2B","B2C")</f>
        <v>B2C</v>
      </c>
      <c r="G39" s="4">
        <f>Clients_Churn_Master[[#This Row],[Duree_Cumulee_Panne_Min]]/1440</f>
        <v>0.23958333333333334</v>
      </c>
      <c r="H39" t="s">
        <v>556</v>
      </c>
      <c r="I39">
        <v>345</v>
      </c>
      <c r="J39" s="10">
        <v>54.37</v>
      </c>
      <c r="K39">
        <v>2</v>
      </c>
      <c r="L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" s="9">
        <f>Clients_Churn_Master[[#This Row],[Remise]]*Clients_Churn_Master[[#This Row],[Facture_Mensuelle]]</f>
        <v>24.4665</v>
      </c>
    </row>
    <row r="40" spans="1:13" x14ac:dyDescent="0.25">
      <c r="A40" t="s">
        <v>1688</v>
      </c>
      <c r="B40" t="s">
        <v>597</v>
      </c>
      <c r="C40" s="7">
        <f>Clients_Churn_Master[[#This Row],[Anciennete_Mois]]/12</f>
        <v>6.833333333333333</v>
      </c>
      <c r="D40" t="s">
        <v>52</v>
      </c>
      <c r="E40">
        <v>82</v>
      </c>
      <c r="F40" t="str">
        <f>IF(Clients_Churn_Master[[#This Row],[Type_Forfait]]="Pro Monde","B2B","B2C")</f>
        <v>B2C</v>
      </c>
      <c r="G40" s="4">
        <f>Clients_Churn_Master[[#This Row],[Duree_Cumulee_Panne_Min]]/1440</f>
        <v>6.1111111111111109E-2</v>
      </c>
      <c r="H40" t="s">
        <v>564</v>
      </c>
      <c r="I40">
        <v>88</v>
      </c>
      <c r="J40" s="10">
        <v>86.64</v>
      </c>
      <c r="K40">
        <v>1</v>
      </c>
      <c r="L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" s="9">
        <f>Clients_Churn_Master[[#This Row],[Remise]]*Clients_Churn_Master[[#This Row],[Facture_Mensuelle]]</f>
        <v>0</v>
      </c>
    </row>
    <row r="41" spans="1:13" x14ac:dyDescent="0.25">
      <c r="A41" t="s">
        <v>1699</v>
      </c>
      <c r="B41" t="s">
        <v>598</v>
      </c>
      <c r="C41" s="7">
        <f>Clients_Churn_Master[[#This Row],[Anciennete_Mois]]/12</f>
        <v>3.5</v>
      </c>
      <c r="D41" t="s">
        <v>137</v>
      </c>
      <c r="E41">
        <v>42</v>
      </c>
      <c r="F41" t="str">
        <f>IF(Clients_Churn_Master[[#This Row],[Type_Forfait]]="Pro Monde","B2B","B2C")</f>
        <v>B2C</v>
      </c>
      <c r="G41" s="4">
        <f>Clients_Churn_Master[[#This Row],[Duree_Cumulee_Panne_Min]]/1440</f>
        <v>0.30277777777777776</v>
      </c>
      <c r="H41" t="s">
        <v>556</v>
      </c>
      <c r="I41">
        <v>436</v>
      </c>
      <c r="J41" s="10">
        <v>88.12</v>
      </c>
      <c r="K41">
        <v>0</v>
      </c>
      <c r="L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" s="9">
        <f>Clients_Churn_Master[[#This Row],[Remise]]*Clients_Churn_Master[[#This Row],[Facture_Mensuelle]]</f>
        <v>39.654000000000003</v>
      </c>
    </row>
    <row r="42" spans="1:13" x14ac:dyDescent="0.25">
      <c r="A42" t="s">
        <v>1691</v>
      </c>
      <c r="B42" t="s">
        <v>599</v>
      </c>
      <c r="C42" s="7">
        <f>Clients_Churn_Master[[#This Row],[Anciennete_Mois]]/12</f>
        <v>8.1666666666666661</v>
      </c>
      <c r="D42" t="s">
        <v>37</v>
      </c>
      <c r="E42">
        <v>98</v>
      </c>
      <c r="F42" t="str">
        <f>IF(Clients_Churn_Master[[#This Row],[Type_Forfait]]="Pro Monde","B2B","B2C")</f>
        <v>B2C</v>
      </c>
      <c r="G42" s="4">
        <f>Clients_Churn_Master[[#This Row],[Duree_Cumulee_Panne_Min]]/1440</f>
        <v>3.6111111111111108E-2</v>
      </c>
      <c r="H42" t="s">
        <v>556</v>
      </c>
      <c r="I42">
        <v>52</v>
      </c>
      <c r="J42" s="10">
        <v>52.82</v>
      </c>
      <c r="K42">
        <v>2</v>
      </c>
      <c r="L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2" s="9">
        <f>Clients_Churn_Master[[#This Row],[Remise]]*Clients_Churn_Master[[#This Row],[Facture_Mensuelle]]</f>
        <v>0</v>
      </c>
    </row>
    <row r="43" spans="1:13" x14ac:dyDescent="0.25">
      <c r="A43" t="s">
        <v>1697</v>
      </c>
      <c r="B43" t="s">
        <v>600</v>
      </c>
      <c r="C43" s="7">
        <f>Clients_Churn_Master[[#This Row],[Anciennete_Mois]]/12</f>
        <v>4.916666666666667</v>
      </c>
      <c r="D43" t="s">
        <v>55</v>
      </c>
      <c r="E43">
        <v>59</v>
      </c>
      <c r="F43" t="str">
        <f>IF(Clients_Churn_Master[[#This Row],[Type_Forfait]]="Pro Monde","B2B","B2C")</f>
        <v>B2C</v>
      </c>
      <c r="G43" s="4">
        <f>Clients_Churn_Master[[#This Row],[Duree_Cumulee_Panne_Min]]/1440</f>
        <v>0.31527777777777777</v>
      </c>
      <c r="H43" t="s">
        <v>560</v>
      </c>
      <c r="I43">
        <v>454</v>
      </c>
      <c r="J43" s="10">
        <v>10.47</v>
      </c>
      <c r="K43">
        <v>5</v>
      </c>
      <c r="L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" s="9">
        <f>Clients_Churn_Master[[#This Row],[Remise]]*Clients_Churn_Master[[#This Row],[Facture_Mensuelle]]</f>
        <v>4.7115</v>
      </c>
    </row>
    <row r="44" spans="1:13" x14ac:dyDescent="0.25">
      <c r="A44" t="s">
        <v>1702</v>
      </c>
      <c r="B44" t="s">
        <v>601</v>
      </c>
      <c r="C44" s="7">
        <f>Clients_Churn_Master[[#This Row],[Anciennete_Mois]]/12</f>
        <v>2.0833333333333335</v>
      </c>
      <c r="D44" t="s">
        <v>76</v>
      </c>
      <c r="E44">
        <v>25</v>
      </c>
      <c r="F44" t="str">
        <f>IF(Clients_Churn_Master[[#This Row],[Type_Forfait]]="Pro Monde","B2B","B2C")</f>
        <v>B2C</v>
      </c>
      <c r="G44" s="4">
        <f>Clients_Churn_Master[[#This Row],[Duree_Cumulee_Panne_Min]]/1440</f>
        <v>4.4444444444444446E-2</v>
      </c>
      <c r="H44" t="s">
        <v>564</v>
      </c>
      <c r="I44">
        <v>64</v>
      </c>
      <c r="J44" s="10">
        <v>38.950000000000003</v>
      </c>
      <c r="K44">
        <v>5</v>
      </c>
      <c r="L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" s="9">
        <f>Clients_Churn_Master[[#This Row],[Remise]]*Clients_Churn_Master[[#This Row],[Facture_Mensuelle]]</f>
        <v>17.527500000000003</v>
      </c>
    </row>
    <row r="45" spans="1:13" x14ac:dyDescent="0.25">
      <c r="A45" t="s">
        <v>1690</v>
      </c>
      <c r="B45" t="s">
        <v>602</v>
      </c>
      <c r="C45" s="7">
        <f>Clients_Churn_Master[[#This Row],[Anciennete_Mois]]/12</f>
        <v>3.5833333333333335</v>
      </c>
      <c r="D45" t="s">
        <v>47</v>
      </c>
      <c r="E45">
        <v>43</v>
      </c>
      <c r="F45" t="str">
        <f>IF(Clients_Churn_Master[[#This Row],[Type_Forfait]]="Pro Monde","B2B","B2C")</f>
        <v>B2C</v>
      </c>
      <c r="G45" s="4">
        <f>Clients_Churn_Master[[#This Row],[Duree_Cumulee_Panne_Min]]/1440</f>
        <v>0.33750000000000002</v>
      </c>
      <c r="H45" t="s">
        <v>564</v>
      </c>
      <c r="I45">
        <v>486</v>
      </c>
      <c r="J45" s="10">
        <v>76.42</v>
      </c>
      <c r="K45">
        <v>1</v>
      </c>
      <c r="L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" s="9">
        <f>Clients_Churn_Master[[#This Row],[Remise]]*Clients_Churn_Master[[#This Row],[Facture_Mensuelle]]</f>
        <v>34.389000000000003</v>
      </c>
    </row>
    <row r="46" spans="1:13" x14ac:dyDescent="0.25">
      <c r="A46" t="s">
        <v>1696</v>
      </c>
      <c r="B46" t="s">
        <v>603</v>
      </c>
      <c r="C46" s="7">
        <f>Clients_Churn_Master[[#This Row],[Anciennete_Mois]]/12</f>
        <v>9</v>
      </c>
      <c r="D46" t="s">
        <v>76</v>
      </c>
      <c r="E46">
        <v>108</v>
      </c>
      <c r="F46" t="str">
        <f>IF(Clients_Churn_Master[[#This Row],[Type_Forfait]]="Pro Monde","B2B","B2C")</f>
        <v>B2C</v>
      </c>
      <c r="G46" s="4">
        <f>Clients_Churn_Master[[#This Row],[Duree_Cumulee_Panne_Min]]/1440</f>
        <v>0.32430555555555557</v>
      </c>
      <c r="H46" t="s">
        <v>556</v>
      </c>
      <c r="I46">
        <v>467</v>
      </c>
      <c r="J46" s="10">
        <v>44.84</v>
      </c>
      <c r="K46">
        <v>4</v>
      </c>
      <c r="L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" s="9">
        <f>Clients_Churn_Master[[#This Row],[Remise]]*Clients_Churn_Master[[#This Row],[Facture_Mensuelle]]</f>
        <v>20.178000000000001</v>
      </c>
    </row>
    <row r="47" spans="1:13" x14ac:dyDescent="0.25">
      <c r="A47" t="s">
        <v>1697</v>
      </c>
      <c r="B47" t="s">
        <v>604</v>
      </c>
      <c r="C47" s="7">
        <f>Clients_Churn_Master[[#This Row],[Anciennete_Mois]]/12</f>
        <v>8.4166666666666661</v>
      </c>
      <c r="D47" t="s">
        <v>45</v>
      </c>
      <c r="E47">
        <v>101</v>
      </c>
      <c r="F47" t="str">
        <f>IF(Clients_Churn_Master[[#This Row],[Type_Forfait]]="Pro Monde","B2B","B2C")</f>
        <v>B2B</v>
      </c>
      <c r="G47" s="4">
        <f>Clients_Churn_Master[[#This Row],[Duree_Cumulee_Panne_Min]]/1440</f>
        <v>0.12222222222222222</v>
      </c>
      <c r="H47" t="s">
        <v>558</v>
      </c>
      <c r="I47">
        <v>176</v>
      </c>
      <c r="J47" s="10">
        <v>86</v>
      </c>
      <c r="K47">
        <v>3</v>
      </c>
      <c r="L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7" s="9">
        <f>Clients_Churn_Master[[#This Row],[Remise]]*Clients_Churn_Master[[#This Row],[Facture_Mensuelle]]</f>
        <v>8.6</v>
      </c>
    </row>
    <row r="48" spans="1:13" x14ac:dyDescent="0.25">
      <c r="A48" t="s">
        <v>1698</v>
      </c>
      <c r="B48" t="s">
        <v>605</v>
      </c>
      <c r="C48" s="7">
        <f>Clients_Churn_Master[[#This Row],[Anciennete_Mois]]/12</f>
        <v>10</v>
      </c>
      <c r="D48" t="s">
        <v>85</v>
      </c>
      <c r="E48">
        <v>120</v>
      </c>
      <c r="F48" t="str">
        <f>IF(Clients_Churn_Master[[#This Row],[Type_Forfait]]="Pro Monde","B2B","B2C")</f>
        <v>B2C</v>
      </c>
      <c r="G48" s="4">
        <f>Clients_Churn_Master[[#This Row],[Duree_Cumulee_Panne_Min]]/1440</f>
        <v>0.15555555555555556</v>
      </c>
      <c r="H48" t="s">
        <v>560</v>
      </c>
      <c r="I48">
        <v>224</v>
      </c>
      <c r="J48" s="10">
        <v>69.36</v>
      </c>
      <c r="K48">
        <v>0</v>
      </c>
      <c r="L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" s="9">
        <f>Clients_Churn_Master[[#This Row],[Remise]]*Clients_Churn_Master[[#This Row],[Facture_Mensuelle]]</f>
        <v>0</v>
      </c>
    </row>
    <row r="49" spans="1:13" x14ac:dyDescent="0.25">
      <c r="A49" t="s">
        <v>1701</v>
      </c>
      <c r="B49" t="s">
        <v>606</v>
      </c>
      <c r="C49" s="7">
        <f>Clients_Churn_Master[[#This Row],[Anciennete_Mois]]/12</f>
        <v>1.9166666666666667</v>
      </c>
      <c r="D49" t="s">
        <v>21</v>
      </c>
      <c r="E49">
        <v>23</v>
      </c>
      <c r="F49" t="str">
        <f>IF(Clients_Churn_Master[[#This Row],[Type_Forfait]]="Pro Monde","B2B","B2C")</f>
        <v>B2C</v>
      </c>
      <c r="G49" s="4">
        <f>Clients_Churn_Master[[#This Row],[Duree_Cumulee_Panne_Min]]/1440</f>
        <v>0.22569444444444445</v>
      </c>
      <c r="H49" t="s">
        <v>556</v>
      </c>
      <c r="I49">
        <v>325</v>
      </c>
      <c r="J49" s="10">
        <v>65.489999999999995</v>
      </c>
      <c r="K49">
        <v>1</v>
      </c>
      <c r="L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" s="9">
        <f>Clients_Churn_Master[[#This Row],[Remise]]*Clients_Churn_Master[[#This Row],[Facture_Mensuelle]]</f>
        <v>29.470499999999998</v>
      </c>
    </row>
    <row r="50" spans="1:13" x14ac:dyDescent="0.25">
      <c r="A50" t="s">
        <v>1690</v>
      </c>
      <c r="B50" t="s">
        <v>607</v>
      </c>
      <c r="C50" s="7">
        <f>Clients_Churn_Master[[#This Row],[Anciennete_Mois]]/12</f>
        <v>1</v>
      </c>
      <c r="D50" t="s">
        <v>45</v>
      </c>
      <c r="E50">
        <v>12</v>
      </c>
      <c r="F50" t="str">
        <f>IF(Clients_Churn_Master[[#This Row],[Type_Forfait]]="Pro Monde","B2B","B2C")</f>
        <v>B2B</v>
      </c>
      <c r="G50" s="4">
        <f>Clients_Churn_Master[[#This Row],[Duree_Cumulee_Panne_Min]]/1440</f>
        <v>8.6805555555555552E-2</v>
      </c>
      <c r="H50" t="s">
        <v>558</v>
      </c>
      <c r="I50">
        <v>125</v>
      </c>
      <c r="J50" s="10">
        <v>36.93</v>
      </c>
      <c r="K50">
        <v>0</v>
      </c>
      <c r="L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0" s="9">
        <f>Clients_Churn_Master[[#This Row],[Remise]]*Clients_Churn_Master[[#This Row],[Facture_Mensuelle]]</f>
        <v>3.6930000000000001</v>
      </c>
    </row>
    <row r="51" spans="1:13" x14ac:dyDescent="0.25">
      <c r="A51" t="s">
        <v>1700</v>
      </c>
      <c r="B51" t="s">
        <v>608</v>
      </c>
      <c r="C51" s="7">
        <f>Clients_Churn_Master[[#This Row],[Anciennete_Mois]]/12</f>
        <v>1</v>
      </c>
      <c r="D51" t="s">
        <v>24</v>
      </c>
      <c r="E51">
        <v>12</v>
      </c>
      <c r="F51" t="str">
        <f>IF(Clients_Churn_Master[[#This Row],[Type_Forfait]]="Pro Monde","B2B","B2C")</f>
        <v>B2C</v>
      </c>
      <c r="G51" s="4">
        <f>Clients_Churn_Master[[#This Row],[Duree_Cumulee_Panne_Min]]/1440</f>
        <v>7.7777777777777779E-2</v>
      </c>
      <c r="H51" t="s">
        <v>560</v>
      </c>
      <c r="I51">
        <v>112</v>
      </c>
      <c r="J51" s="10">
        <v>82.81</v>
      </c>
      <c r="K51">
        <v>0</v>
      </c>
      <c r="L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" s="9">
        <f>Clients_Churn_Master[[#This Row],[Remise]]*Clients_Churn_Master[[#This Row],[Facture_Mensuelle]]</f>
        <v>0</v>
      </c>
    </row>
    <row r="52" spans="1:13" x14ac:dyDescent="0.25">
      <c r="A52" t="s">
        <v>1689</v>
      </c>
      <c r="B52" t="s">
        <v>609</v>
      </c>
      <c r="C52" s="7">
        <f>Clients_Churn_Master[[#This Row],[Anciennete_Mois]]/12</f>
        <v>2.9166666666666665</v>
      </c>
      <c r="D52" t="s">
        <v>52</v>
      </c>
      <c r="E52">
        <v>35</v>
      </c>
      <c r="F52" t="str">
        <f>IF(Clients_Churn_Master[[#This Row],[Type_Forfait]]="Pro Monde","B2B","B2C")</f>
        <v>B2B</v>
      </c>
      <c r="G52" s="4">
        <f>Clients_Churn_Master[[#This Row],[Duree_Cumulee_Panne_Min]]/1440</f>
        <v>0.30902777777777779</v>
      </c>
      <c r="H52" t="s">
        <v>558</v>
      </c>
      <c r="I52">
        <v>445</v>
      </c>
      <c r="J52" s="10">
        <v>24.11</v>
      </c>
      <c r="K52">
        <v>2</v>
      </c>
      <c r="L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" s="9">
        <f>Clients_Churn_Master[[#This Row],[Remise]]*Clients_Churn_Master[[#This Row],[Facture_Mensuelle]]</f>
        <v>10.849500000000001</v>
      </c>
    </row>
    <row r="53" spans="1:13" x14ac:dyDescent="0.25">
      <c r="A53" t="s">
        <v>1693</v>
      </c>
      <c r="B53" t="s">
        <v>610</v>
      </c>
      <c r="C53" s="7">
        <f>Clients_Churn_Master[[#This Row],[Anciennete_Mois]]/12</f>
        <v>3.5833333333333335</v>
      </c>
      <c r="D53" t="s">
        <v>24</v>
      </c>
      <c r="E53">
        <v>43</v>
      </c>
      <c r="F53" t="str">
        <f>IF(Clients_Churn_Master[[#This Row],[Type_Forfait]]="Pro Monde","B2B","B2C")</f>
        <v>B2C</v>
      </c>
      <c r="G53" s="4">
        <f>Clients_Churn_Master[[#This Row],[Duree_Cumulee_Panne_Min]]/1440</f>
        <v>1.8749999999999999E-2</v>
      </c>
      <c r="H53" t="s">
        <v>564</v>
      </c>
      <c r="I53">
        <v>27</v>
      </c>
      <c r="J53" s="10">
        <v>31.48</v>
      </c>
      <c r="K53">
        <v>5</v>
      </c>
      <c r="L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" s="9">
        <f>Clients_Churn_Master[[#This Row],[Remise]]*Clients_Churn_Master[[#This Row],[Facture_Mensuelle]]</f>
        <v>14.166</v>
      </c>
    </row>
    <row r="54" spans="1:13" x14ac:dyDescent="0.25">
      <c r="A54" t="s">
        <v>1700</v>
      </c>
      <c r="B54" t="s">
        <v>611</v>
      </c>
      <c r="C54" s="7">
        <f>Clients_Churn_Master[[#This Row],[Anciennete_Mois]]/12</f>
        <v>6.75</v>
      </c>
      <c r="D54" t="s">
        <v>62</v>
      </c>
      <c r="E54">
        <v>81</v>
      </c>
      <c r="F54" t="str">
        <f>IF(Clients_Churn_Master[[#This Row],[Type_Forfait]]="Pro Monde","B2B","B2C")</f>
        <v>B2C</v>
      </c>
      <c r="G54" s="4">
        <f>Clients_Churn_Master[[#This Row],[Duree_Cumulee_Panne_Min]]/1440</f>
        <v>7.6388888888888886E-3</v>
      </c>
      <c r="H54" t="s">
        <v>560</v>
      </c>
      <c r="I54">
        <v>11</v>
      </c>
      <c r="J54" s="10">
        <v>41.76</v>
      </c>
      <c r="K54">
        <v>5</v>
      </c>
      <c r="L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4" s="9">
        <f>Clients_Churn_Master[[#This Row],[Remise]]*Clients_Churn_Master[[#This Row],[Facture_Mensuelle]]</f>
        <v>0</v>
      </c>
    </row>
    <row r="55" spans="1:13" x14ac:dyDescent="0.25">
      <c r="A55" t="s">
        <v>1698</v>
      </c>
      <c r="B55" t="s">
        <v>612</v>
      </c>
      <c r="C55" s="7">
        <f>Clients_Churn_Master[[#This Row],[Anciennete_Mois]]/12</f>
        <v>8.5</v>
      </c>
      <c r="D55" t="s">
        <v>49</v>
      </c>
      <c r="E55">
        <v>102</v>
      </c>
      <c r="F55" t="str">
        <f>IF(Clients_Churn_Master[[#This Row],[Type_Forfait]]="Pro Monde","B2B","B2C")</f>
        <v>B2C</v>
      </c>
      <c r="G55" s="4">
        <f>Clients_Churn_Master[[#This Row],[Duree_Cumulee_Panne_Min]]/1440</f>
        <v>0.27916666666666667</v>
      </c>
      <c r="H55" t="s">
        <v>564</v>
      </c>
      <c r="I55">
        <v>402</v>
      </c>
      <c r="J55" s="10">
        <v>28.38</v>
      </c>
      <c r="K55">
        <v>5</v>
      </c>
      <c r="L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" s="9">
        <f>Clients_Churn_Master[[#This Row],[Remise]]*Clients_Churn_Master[[#This Row],[Facture_Mensuelle]]</f>
        <v>12.770999999999999</v>
      </c>
    </row>
    <row r="56" spans="1:13" x14ac:dyDescent="0.25">
      <c r="A56" t="s">
        <v>1689</v>
      </c>
      <c r="B56" t="s">
        <v>613</v>
      </c>
      <c r="C56" s="7">
        <f>Clients_Churn_Master[[#This Row],[Anciennete_Mois]]/12</f>
        <v>7</v>
      </c>
      <c r="D56" t="s">
        <v>52</v>
      </c>
      <c r="E56">
        <v>84</v>
      </c>
      <c r="F56" t="str">
        <f>IF(Clients_Churn_Master[[#This Row],[Type_Forfait]]="Pro Monde","B2B","B2C")</f>
        <v>B2C</v>
      </c>
      <c r="G56" s="4">
        <f>Clients_Churn_Master[[#This Row],[Duree_Cumulee_Panne_Min]]/1440</f>
        <v>0.2638888888888889</v>
      </c>
      <c r="H56" t="s">
        <v>556</v>
      </c>
      <c r="I56">
        <v>380</v>
      </c>
      <c r="J56" s="10">
        <v>82.3</v>
      </c>
      <c r="K56">
        <v>1</v>
      </c>
      <c r="L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" s="9">
        <f>Clients_Churn_Master[[#This Row],[Remise]]*Clients_Churn_Master[[#This Row],[Facture_Mensuelle]]</f>
        <v>37.034999999999997</v>
      </c>
    </row>
    <row r="57" spans="1:13" x14ac:dyDescent="0.25">
      <c r="A57" t="s">
        <v>1693</v>
      </c>
      <c r="B57" t="s">
        <v>614</v>
      </c>
      <c r="C57" s="7">
        <f>Clients_Churn_Master[[#This Row],[Anciennete_Mois]]/12</f>
        <v>1.8333333333333333</v>
      </c>
      <c r="D57" t="s">
        <v>76</v>
      </c>
      <c r="E57">
        <v>22</v>
      </c>
      <c r="F57" t="str">
        <f>IF(Clients_Churn_Master[[#This Row],[Type_Forfait]]="Pro Monde","B2B","B2C")</f>
        <v>B2B</v>
      </c>
      <c r="G57" s="4">
        <f>Clients_Churn_Master[[#This Row],[Duree_Cumulee_Panne_Min]]/1440</f>
        <v>0.31736111111111109</v>
      </c>
      <c r="H57" t="s">
        <v>558</v>
      </c>
      <c r="I57">
        <v>457</v>
      </c>
      <c r="J57" s="10">
        <v>13.21</v>
      </c>
      <c r="K57">
        <v>1</v>
      </c>
      <c r="L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" s="9">
        <f>Clients_Churn_Master[[#This Row],[Remise]]*Clients_Churn_Master[[#This Row],[Facture_Mensuelle]]</f>
        <v>5.9445000000000006</v>
      </c>
    </row>
    <row r="58" spans="1:13" x14ac:dyDescent="0.25">
      <c r="A58" t="s">
        <v>1688</v>
      </c>
      <c r="B58" t="s">
        <v>615</v>
      </c>
      <c r="C58" s="7">
        <f>Clients_Churn_Master[[#This Row],[Anciennete_Mois]]/12</f>
        <v>7.583333333333333</v>
      </c>
      <c r="D58" t="s">
        <v>47</v>
      </c>
      <c r="E58">
        <v>91</v>
      </c>
      <c r="F58" t="str">
        <f>IF(Clients_Churn_Master[[#This Row],[Type_Forfait]]="Pro Monde","B2B","B2C")</f>
        <v>B2C</v>
      </c>
      <c r="G58" s="4">
        <f>Clients_Churn_Master[[#This Row],[Duree_Cumulee_Panne_Min]]/1440</f>
        <v>0.13055555555555556</v>
      </c>
      <c r="H58" t="s">
        <v>556</v>
      </c>
      <c r="I58">
        <v>188</v>
      </c>
      <c r="J58" s="10">
        <v>65.78</v>
      </c>
      <c r="K58">
        <v>4</v>
      </c>
      <c r="L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8" s="9">
        <f>Clients_Churn_Master[[#This Row],[Remise]]*Clients_Churn_Master[[#This Row],[Facture_Mensuelle]]</f>
        <v>0</v>
      </c>
    </row>
    <row r="59" spans="1:13" x14ac:dyDescent="0.25">
      <c r="A59" t="s">
        <v>1693</v>
      </c>
      <c r="B59" t="s">
        <v>616</v>
      </c>
      <c r="C59" s="7">
        <f>Clients_Churn_Master[[#This Row],[Anciennete_Mois]]/12</f>
        <v>8.3333333333333329E-2</v>
      </c>
      <c r="D59" t="s">
        <v>55</v>
      </c>
      <c r="E59">
        <v>1</v>
      </c>
      <c r="F59" t="str">
        <f>IF(Clients_Churn_Master[[#This Row],[Type_Forfait]]="Pro Monde","B2B","B2C")</f>
        <v>B2C</v>
      </c>
      <c r="G59" s="4">
        <f>Clients_Churn_Master[[#This Row],[Duree_Cumulee_Panne_Min]]/1440</f>
        <v>9.375E-2</v>
      </c>
      <c r="H59" t="s">
        <v>556</v>
      </c>
      <c r="I59">
        <v>135</v>
      </c>
      <c r="J59" s="10">
        <v>89.16</v>
      </c>
      <c r="K59">
        <v>3</v>
      </c>
      <c r="L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" s="9">
        <f>Clients_Churn_Master[[#This Row],[Remise]]*Clients_Churn_Master[[#This Row],[Facture_Mensuelle]]</f>
        <v>0</v>
      </c>
    </row>
    <row r="60" spans="1:13" x14ac:dyDescent="0.25">
      <c r="A60" t="s">
        <v>1697</v>
      </c>
      <c r="B60" t="s">
        <v>617</v>
      </c>
      <c r="C60" s="7">
        <f>Clients_Churn_Master[[#This Row],[Anciennete_Mois]]/12</f>
        <v>1.25</v>
      </c>
      <c r="D60" t="s">
        <v>32</v>
      </c>
      <c r="E60">
        <v>15</v>
      </c>
      <c r="F60" t="str">
        <f>IF(Clients_Churn_Master[[#This Row],[Type_Forfait]]="Pro Monde","B2B","B2C")</f>
        <v>B2B</v>
      </c>
      <c r="G60" s="4">
        <f>Clients_Churn_Master[[#This Row],[Duree_Cumulee_Panne_Min]]/1440</f>
        <v>0.27986111111111112</v>
      </c>
      <c r="H60" t="s">
        <v>558</v>
      </c>
      <c r="I60">
        <v>403</v>
      </c>
      <c r="J60" s="10">
        <v>77.12</v>
      </c>
      <c r="K60">
        <v>1</v>
      </c>
      <c r="L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" s="9">
        <f>Clients_Churn_Master[[#This Row],[Remise]]*Clients_Churn_Master[[#This Row],[Facture_Mensuelle]]</f>
        <v>34.704000000000001</v>
      </c>
    </row>
    <row r="61" spans="1:13" x14ac:dyDescent="0.25">
      <c r="A61" t="s">
        <v>1694</v>
      </c>
      <c r="B61" t="s">
        <v>618</v>
      </c>
      <c r="C61" s="7">
        <f>Clients_Churn_Master[[#This Row],[Anciennete_Mois]]/12</f>
        <v>4.166666666666667</v>
      </c>
      <c r="D61" t="s">
        <v>43</v>
      </c>
      <c r="E61">
        <v>50</v>
      </c>
      <c r="F61" t="str">
        <f>IF(Clients_Churn_Master[[#This Row],[Type_Forfait]]="Pro Monde","B2B","B2C")</f>
        <v>B2B</v>
      </c>
      <c r="G61" s="4">
        <f>Clients_Churn_Master[[#This Row],[Duree_Cumulee_Panne_Min]]/1440</f>
        <v>7.4999999999999997E-2</v>
      </c>
      <c r="H61" t="s">
        <v>558</v>
      </c>
      <c r="I61">
        <v>108</v>
      </c>
      <c r="J61" s="10">
        <v>43.81</v>
      </c>
      <c r="K61">
        <v>5</v>
      </c>
      <c r="L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1" s="9">
        <f>Clients_Churn_Master[[#This Row],[Remise]]*Clients_Churn_Master[[#This Row],[Facture_Mensuelle]]</f>
        <v>4.3810000000000002</v>
      </c>
    </row>
    <row r="62" spans="1:13" x14ac:dyDescent="0.25">
      <c r="A62" t="s">
        <v>1692</v>
      </c>
      <c r="B62" t="s">
        <v>619</v>
      </c>
      <c r="C62" s="7">
        <f>Clients_Churn_Master[[#This Row],[Anciennete_Mois]]/12</f>
        <v>1.5833333333333333</v>
      </c>
      <c r="D62" t="s">
        <v>24</v>
      </c>
      <c r="E62">
        <v>19</v>
      </c>
      <c r="F62" t="str">
        <f>IF(Clients_Churn_Master[[#This Row],[Type_Forfait]]="Pro Monde","B2B","B2C")</f>
        <v>B2C</v>
      </c>
      <c r="G62" s="4">
        <f>Clients_Churn_Master[[#This Row],[Duree_Cumulee_Panne_Min]]/1440</f>
        <v>0.21180555555555555</v>
      </c>
      <c r="H62" t="s">
        <v>556</v>
      </c>
      <c r="I62">
        <v>305</v>
      </c>
      <c r="J62" s="10">
        <v>81.11</v>
      </c>
      <c r="K62">
        <v>1</v>
      </c>
      <c r="L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" s="9">
        <f>Clients_Churn_Master[[#This Row],[Remise]]*Clients_Churn_Master[[#This Row],[Facture_Mensuelle]]</f>
        <v>36.499499999999998</v>
      </c>
    </row>
    <row r="63" spans="1:13" x14ac:dyDescent="0.25">
      <c r="A63" t="s">
        <v>1695</v>
      </c>
      <c r="B63" t="s">
        <v>620</v>
      </c>
      <c r="C63" s="7">
        <f>Clients_Churn_Master[[#This Row],[Anciennete_Mois]]/12</f>
        <v>4.666666666666667</v>
      </c>
      <c r="D63" t="s">
        <v>45</v>
      </c>
      <c r="E63">
        <v>56</v>
      </c>
      <c r="F63" t="str">
        <f>IF(Clients_Churn_Master[[#This Row],[Type_Forfait]]="Pro Monde","B2B","B2C")</f>
        <v>B2C</v>
      </c>
      <c r="G63" s="4">
        <f>Clients_Churn_Master[[#This Row],[Duree_Cumulee_Panne_Min]]/1440</f>
        <v>1.8749999999999999E-2</v>
      </c>
      <c r="H63" t="s">
        <v>556</v>
      </c>
      <c r="I63">
        <v>27</v>
      </c>
      <c r="J63" s="10">
        <v>46.41</v>
      </c>
      <c r="K63">
        <v>3</v>
      </c>
      <c r="L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" s="9">
        <f>Clients_Churn_Master[[#This Row],[Remise]]*Clients_Churn_Master[[#This Row],[Facture_Mensuelle]]</f>
        <v>0</v>
      </c>
    </row>
    <row r="64" spans="1:13" x14ac:dyDescent="0.25">
      <c r="A64" t="s">
        <v>1695</v>
      </c>
      <c r="B64" t="s">
        <v>621</v>
      </c>
      <c r="C64" s="7">
        <f>Clients_Churn_Master[[#This Row],[Anciennete_Mois]]/12</f>
        <v>3.25</v>
      </c>
      <c r="D64" t="s">
        <v>32</v>
      </c>
      <c r="E64">
        <v>39</v>
      </c>
      <c r="F64" t="str">
        <f>IF(Clients_Churn_Master[[#This Row],[Type_Forfait]]="Pro Monde","B2B","B2C")</f>
        <v>B2B</v>
      </c>
      <c r="G64" s="4">
        <f>Clients_Churn_Master[[#This Row],[Duree_Cumulee_Panne_Min]]/1440</f>
        <v>0.20069444444444445</v>
      </c>
      <c r="H64" t="s">
        <v>558</v>
      </c>
      <c r="I64">
        <v>289</v>
      </c>
      <c r="J64" s="10">
        <v>86.7</v>
      </c>
      <c r="K64">
        <v>3</v>
      </c>
      <c r="L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" s="9">
        <f>Clients_Churn_Master[[#This Row],[Remise]]*Clients_Churn_Master[[#This Row],[Facture_Mensuelle]]</f>
        <v>39.015000000000001</v>
      </c>
    </row>
    <row r="65" spans="1:13" x14ac:dyDescent="0.25">
      <c r="A65" t="s">
        <v>1694</v>
      </c>
      <c r="B65" t="s">
        <v>622</v>
      </c>
      <c r="C65" s="7">
        <f>Clients_Churn_Master[[#This Row],[Anciennete_Mois]]/12</f>
        <v>8.1666666666666661</v>
      </c>
      <c r="D65" t="s">
        <v>76</v>
      </c>
      <c r="E65">
        <v>98</v>
      </c>
      <c r="F65" t="str">
        <f>IF(Clients_Churn_Master[[#This Row],[Type_Forfait]]="Pro Monde","B2B","B2C")</f>
        <v>B2C</v>
      </c>
      <c r="G65" s="4">
        <f>Clients_Churn_Master[[#This Row],[Duree_Cumulee_Panne_Min]]/1440</f>
        <v>0.22152777777777777</v>
      </c>
      <c r="H65" t="s">
        <v>564</v>
      </c>
      <c r="I65">
        <v>319</v>
      </c>
      <c r="J65" s="10">
        <v>88.58</v>
      </c>
      <c r="K65">
        <v>0</v>
      </c>
      <c r="L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" s="9">
        <f>Clients_Churn_Master[[#This Row],[Remise]]*Clients_Churn_Master[[#This Row],[Facture_Mensuelle]]</f>
        <v>39.860999999999997</v>
      </c>
    </row>
    <row r="66" spans="1:13" x14ac:dyDescent="0.25">
      <c r="A66" t="s">
        <v>1690</v>
      </c>
      <c r="B66" t="s">
        <v>623</v>
      </c>
      <c r="C66" s="7">
        <f>Clients_Churn_Master[[#This Row],[Anciennete_Mois]]/12</f>
        <v>5.916666666666667</v>
      </c>
      <c r="D66" t="s">
        <v>27</v>
      </c>
      <c r="E66">
        <v>71</v>
      </c>
      <c r="F66" t="str">
        <f>IF(Clients_Churn_Master[[#This Row],[Type_Forfait]]="Pro Monde","B2B","B2C")</f>
        <v>B2C</v>
      </c>
      <c r="G66" s="4">
        <f>Clients_Churn_Master[[#This Row],[Duree_Cumulee_Panne_Min]]/1440</f>
        <v>0.13263888888888889</v>
      </c>
      <c r="H66" t="s">
        <v>564</v>
      </c>
      <c r="I66">
        <v>191</v>
      </c>
      <c r="J66" s="10">
        <v>83.04</v>
      </c>
      <c r="K66">
        <v>4</v>
      </c>
      <c r="L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6" s="9">
        <f>Clients_Churn_Master[[#This Row],[Remise]]*Clients_Churn_Master[[#This Row],[Facture_Mensuelle]]</f>
        <v>0</v>
      </c>
    </row>
    <row r="67" spans="1:13" x14ac:dyDescent="0.25">
      <c r="A67" t="s">
        <v>1697</v>
      </c>
      <c r="B67" t="s">
        <v>624</v>
      </c>
      <c r="C67" s="7">
        <f>Clients_Churn_Master[[#This Row],[Anciennete_Mois]]/12</f>
        <v>6.75</v>
      </c>
      <c r="D67" t="s">
        <v>24</v>
      </c>
      <c r="E67">
        <v>81</v>
      </c>
      <c r="F67" t="str">
        <f>IF(Clients_Churn_Master[[#This Row],[Type_Forfait]]="Pro Monde","B2B","B2C")</f>
        <v>B2B</v>
      </c>
      <c r="G67" s="4">
        <f>Clients_Churn_Master[[#This Row],[Duree_Cumulee_Panne_Min]]/1440</f>
        <v>0.10694444444444444</v>
      </c>
      <c r="H67" t="s">
        <v>558</v>
      </c>
      <c r="I67">
        <v>154</v>
      </c>
      <c r="J67" s="10">
        <v>19.47</v>
      </c>
      <c r="K67">
        <v>3</v>
      </c>
      <c r="L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7" s="9">
        <f>Clients_Churn_Master[[#This Row],[Remise]]*Clients_Churn_Master[[#This Row],[Facture_Mensuelle]]</f>
        <v>1.9470000000000001</v>
      </c>
    </row>
    <row r="68" spans="1:13" x14ac:dyDescent="0.25">
      <c r="A68" t="s">
        <v>1701</v>
      </c>
      <c r="B68" t="s">
        <v>625</v>
      </c>
      <c r="C68" s="7">
        <f>Clients_Churn_Master[[#This Row],[Anciennete_Mois]]/12</f>
        <v>2.8333333333333335</v>
      </c>
      <c r="D68" t="s">
        <v>85</v>
      </c>
      <c r="E68">
        <v>34</v>
      </c>
      <c r="F68" t="str">
        <f>IF(Clients_Churn_Master[[#This Row],[Type_Forfait]]="Pro Monde","B2B","B2C")</f>
        <v>B2C</v>
      </c>
      <c r="G68" s="4">
        <f>Clients_Churn_Master[[#This Row],[Duree_Cumulee_Panne_Min]]/1440</f>
        <v>2.4305555555555556E-2</v>
      </c>
      <c r="H68" t="s">
        <v>556</v>
      </c>
      <c r="I68">
        <v>35</v>
      </c>
      <c r="J68" s="10">
        <v>76.86</v>
      </c>
      <c r="K68">
        <v>1</v>
      </c>
      <c r="L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8" s="9">
        <f>Clients_Churn_Master[[#This Row],[Remise]]*Clients_Churn_Master[[#This Row],[Facture_Mensuelle]]</f>
        <v>0</v>
      </c>
    </row>
    <row r="69" spans="1:13" x14ac:dyDescent="0.25">
      <c r="A69" t="s">
        <v>1700</v>
      </c>
      <c r="B69" t="s">
        <v>626</v>
      </c>
      <c r="C69" s="7">
        <f>Clients_Churn_Master[[#This Row],[Anciennete_Mois]]/12</f>
        <v>4.583333333333333</v>
      </c>
      <c r="D69" t="s">
        <v>85</v>
      </c>
      <c r="E69">
        <v>55</v>
      </c>
      <c r="F69" t="str">
        <f>IF(Clients_Churn_Master[[#This Row],[Type_Forfait]]="Pro Monde","B2B","B2C")</f>
        <v>B2C</v>
      </c>
      <c r="G69" s="4">
        <f>Clients_Churn_Master[[#This Row],[Duree_Cumulee_Panne_Min]]/1440</f>
        <v>4.1666666666666664E-2</v>
      </c>
      <c r="H69" t="s">
        <v>560</v>
      </c>
      <c r="I69">
        <v>60</v>
      </c>
      <c r="J69" s="10">
        <v>32.51</v>
      </c>
      <c r="K69">
        <v>4</v>
      </c>
      <c r="L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" s="9">
        <f>Clients_Churn_Master[[#This Row],[Remise]]*Clients_Churn_Master[[#This Row],[Facture_Mensuelle]]</f>
        <v>0</v>
      </c>
    </row>
    <row r="70" spans="1:13" x14ac:dyDescent="0.25">
      <c r="A70" t="s">
        <v>1699</v>
      </c>
      <c r="B70" t="s">
        <v>627</v>
      </c>
      <c r="C70" s="7">
        <f>Clients_Churn_Master[[#This Row],[Anciennete_Mois]]/12</f>
        <v>3.9166666666666665</v>
      </c>
      <c r="D70" t="s">
        <v>21</v>
      </c>
      <c r="E70">
        <v>47</v>
      </c>
      <c r="F70" t="str">
        <f>IF(Clients_Churn_Master[[#This Row],[Type_Forfait]]="Pro Monde","B2B","B2C")</f>
        <v>B2B</v>
      </c>
      <c r="G70" s="4">
        <f>Clients_Churn_Master[[#This Row],[Duree_Cumulee_Panne_Min]]/1440</f>
        <v>7.4305555555555555E-2</v>
      </c>
      <c r="H70" t="s">
        <v>558</v>
      </c>
      <c r="I70">
        <v>107</v>
      </c>
      <c r="J70" s="10">
        <v>35.380000000000003</v>
      </c>
      <c r="K70">
        <v>1</v>
      </c>
      <c r="L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0" s="9">
        <f>Clients_Churn_Master[[#This Row],[Remise]]*Clients_Churn_Master[[#This Row],[Facture_Mensuelle]]</f>
        <v>3.5380000000000003</v>
      </c>
    </row>
    <row r="71" spans="1:13" x14ac:dyDescent="0.25">
      <c r="A71" t="s">
        <v>1689</v>
      </c>
      <c r="B71" t="s">
        <v>628</v>
      </c>
      <c r="C71" s="7">
        <f>Clients_Churn_Master[[#This Row],[Anciennete_Mois]]/12</f>
        <v>4</v>
      </c>
      <c r="D71" t="s">
        <v>34</v>
      </c>
      <c r="E71">
        <v>48</v>
      </c>
      <c r="F71" t="str">
        <f>IF(Clients_Churn_Master[[#This Row],[Type_Forfait]]="Pro Monde","B2B","B2C")</f>
        <v>B2C</v>
      </c>
      <c r="G71" s="4">
        <f>Clients_Churn_Master[[#This Row],[Duree_Cumulee_Panne_Min]]/1440</f>
        <v>0.12986111111111112</v>
      </c>
      <c r="H71" t="s">
        <v>560</v>
      </c>
      <c r="I71">
        <v>187</v>
      </c>
      <c r="J71" s="10">
        <v>21.26</v>
      </c>
      <c r="K71">
        <v>2</v>
      </c>
      <c r="L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" s="9">
        <f>Clients_Churn_Master[[#This Row],[Remise]]*Clients_Churn_Master[[#This Row],[Facture_Mensuelle]]</f>
        <v>0</v>
      </c>
    </row>
    <row r="72" spans="1:13" x14ac:dyDescent="0.25">
      <c r="A72" t="s">
        <v>1690</v>
      </c>
      <c r="B72" t="s">
        <v>629</v>
      </c>
      <c r="C72" s="7">
        <f>Clients_Churn_Master[[#This Row],[Anciennete_Mois]]/12</f>
        <v>3.9166666666666665</v>
      </c>
      <c r="D72" t="s">
        <v>34</v>
      </c>
      <c r="E72">
        <v>47</v>
      </c>
      <c r="F72" t="str">
        <f>IF(Clients_Churn_Master[[#This Row],[Type_Forfait]]="Pro Monde","B2B","B2C")</f>
        <v>B2B</v>
      </c>
      <c r="G72" s="4">
        <f>Clients_Churn_Master[[#This Row],[Duree_Cumulee_Panne_Min]]/1440</f>
        <v>0.26250000000000001</v>
      </c>
      <c r="H72" t="s">
        <v>558</v>
      </c>
      <c r="I72">
        <v>378</v>
      </c>
      <c r="J72" s="10">
        <v>36.42</v>
      </c>
      <c r="K72">
        <v>1</v>
      </c>
      <c r="L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" s="9">
        <f>Clients_Churn_Master[[#This Row],[Remise]]*Clients_Churn_Master[[#This Row],[Facture_Mensuelle]]</f>
        <v>16.389000000000003</v>
      </c>
    </row>
    <row r="73" spans="1:13" x14ac:dyDescent="0.25">
      <c r="A73" t="s">
        <v>1701</v>
      </c>
      <c r="B73" t="s">
        <v>630</v>
      </c>
      <c r="C73" s="7">
        <f>Clients_Churn_Master[[#This Row],[Anciennete_Mois]]/12</f>
        <v>9.0833333333333339</v>
      </c>
      <c r="D73" t="s">
        <v>133</v>
      </c>
      <c r="E73">
        <v>109</v>
      </c>
      <c r="F73" t="str">
        <f>IF(Clients_Churn_Master[[#This Row],[Type_Forfait]]="Pro Monde","B2B","B2C")</f>
        <v>B2C</v>
      </c>
      <c r="G73" s="4">
        <f>Clients_Churn_Master[[#This Row],[Duree_Cumulee_Panne_Min]]/1440</f>
        <v>5.8333333333333334E-2</v>
      </c>
      <c r="H73" t="s">
        <v>560</v>
      </c>
      <c r="I73">
        <v>84</v>
      </c>
      <c r="J73" s="10">
        <v>97.46</v>
      </c>
      <c r="K73">
        <v>5</v>
      </c>
      <c r="L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3" s="9">
        <f>Clients_Churn_Master[[#This Row],[Remise]]*Clients_Churn_Master[[#This Row],[Facture_Mensuelle]]</f>
        <v>0</v>
      </c>
    </row>
    <row r="74" spans="1:13" x14ac:dyDescent="0.25">
      <c r="A74" t="s">
        <v>1698</v>
      </c>
      <c r="B74" t="s">
        <v>631</v>
      </c>
      <c r="C74" s="7">
        <f>Clients_Churn_Master[[#This Row],[Anciennete_Mois]]/12</f>
        <v>3.3333333333333335</v>
      </c>
      <c r="D74" t="s">
        <v>55</v>
      </c>
      <c r="E74">
        <v>40</v>
      </c>
      <c r="F74" t="str">
        <f>IF(Clients_Churn_Master[[#This Row],[Type_Forfait]]="Pro Monde","B2B","B2C")</f>
        <v>B2C</v>
      </c>
      <c r="G74" s="4">
        <f>Clients_Churn_Master[[#This Row],[Duree_Cumulee_Panne_Min]]/1440</f>
        <v>0.15208333333333332</v>
      </c>
      <c r="H74" t="s">
        <v>560</v>
      </c>
      <c r="I74">
        <v>219</v>
      </c>
      <c r="J74" s="10">
        <v>53.98</v>
      </c>
      <c r="K74">
        <v>2</v>
      </c>
      <c r="L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4" s="9">
        <f>Clients_Churn_Master[[#This Row],[Remise]]*Clients_Churn_Master[[#This Row],[Facture_Mensuelle]]</f>
        <v>0</v>
      </c>
    </row>
    <row r="75" spans="1:13" x14ac:dyDescent="0.25">
      <c r="A75" t="s">
        <v>1695</v>
      </c>
      <c r="B75" t="s">
        <v>632</v>
      </c>
      <c r="C75" s="7">
        <f>Clients_Churn_Master[[#This Row],[Anciennete_Mois]]/12</f>
        <v>4.666666666666667</v>
      </c>
      <c r="D75" t="s">
        <v>30</v>
      </c>
      <c r="E75">
        <v>56</v>
      </c>
      <c r="F75" t="str">
        <f>IF(Clients_Churn_Master[[#This Row],[Type_Forfait]]="Pro Monde","B2B","B2C")</f>
        <v>B2C</v>
      </c>
      <c r="G75" s="4">
        <f>Clients_Churn_Master[[#This Row],[Duree_Cumulee_Panne_Min]]/1440</f>
        <v>0.25486111111111109</v>
      </c>
      <c r="H75" t="s">
        <v>560</v>
      </c>
      <c r="I75">
        <v>367</v>
      </c>
      <c r="J75" s="10">
        <v>72.790000000000006</v>
      </c>
      <c r="K75">
        <v>1</v>
      </c>
      <c r="L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5" s="9">
        <f>Clients_Churn_Master[[#This Row],[Remise]]*Clients_Churn_Master[[#This Row],[Facture_Mensuelle]]</f>
        <v>32.755500000000005</v>
      </c>
    </row>
    <row r="76" spans="1:13" x14ac:dyDescent="0.25">
      <c r="A76" t="s">
        <v>1689</v>
      </c>
      <c r="B76" t="s">
        <v>633</v>
      </c>
      <c r="C76" s="7">
        <f>Clients_Churn_Master[[#This Row],[Anciennete_Mois]]/12</f>
        <v>9.25</v>
      </c>
      <c r="D76" t="s">
        <v>13</v>
      </c>
      <c r="E76">
        <v>111</v>
      </c>
      <c r="F76" t="str">
        <f>IF(Clients_Churn_Master[[#This Row],[Type_Forfait]]="Pro Monde","B2B","B2C")</f>
        <v>B2C</v>
      </c>
      <c r="G76" s="4">
        <f>Clients_Churn_Master[[#This Row],[Duree_Cumulee_Panne_Min]]/1440</f>
        <v>5.2777777777777778E-2</v>
      </c>
      <c r="H76" t="s">
        <v>556</v>
      </c>
      <c r="I76">
        <v>76</v>
      </c>
      <c r="J76" s="10">
        <v>38.19</v>
      </c>
      <c r="K76">
        <v>5</v>
      </c>
      <c r="L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6" s="9">
        <f>Clients_Churn_Master[[#This Row],[Remise]]*Clients_Churn_Master[[#This Row],[Facture_Mensuelle]]</f>
        <v>0</v>
      </c>
    </row>
    <row r="77" spans="1:13" x14ac:dyDescent="0.25">
      <c r="A77" t="s">
        <v>1702</v>
      </c>
      <c r="B77" t="s">
        <v>634</v>
      </c>
      <c r="C77" s="7">
        <f>Clients_Churn_Master[[#This Row],[Anciennete_Mois]]/12</f>
        <v>8.25</v>
      </c>
      <c r="D77" t="s">
        <v>133</v>
      </c>
      <c r="E77">
        <v>99</v>
      </c>
      <c r="F77" t="str">
        <f>IF(Clients_Churn_Master[[#This Row],[Type_Forfait]]="Pro Monde","B2B","B2C")</f>
        <v>B2C</v>
      </c>
      <c r="G77" s="4">
        <f>Clients_Churn_Master[[#This Row],[Duree_Cumulee_Panne_Min]]/1440</f>
        <v>0.34236111111111112</v>
      </c>
      <c r="H77" t="s">
        <v>560</v>
      </c>
      <c r="I77">
        <v>493</v>
      </c>
      <c r="J77" s="10">
        <v>55.43</v>
      </c>
      <c r="K77">
        <v>2</v>
      </c>
      <c r="L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7" s="9">
        <f>Clients_Churn_Master[[#This Row],[Remise]]*Clients_Churn_Master[[#This Row],[Facture_Mensuelle]]</f>
        <v>24.9435</v>
      </c>
    </row>
    <row r="78" spans="1:13" x14ac:dyDescent="0.25">
      <c r="A78" t="s">
        <v>1700</v>
      </c>
      <c r="B78" t="s">
        <v>635</v>
      </c>
      <c r="C78" s="7">
        <f>Clients_Churn_Master[[#This Row],[Anciennete_Mois]]/12</f>
        <v>4.666666666666667</v>
      </c>
      <c r="D78" t="s">
        <v>37</v>
      </c>
      <c r="E78">
        <v>56</v>
      </c>
      <c r="F78" t="str">
        <f>IF(Clients_Churn_Master[[#This Row],[Type_Forfait]]="Pro Monde","B2B","B2C")</f>
        <v>B2C</v>
      </c>
      <c r="G78" s="4">
        <f>Clients_Churn_Master[[#This Row],[Duree_Cumulee_Panne_Min]]/1440</f>
        <v>0.24583333333333332</v>
      </c>
      <c r="H78" t="s">
        <v>564</v>
      </c>
      <c r="I78">
        <v>354</v>
      </c>
      <c r="J78" s="10">
        <v>32.08</v>
      </c>
      <c r="K78">
        <v>1</v>
      </c>
      <c r="L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8" s="9">
        <f>Clients_Churn_Master[[#This Row],[Remise]]*Clients_Churn_Master[[#This Row],[Facture_Mensuelle]]</f>
        <v>14.436</v>
      </c>
    </row>
    <row r="79" spans="1:13" x14ac:dyDescent="0.25">
      <c r="A79" t="s">
        <v>1688</v>
      </c>
      <c r="B79" t="s">
        <v>636</v>
      </c>
      <c r="C79" s="7">
        <f>Clients_Churn_Master[[#This Row],[Anciennete_Mois]]/12</f>
        <v>9.8333333333333339</v>
      </c>
      <c r="D79" t="s">
        <v>45</v>
      </c>
      <c r="E79">
        <v>118</v>
      </c>
      <c r="F79" t="str">
        <f>IF(Clients_Churn_Master[[#This Row],[Type_Forfait]]="Pro Monde","B2B","B2C")</f>
        <v>B2B</v>
      </c>
      <c r="G79" s="4">
        <f>Clients_Churn_Master[[#This Row],[Duree_Cumulee_Panne_Min]]/1440</f>
        <v>1.5277777777777777E-2</v>
      </c>
      <c r="H79" t="s">
        <v>558</v>
      </c>
      <c r="I79">
        <v>22</v>
      </c>
      <c r="J79" s="10">
        <v>15.39</v>
      </c>
      <c r="K79">
        <v>1</v>
      </c>
      <c r="L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9" s="9">
        <f>Clients_Churn_Master[[#This Row],[Remise]]*Clients_Churn_Master[[#This Row],[Facture_Mensuelle]]</f>
        <v>1.5390000000000001</v>
      </c>
    </row>
    <row r="80" spans="1:13" x14ac:dyDescent="0.25">
      <c r="A80" t="s">
        <v>1702</v>
      </c>
      <c r="B80" t="s">
        <v>637</v>
      </c>
      <c r="C80" s="7">
        <f>Clients_Churn_Master[[#This Row],[Anciennete_Mois]]/12</f>
        <v>4.916666666666667</v>
      </c>
      <c r="D80" t="s">
        <v>41</v>
      </c>
      <c r="E80">
        <v>59</v>
      </c>
      <c r="F80" t="str">
        <f>IF(Clients_Churn_Master[[#This Row],[Type_Forfait]]="Pro Monde","B2B","B2C")</f>
        <v>B2C</v>
      </c>
      <c r="G80" s="4">
        <f>Clients_Churn_Master[[#This Row],[Duree_Cumulee_Panne_Min]]/1440</f>
        <v>0.13333333333333333</v>
      </c>
      <c r="H80" t="s">
        <v>560</v>
      </c>
      <c r="I80">
        <v>192</v>
      </c>
      <c r="J80" s="10">
        <v>86.17</v>
      </c>
      <c r="K80">
        <v>1</v>
      </c>
      <c r="L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80" s="9">
        <f>Clients_Churn_Master[[#This Row],[Remise]]*Clients_Churn_Master[[#This Row],[Facture_Mensuelle]]</f>
        <v>0</v>
      </c>
    </row>
    <row r="81" spans="1:13" x14ac:dyDescent="0.25">
      <c r="A81" t="s">
        <v>1699</v>
      </c>
      <c r="B81" t="s">
        <v>638</v>
      </c>
      <c r="C81" s="7">
        <f>Clients_Churn_Master[[#This Row],[Anciennete_Mois]]/12</f>
        <v>1.4166666666666667</v>
      </c>
      <c r="D81" t="s">
        <v>52</v>
      </c>
      <c r="E81">
        <v>17</v>
      </c>
      <c r="F81" t="str">
        <f>IF(Clients_Churn_Master[[#This Row],[Type_Forfait]]="Pro Monde","B2B","B2C")</f>
        <v>B2C</v>
      </c>
      <c r="G81" s="4">
        <f>Clients_Churn_Master[[#This Row],[Duree_Cumulee_Panne_Min]]/1440</f>
        <v>0.28055555555555556</v>
      </c>
      <c r="H81" t="s">
        <v>556</v>
      </c>
      <c r="I81">
        <v>404</v>
      </c>
      <c r="J81" s="10">
        <v>83.4</v>
      </c>
      <c r="K81">
        <v>1</v>
      </c>
      <c r="L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1" s="9">
        <f>Clients_Churn_Master[[#This Row],[Remise]]*Clients_Churn_Master[[#This Row],[Facture_Mensuelle]]</f>
        <v>37.53</v>
      </c>
    </row>
    <row r="82" spans="1:13" x14ac:dyDescent="0.25">
      <c r="A82" t="s">
        <v>1691</v>
      </c>
      <c r="B82" t="s">
        <v>639</v>
      </c>
      <c r="C82" s="7">
        <f>Clients_Churn_Master[[#This Row],[Anciennete_Mois]]/12</f>
        <v>5.75</v>
      </c>
      <c r="D82" t="s">
        <v>17</v>
      </c>
      <c r="E82">
        <v>69</v>
      </c>
      <c r="F82" t="str">
        <f>IF(Clients_Churn_Master[[#This Row],[Type_Forfait]]="Pro Monde","B2B","B2C")</f>
        <v>B2C</v>
      </c>
      <c r="G82" s="4">
        <f>Clients_Churn_Master[[#This Row],[Duree_Cumulee_Panne_Min]]/1440</f>
        <v>0.21249999999999999</v>
      </c>
      <c r="H82" t="s">
        <v>556</v>
      </c>
      <c r="I82">
        <v>306</v>
      </c>
      <c r="J82" s="10">
        <v>13.97</v>
      </c>
      <c r="K82">
        <v>1</v>
      </c>
      <c r="L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2" s="9">
        <f>Clients_Churn_Master[[#This Row],[Remise]]*Clients_Churn_Master[[#This Row],[Facture_Mensuelle]]</f>
        <v>6.2865000000000002</v>
      </c>
    </row>
    <row r="83" spans="1:13" x14ac:dyDescent="0.25">
      <c r="A83" t="s">
        <v>1693</v>
      </c>
      <c r="B83" t="s">
        <v>640</v>
      </c>
      <c r="C83" s="7">
        <f>Clients_Churn_Master[[#This Row],[Anciennete_Mois]]/12</f>
        <v>7.75</v>
      </c>
      <c r="D83" t="s">
        <v>49</v>
      </c>
      <c r="E83">
        <v>93</v>
      </c>
      <c r="F83" t="str">
        <f>IF(Clients_Churn_Master[[#This Row],[Type_Forfait]]="Pro Monde","B2B","B2C")</f>
        <v>B2C</v>
      </c>
      <c r="G83" s="4">
        <f>Clients_Churn_Master[[#This Row],[Duree_Cumulee_Panne_Min]]/1440</f>
        <v>9.4444444444444442E-2</v>
      </c>
      <c r="H83" t="s">
        <v>564</v>
      </c>
      <c r="I83">
        <v>136</v>
      </c>
      <c r="J83" s="10">
        <v>19.09</v>
      </c>
      <c r="K83">
        <v>1</v>
      </c>
      <c r="L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83" s="9">
        <f>Clients_Churn_Master[[#This Row],[Remise]]*Clients_Churn_Master[[#This Row],[Facture_Mensuelle]]</f>
        <v>0</v>
      </c>
    </row>
    <row r="84" spans="1:13" x14ac:dyDescent="0.25">
      <c r="A84" t="s">
        <v>1699</v>
      </c>
      <c r="B84" t="s">
        <v>641</v>
      </c>
      <c r="C84" s="7">
        <f>Clients_Churn_Master[[#This Row],[Anciennete_Mois]]/12</f>
        <v>3.5833333333333335</v>
      </c>
      <c r="D84" t="s">
        <v>32</v>
      </c>
      <c r="E84">
        <v>43</v>
      </c>
      <c r="F84" t="str">
        <f>IF(Clients_Churn_Master[[#This Row],[Type_Forfait]]="Pro Monde","B2B","B2C")</f>
        <v>B2C</v>
      </c>
      <c r="G84" s="4">
        <f>Clients_Churn_Master[[#This Row],[Duree_Cumulee_Panne_Min]]/1440</f>
        <v>1.3888888888888888E-2</v>
      </c>
      <c r="H84" t="s">
        <v>556</v>
      </c>
      <c r="I84">
        <v>20</v>
      </c>
      <c r="J84" s="10">
        <v>66.680000000000007</v>
      </c>
      <c r="K84">
        <v>5</v>
      </c>
      <c r="L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84" s="9">
        <f>Clients_Churn_Master[[#This Row],[Remise]]*Clients_Churn_Master[[#This Row],[Facture_Mensuelle]]</f>
        <v>0</v>
      </c>
    </row>
    <row r="85" spans="1:13" x14ac:dyDescent="0.25">
      <c r="A85" t="s">
        <v>1693</v>
      </c>
      <c r="B85" t="s">
        <v>642</v>
      </c>
      <c r="C85" s="7">
        <f>Clients_Churn_Master[[#This Row],[Anciennete_Mois]]/12</f>
        <v>9.9166666666666661</v>
      </c>
      <c r="D85" t="s">
        <v>137</v>
      </c>
      <c r="E85">
        <v>119</v>
      </c>
      <c r="F85" t="str">
        <f>IF(Clients_Churn_Master[[#This Row],[Type_Forfait]]="Pro Monde","B2B","B2C")</f>
        <v>B2C</v>
      </c>
      <c r="G85" s="4">
        <f>Clients_Churn_Master[[#This Row],[Duree_Cumulee_Panne_Min]]/1440</f>
        <v>0.3298611111111111</v>
      </c>
      <c r="H85" t="s">
        <v>560</v>
      </c>
      <c r="I85">
        <v>475</v>
      </c>
      <c r="J85" s="10">
        <v>25.98</v>
      </c>
      <c r="K85">
        <v>4</v>
      </c>
      <c r="L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5" s="9">
        <f>Clients_Churn_Master[[#This Row],[Remise]]*Clients_Churn_Master[[#This Row],[Facture_Mensuelle]]</f>
        <v>11.691000000000001</v>
      </c>
    </row>
    <row r="86" spans="1:13" x14ac:dyDescent="0.25">
      <c r="A86" t="s">
        <v>1690</v>
      </c>
      <c r="B86" t="s">
        <v>643</v>
      </c>
      <c r="C86" s="7">
        <f>Clients_Churn_Master[[#This Row],[Anciennete_Mois]]/12</f>
        <v>3.4166666666666665</v>
      </c>
      <c r="D86" t="s">
        <v>13</v>
      </c>
      <c r="E86">
        <v>41</v>
      </c>
      <c r="F86" t="str">
        <f>IF(Clients_Churn_Master[[#This Row],[Type_Forfait]]="Pro Monde","B2B","B2C")</f>
        <v>B2C</v>
      </c>
      <c r="G86" s="4">
        <f>Clients_Churn_Master[[#This Row],[Duree_Cumulee_Panne_Min]]/1440</f>
        <v>0.2951388888888889</v>
      </c>
      <c r="H86" t="s">
        <v>556</v>
      </c>
      <c r="I86">
        <v>425</v>
      </c>
      <c r="J86" s="10">
        <v>42.33</v>
      </c>
      <c r="K86">
        <v>3</v>
      </c>
      <c r="L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6" s="9">
        <f>Clients_Churn_Master[[#This Row],[Remise]]*Clients_Churn_Master[[#This Row],[Facture_Mensuelle]]</f>
        <v>19.048500000000001</v>
      </c>
    </row>
    <row r="87" spans="1:13" x14ac:dyDescent="0.25">
      <c r="A87" t="s">
        <v>1694</v>
      </c>
      <c r="B87" t="s">
        <v>644</v>
      </c>
      <c r="C87" s="7">
        <f>Clients_Churn_Master[[#This Row],[Anciennete_Mois]]/12</f>
        <v>4.166666666666667</v>
      </c>
      <c r="D87" t="s">
        <v>17</v>
      </c>
      <c r="E87">
        <v>50</v>
      </c>
      <c r="F87" t="str">
        <f>IF(Clients_Churn_Master[[#This Row],[Type_Forfait]]="Pro Monde","B2B","B2C")</f>
        <v>B2C</v>
      </c>
      <c r="G87" s="4">
        <f>Clients_Churn_Master[[#This Row],[Duree_Cumulee_Panne_Min]]/1440</f>
        <v>0.17222222222222222</v>
      </c>
      <c r="H87" t="s">
        <v>556</v>
      </c>
      <c r="I87">
        <v>248</v>
      </c>
      <c r="J87" s="10">
        <v>69.42</v>
      </c>
      <c r="K87">
        <v>0</v>
      </c>
      <c r="L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7" s="9">
        <f>Clients_Churn_Master[[#This Row],[Remise]]*Clients_Churn_Master[[#This Row],[Facture_Mensuelle]]</f>
        <v>31.239000000000001</v>
      </c>
    </row>
    <row r="88" spans="1:13" x14ac:dyDescent="0.25">
      <c r="A88" t="s">
        <v>1694</v>
      </c>
      <c r="B88" t="s">
        <v>645</v>
      </c>
      <c r="C88" s="7">
        <f>Clients_Churn_Master[[#This Row],[Anciennete_Mois]]/12</f>
        <v>3.9166666666666665</v>
      </c>
      <c r="D88" t="s">
        <v>41</v>
      </c>
      <c r="E88">
        <v>47</v>
      </c>
      <c r="F88" t="str">
        <f>IF(Clients_Churn_Master[[#This Row],[Type_Forfait]]="Pro Monde","B2B","B2C")</f>
        <v>B2C</v>
      </c>
      <c r="G88" s="4">
        <f>Clients_Churn_Master[[#This Row],[Duree_Cumulee_Panne_Min]]/1440</f>
        <v>0.2361111111111111</v>
      </c>
      <c r="H88" t="s">
        <v>560</v>
      </c>
      <c r="I88">
        <v>340</v>
      </c>
      <c r="J88" s="10">
        <v>31.02</v>
      </c>
      <c r="K88">
        <v>5</v>
      </c>
      <c r="L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8" s="9">
        <f>Clients_Churn_Master[[#This Row],[Remise]]*Clients_Churn_Master[[#This Row],[Facture_Mensuelle]]</f>
        <v>13.959</v>
      </c>
    </row>
    <row r="89" spans="1:13" x14ac:dyDescent="0.25">
      <c r="A89" t="s">
        <v>1701</v>
      </c>
      <c r="B89" t="s">
        <v>646</v>
      </c>
      <c r="C89" s="7">
        <f>Clients_Churn_Master[[#This Row],[Anciennete_Mois]]/12</f>
        <v>4.333333333333333</v>
      </c>
      <c r="D89" t="s">
        <v>96</v>
      </c>
      <c r="E89">
        <v>52</v>
      </c>
      <c r="F89" t="str">
        <f>IF(Clients_Churn_Master[[#This Row],[Type_Forfait]]="Pro Monde","B2B","B2C")</f>
        <v>B2C</v>
      </c>
      <c r="G89" s="4">
        <f>Clients_Churn_Master[[#This Row],[Duree_Cumulee_Panne_Min]]/1440</f>
        <v>0.2951388888888889</v>
      </c>
      <c r="H89" t="s">
        <v>564</v>
      </c>
      <c r="I89">
        <v>425</v>
      </c>
      <c r="J89" s="10">
        <v>97.25</v>
      </c>
      <c r="K89">
        <v>0</v>
      </c>
      <c r="L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9" s="9">
        <f>Clients_Churn_Master[[#This Row],[Remise]]*Clients_Churn_Master[[#This Row],[Facture_Mensuelle]]</f>
        <v>43.762500000000003</v>
      </c>
    </row>
    <row r="90" spans="1:13" x14ac:dyDescent="0.25">
      <c r="A90" t="s">
        <v>1702</v>
      </c>
      <c r="B90" t="s">
        <v>647</v>
      </c>
      <c r="C90" s="7">
        <f>Clients_Churn_Master[[#This Row],[Anciennete_Mois]]/12</f>
        <v>1.6666666666666667</v>
      </c>
      <c r="D90" t="s">
        <v>76</v>
      </c>
      <c r="E90">
        <v>20</v>
      </c>
      <c r="F90" t="str">
        <f>IF(Clients_Churn_Master[[#This Row],[Type_Forfait]]="Pro Monde","B2B","B2C")</f>
        <v>B2C</v>
      </c>
      <c r="G90" s="4">
        <f>Clients_Churn_Master[[#This Row],[Duree_Cumulee_Panne_Min]]/1440</f>
        <v>1.8055555555555554E-2</v>
      </c>
      <c r="H90" t="s">
        <v>556</v>
      </c>
      <c r="I90">
        <v>26</v>
      </c>
      <c r="J90" s="10">
        <v>25.14</v>
      </c>
      <c r="K90">
        <v>0</v>
      </c>
      <c r="L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0" s="9">
        <f>Clients_Churn_Master[[#This Row],[Remise]]*Clients_Churn_Master[[#This Row],[Facture_Mensuelle]]</f>
        <v>0</v>
      </c>
    </row>
    <row r="91" spans="1:13" x14ac:dyDescent="0.25">
      <c r="A91" t="s">
        <v>1691</v>
      </c>
      <c r="B91" t="s">
        <v>648</v>
      </c>
      <c r="C91" s="7">
        <f>Clients_Churn_Master[[#This Row],[Anciennete_Mois]]/12</f>
        <v>3.5833333333333335</v>
      </c>
      <c r="D91" t="s">
        <v>21</v>
      </c>
      <c r="E91">
        <v>43</v>
      </c>
      <c r="F91" t="str">
        <f>IF(Clients_Churn_Master[[#This Row],[Type_Forfait]]="Pro Monde","B2B","B2C")</f>
        <v>B2C</v>
      </c>
      <c r="G91" s="4">
        <f>Clients_Churn_Master[[#This Row],[Duree_Cumulee_Panne_Min]]/1440</f>
        <v>0.12569444444444444</v>
      </c>
      <c r="H91" t="s">
        <v>556</v>
      </c>
      <c r="I91">
        <v>181</v>
      </c>
      <c r="J91" s="10">
        <v>72.39</v>
      </c>
      <c r="K91">
        <v>2</v>
      </c>
      <c r="L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1" s="9">
        <f>Clients_Churn_Master[[#This Row],[Remise]]*Clients_Churn_Master[[#This Row],[Facture_Mensuelle]]</f>
        <v>0</v>
      </c>
    </row>
    <row r="92" spans="1:13" x14ac:dyDescent="0.25">
      <c r="A92" t="s">
        <v>1702</v>
      </c>
      <c r="B92" t="s">
        <v>649</v>
      </c>
      <c r="C92" s="7">
        <f>Clients_Churn_Master[[#This Row],[Anciennete_Mois]]/12</f>
        <v>3.6666666666666665</v>
      </c>
      <c r="D92" t="s">
        <v>62</v>
      </c>
      <c r="E92">
        <v>44</v>
      </c>
      <c r="F92" t="str">
        <f>IF(Clients_Churn_Master[[#This Row],[Type_Forfait]]="Pro Monde","B2B","B2C")</f>
        <v>B2B</v>
      </c>
      <c r="G92" s="4">
        <f>Clients_Churn_Master[[#This Row],[Duree_Cumulee_Panne_Min]]/1440</f>
        <v>9.5138888888888884E-2</v>
      </c>
      <c r="H92" t="s">
        <v>558</v>
      </c>
      <c r="I92">
        <v>137</v>
      </c>
      <c r="J92" s="10">
        <v>32.58</v>
      </c>
      <c r="K92">
        <v>0</v>
      </c>
      <c r="L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92" s="9">
        <f>Clients_Churn_Master[[#This Row],[Remise]]*Clients_Churn_Master[[#This Row],[Facture_Mensuelle]]</f>
        <v>3.258</v>
      </c>
    </row>
    <row r="93" spans="1:13" x14ac:dyDescent="0.25">
      <c r="A93" t="s">
        <v>1699</v>
      </c>
      <c r="B93" t="s">
        <v>650</v>
      </c>
      <c r="C93" s="7">
        <f>Clients_Churn_Master[[#This Row],[Anciennete_Mois]]/12</f>
        <v>7.916666666666667</v>
      </c>
      <c r="D93" t="s">
        <v>55</v>
      </c>
      <c r="E93">
        <v>95</v>
      </c>
      <c r="F93" t="str">
        <f>IF(Clients_Churn_Master[[#This Row],[Type_Forfait]]="Pro Monde","B2B","B2C")</f>
        <v>B2B</v>
      </c>
      <c r="G93" s="4">
        <f>Clients_Churn_Master[[#This Row],[Duree_Cumulee_Panne_Min]]/1440</f>
        <v>8.819444444444445E-2</v>
      </c>
      <c r="H93" t="s">
        <v>558</v>
      </c>
      <c r="I93">
        <v>127</v>
      </c>
      <c r="J93" s="10">
        <v>94.9</v>
      </c>
      <c r="K93">
        <v>4</v>
      </c>
      <c r="L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93" s="9">
        <f>Clients_Churn_Master[[#This Row],[Remise]]*Clients_Churn_Master[[#This Row],[Facture_Mensuelle]]</f>
        <v>9.49</v>
      </c>
    </row>
    <row r="94" spans="1:13" x14ac:dyDescent="0.25">
      <c r="A94" t="s">
        <v>1695</v>
      </c>
      <c r="B94" t="s">
        <v>651</v>
      </c>
      <c r="C94" s="7">
        <f>Clients_Churn_Master[[#This Row],[Anciennete_Mois]]/12</f>
        <v>5.25</v>
      </c>
      <c r="D94" t="s">
        <v>34</v>
      </c>
      <c r="E94">
        <v>63</v>
      </c>
      <c r="F94" t="str">
        <f>IF(Clients_Churn_Master[[#This Row],[Type_Forfait]]="Pro Monde","B2B","B2C")</f>
        <v>B2B</v>
      </c>
      <c r="G94" s="4">
        <f>Clients_Churn_Master[[#This Row],[Duree_Cumulee_Panne_Min]]/1440</f>
        <v>0.31180555555555556</v>
      </c>
      <c r="H94" t="s">
        <v>558</v>
      </c>
      <c r="I94">
        <v>449</v>
      </c>
      <c r="J94" s="10">
        <v>37.08</v>
      </c>
      <c r="K94">
        <v>0</v>
      </c>
      <c r="L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94" s="9">
        <f>Clients_Churn_Master[[#This Row],[Remise]]*Clients_Churn_Master[[#This Row],[Facture_Mensuelle]]</f>
        <v>16.686</v>
      </c>
    </row>
    <row r="95" spans="1:13" x14ac:dyDescent="0.25">
      <c r="A95" t="s">
        <v>1690</v>
      </c>
      <c r="B95" t="s">
        <v>652</v>
      </c>
      <c r="C95" s="7">
        <f>Clients_Churn_Master[[#This Row],[Anciennete_Mois]]/12</f>
        <v>2</v>
      </c>
      <c r="D95" t="s">
        <v>62</v>
      </c>
      <c r="E95">
        <v>24</v>
      </c>
      <c r="F95" t="str">
        <f>IF(Clients_Churn_Master[[#This Row],[Type_Forfait]]="Pro Monde","B2B","B2C")</f>
        <v>B2C</v>
      </c>
      <c r="G95" s="4">
        <f>Clients_Churn_Master[[#This Row],[Duree_Cumulee_Panne_Min]]/1440</f>
        <v>0.2722222222222222</v>
      </c>
      <c r="H95" t="s">
        <v>560</v>
      </c>
      <c r="I95">
        <v>392</v>
      </c>
      <c r="J95" s="10">
        <v>27.06</v>
      </c>
      <c r="K95">
        <v>1</v>
      </c>
      <c r="L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95" s="9">
        <f>Clients_Churn_Master[[#This Row],[Remise]]*Clients_Churn_Master[[#This Row],[Facture_Mensuelle]]</f>
        <v>12.177</v>
      </c>
    </row>
    <row r="96" spans="1:13" x14ac:dyDescent="0.25">
      <c r="A96" t="s">
        <v>1701</v>
      </c>
      <c r="B96" t="s">
        <v>653</v>
      </c>
      <c r="C96" s="7">
        <f>Clients_Churn_Master[[#This Row],[Anciennete_Mois]]/12</f>
        <v>0.75</v>
      </c>
      <c r="D96" t="s">
        <v>17</v>
      </c>
      <c r="E96">
        <v>9</v>
      </c>
      <c r="F96" t="str">
        <f>IF(Clients_Churn_Master[[#This Row],[Type_Forfait]]="Pro Monde","B2B","B2C")</f>
        <v>B2C</v>
      </c>
      <c r="G96" s="4">
        <f>Clients_Churn_Master[[#This Row],[Duree_Cumulee_Panne_Min]]/1440</f>
        <v>7.6388888888888886E-3</v>
      </c>
      <c r="H96" t="s">
        <v>556</v>
      </c>
      <c r="I96">
        <v>11</v>
      </c>
      <c r="J96" s="10">
        <v>72.36</v>
      </c>
      <c r="K96">
        <v>2</v>
      </c>
      <c r="L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6" s="9">
        <f>Clients_Churn_Master[[#This Row],[Remise]]*Clients_Churn_Master[[#This Row],[Facture_Mensuelle]]</f>
        <v>0</v>
      </c>
    </row>
    <row r="97" spans="1:13" x14ac:dyDescent="0.25">
      <c r="A97" t="s">
        <v>1688</v>
      </c>
      <c r="B97" t="s">
        <v>654</v>
      </c>
      <c r="C97" s="7">
        <f>Clients_Churn_Master[[#This Row],[Anciennete_Mois]]/12</f>
        <v>0.91666666666666663</v>
      </c>
      <c r="D97" t="s">
        <v>32</v>
      </c>
      <c r="E97">
        <v>11</v>
      </c>
      <c r="F97" t="str">
        <f>IF(Clients_Churn_Master[[#This Row],[Type_Forfait]]="Pro Monde","B2B","B2C")</f>
        <v>B2C</v>
      </c>
      <c r="G97" s="4">
        <f>Clients_Churn_Master[[#This Row],[Duree_Cumulee_Panne_Min]]/1440</f>
        <v>3.6111111111111108E-2</v>
      </c>
      <c r="H97" t="s">
        <v>556</v>
      </c>
      <c r="I97">
        <v>52</v>
      </c>
      <c r="J97" s="10">
        <v>76.53</v>
      </c>
      <c r="K97">
        <v>5</v>
      </c>
      <c r="L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7" s="9">
        <f>Clients_Churn_Master[[#This Row],[Remise]]*Clients_Churn_Master[[#This Row],[Facture_Mensuelle]]</f>
        <v>0</v>
      </c>
    </row>
    <row r="98" spans="1:13" x14ac:dyDescent="0.25">
      <c r="A98" t="s">
        <v>1701</v>
      </c>
      <c r="B98" t="s">
        <v>655</v>
      </c>
      <c r="C98" s="7">
        <f>Clients_Churn_Master[[#This Row],[Anciennete_Mois]]/12</f>
        <v>4.75</v>
      </c>
      <c r="D98" t="s">
        <v>27</v>
      </c>
      <c r="E98">
        <v>57</v>
      </c>
      <c r="F98" t="str">
        <f>IF(Clients_Churn_Master[[#This Row],[Type_Forfait]]="Pro Monde","B2B","B2C")</f>
        <v>B2C</v>
      </c>
      <c r="G98" s="4">
        <f>Clients_Churn_Master[[#This Row],[Duree_Cumulee_Panne_Min]]/1440</f>
        <v>0.34236111111111112</v>
      </c>
      <c r="H98" t="s">
        <v>556</v>
      </c>
      <c r="I98">
        <v>493</v>
      </c>
      <c r="J98" s="10">
        <v>43.98</v>
      </c>
      <c r="K98">
        <v>3</v>
      </c>
      <c r="L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98" s="9">
        <f>Clients_Churn_Master[[#This Row],[Remise]]*Clients_Churn_Master[[#This Row],[Facture_Mensuelle]]</f>
        <v>19.791</v>
      </c>
    </row>
    <row r="99" spans="1:13" x14ac:dyDescent="0.25">
      <c r="A99" t="s">
        <v>1690</v>
      </c>
      <c r="B99" t="s">
        <v>656</v>
      </c>
      <c r="C99" s="7">
        <f>Clients_Churn_Master[[#This Row],[Anciennete_Mois]]/12</f>
        <v>3.3333333333333335</v>
      </c>
      <c r="D99" t="s">
        <v>37</v>
      </c>
      <c r="E99">
        <v>40</v>
      </c>
      <c r="F99" t="str">
        <f>IF(Clients_Churn_Master[[#This Row],[Type_Forfait]]="Pro Monde","B2B","B2C")</f>
        <v>B2C</v>
      </c>
      <c r="G99" s="4">
        <f>Clients_Churn_Master[[#This Row],[Duree_Cumulee_Panne_Min]]/1440</f>
        <v>2.6388888888888889E-2</v>
      </c>
      <c r="H99" t="s">
        <v>556</v>
      </c>
      <c r="I99">
        <v>38</v>
      </c>
      <c r="J99" s="10">
        <v>17.63</v>
      </c>
      <c r="K99">
        <v>0</v>
      </c>
      <c r="L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9" s="9">
        <f>Clients_Churn_Master[[#This Row],[Remise]]*Clients_Churn_Master[[#This Row],[Facture_Mensuelle]]</f>
        <v>0</v>
      </c>
    </row>
    <row r="100" spans="1:13" x14ac:dyDescent="0.25">
      <c r="A100" t="s">
        <v>1692</v>
      </c>
      <c r="B100" t="s">
        <v>657</v>
      </c>
      <c r="C100" s="7">
        <f>Clients_Churn_Master[[#This Row],[Anciennete_Mois]]/12</f>
        <v>1.5833333333333333</v>
      </c>
      <c r="D100" t="s">
        <v>32</v>
      </c>
      <c r="E100">
        <v>19</v>
      </c>
      <c r="F100" t="str">
        <f>IF(Clients_Churn_Master[[#This Row],[Type_Forfait]]="Pro Monde","B2B","B2C")</f>
        <v>B2C</v>
      </c>
      <c r="G100" s="4">
        <f>Clients_Churn_Master[[#This Row],[Duree_Cumulee_Panne_Min]]/1440</f>
        <v>0.23194444444444445</v>
      </c>
      <c r="H100" t="s">
        <v>560</v>
      </c>
      <c r="I100">
        <v>334</v>
      </c>
      <c r="J100" s="10">
        <v>96.91</v>
      </c>
      <c r="K100">
        <v>1</v>
      </c>
      <c r="L1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0" s="9">
        <f>Clients_Churn_Master[[#This Row],[Remise]]*Clients_Churn_Master[[#This Row],[Facture_Mensuelle]]</f>
        <v>43.609499999999997</v>
      </c>
    </row>
    <row r="101" spans="1:13" x14ac:dyDescent="0.25">
      <c r="A101" t="s">
        <v>1688</v>
      </c>
      <c r="B101" t="s">
        <v>658</v>
      </c>
      <c r="C101" s="7">
        <f>Clients_Churn_Master[[#This Row],[Anciennete_Mois]]/12</f>
        <v>9</v>
      </c>
      <c r="D101" t="s">
        <v>21</v>
      </c>
      <c r="E101">
        <v>108</v>
      </c>
      <c r="F101" t="str">
        <f>IF(Clients_Churn_Master[[#This Row],[Type_Forfait]]="Pro Monde","B2B","B2C")</f>
        <v>B2B</v>
      </c>
      <c r="G101" s="4">
        <f>Clients_Churn_Master[[#This Row],[Duree_Cumulee_Panne_Min]]/1440</f>
        <v>3.3333333333333333E-2</v>
      </c>
      <c r="H101" t="s">
        <v>558</v>
      </c>
      <c r="I101">
        <v>48</v>
      </c>
      <c r="J101" s="10">
        <v>86.22</v>
      </c>
      <c r="K101">
        <v>3</v>
      </c>
      <c r="L1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01" s="9">
        <f>Clients_Churn_Master[[#This Row],[Remise]]*Clients_Churn_Master[[#This Row],[Facture_Mensuelle]]</f>
        <v>8.6219999999999999</v>
      </c>
    </row>
    <row r="102" spans="1:13" x14ac:dyDescent="0.25">
      <c r="A102" t="s">
        <v>1695</v>
      </c>
      <c r="B102" t="s">
        <v>659</v>
      </c>
      <c r="C102" s="7">
        <f>Clients_Churn_Master[[#This Row],[Anciennete_Mois]]/12</f>
        <v>3.0833333333333335</v>
      </c>
      <c r="D102" t="s">
        <v>137</v>
      </c>
      <c r="E102">
        <v>37</v>
      </c>
      <c r="F102" t="str">
        <f>IF(Clients_Churn_Master[[#This Row],[Type_Forfait]]="Pro Monde","B2B","B2C")</f>
        <v>B2B</v>
      </c>
      <c r="G102" s="4">
        <f>Clients_Churn_Master[[#This Row],[Duree_Cumulee_Panne_Min]]/1440</f>
        <v>0.10416666666666667</v>
      </c>
      <c r="H102" t="s">
        <v>558</v>
      </c>
      <c r="I102">
        <v>150</v>
      </c>
      <c r="J102" s="10">
        <v>37.979999999999997</v>
      </c>
      <c r="K102">
        <v>4</v>
      </c>
      <c r="L1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02" s="9">
        <f>Clients_Churn_Master[[#This Row],[Remise]]*Clients_Churn_Master[[#This Row],[Facture_Mensuelle]]</f>
        <v>3.798</v>
      </c>
    </row>
    <row r="103" spans="1:13" x14ac:dyDescent="0.25">
      <c r="A103" t="s">
        <v>1688</v>
      </c>
      <c r="B103" t="s">
        <v>660</v>
      </c>
      <c r="C103" s="7">
        <f>Clients_Churn_Master[[#This Row],[Anciennete_Mois]]/12</f>
        <v>4.333333333333333</v>
      </c>
      <c r="D103" t="s">
        <v>47</v>
      </c>
      <c r="E103">
        <v>52</v>
      </c>
      <c r="F103" t="str">
        <f>IF(Clients_Churn_Master[[#This Row],[Type_Forfait]]="Pro Monde","B2B","B2C")</f>
        <v>B2B</v>
      </c>
      <c r="G103" s="4">
        <f>Clients_Churn_Master[[#This Row],[Duree_Cumulee_Panne_Min]]/1440</f>
        <v>0.16250000000000001</v>
      </c>
      <c r="H103" t="s">
        <v>558</v>
      </c>
      <c r="I103">
        <v>234</v>
      </c>
      <c r="J103" s="10">
        <v>62.87</v>
      </c>
      <c r="K103">
        <v>0</v>
      </c>
      <c r="L1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03" s="9">
        <f>Clients_Churn_Master[[#This Row],[Remise]]*Clients_Churn_Master[[#This Row],[Facture_Mensuelle]]</f>
        <v>6.2869999999999999</v>
      </c>
    </row>
    <row r="104" spans="1:13" x14ac:dyDescent="0.25">
      <c r="A104" t="s">
        <v>1697</v>
      </c>
      <c r="B104" t="s">
        <v>661</v>
      </c>
      <c r="C104" s="7">
        <f>Clients_Churn_Master[[#This Row],[Anciennete_Mois]]/12</f>
        <v>9.4166666666666661</v>
      </c>
      <c r="D104" t="s">
        <v>43</v>
      </c>
      <c r="E104">
        <v>113</v>
      </c>
      <c r="F104" t="str">
        <f>IF(Clients_Churn_Master[[#This Row],[Type_Forfait]]="Pro Monde","B2B","B2C")</f>
        <v>B2C</v>
      </c>
      <c r="G104" s="4">
        <f>Clients_Churn_Master[[#This Row],[Duree_Cumulee_Panne_Min]]/1440</f>
        <v>0.2638888888888889</v>
      </c>
      <c r="H104" t="s">
        <v>560</v>
      </c>
      <c r="I104">
        <v>380</v>
      </c>
      <c r="J104" s="10">
        <v>12.11</v>
      </c>
      <c r="K104">
        <v>0</v>
      </c>
      <c r="L1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4" s="9">
        <f>Clients_Churn_Master[[#This Row],[Remise]]*Clients_Churn_Master[[#This Row],[Facture_Mensuelle]]</f>
        <v>5.4494999999999996</v>
      </c>
    </row>
    <row r="105" spans="1:13" x14ac:dyDescent="0.25">
      <c r="A105" t="s">
        <v>1697</v>
      </c>
      <c r="B105" t="s">
        <v>662</v>
      </c>
      <c r="C105" s="7">
        <f>Clients_Churn_Master[[#This Row],[Anciennete_Mois]]/12</f>
        <v>1.75</v>
      </c>
      <c r="D105" t="s">
        <v>49</v>
      </c>
      <c r="E105">
        <v>21</v>
      </c>
      <c r="F105" t="str">
        <f>IF(Clients_Churn_Master[[#This Row],[Type_Forfait]]="Pro Monde","B2B","B2C")</f>
        <v>B2C</v>
      </c>
      <c r="G105" s="4">
        <f>Clients_Churn_Master[[#This Row],[Duree_Cumulee_Panne_Min]]/1440</f>
        <v>0.25763888888888886</v>
      </c>
      <c r="H105" t="s">
        <v>564</v>
      </c>
      <c r="I105">
        <v>371</v>
      </c>
      <c r="J105" s="10">
        <v>48.31</v>
      </c>
      <c r="K105">
        <v>0</v>
      </c>
      <c r="L1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5" s="9">
        <f>Clients_Churn_Master[[#This Row],[Remise]]*Clients_Churn_Master[[#This Row],[Facture_Mensuelle]]</f>
        <v>21.739500000000003</v>
      </c>
    </row>
    <row r="106" spans="1:13" x14ac:dyDescent="0.25">
      <c r="A106" t="s">
        <v>1690</v>
      </c>
      <c r="B106" t="s">
        <v>663</v>
      </c>
      <c r="C106" s="7">
        <f>Clients_Churn_Master[[#This Row],[Anciennete_Mois]]/12</f>
        <v>0.58333333333333337</v>
      </c>
      <c r="D106" t="s">
        <v>13</v>
      </c>
      <c r="E106">
        <v>7</v>
      </c>
      <c r="F106" t="str">
        <f>IF(Clients_Churn_Master[[#This Row],[Type_Forfait]]="Pro Monde","B2B","B2C")</f>
        <v>B2B</v>
      </c>
      <c r="G106" s="4">
        <f>Clients_Churn_Master[[#This Row],[Duree_Cumulee_Panne_Min]]/1440</f>
        <v>0.24097222222222223</v>
      </c>
      <c r="H106" t="s">
        <v>558</v>
      </c>
      <c r="I106">
        <v>347</v>
      </c>
      <c r="J106" s="10">
        <v>41.84</v>
      </c>
      <c r="K106">
        <v>2</v>
      </c>
      <c r="L1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6" s="9">
        <f>Clients_Churn_Master[[#This Row],[Remise]]*Clients_Churn_Master[[#This Row],[Facture_Mensuelle]]</f>
        <v>18.828000000000003</v>
      </c>
    </row>
    <row r="107" spans="1:13" x14ac:dyDescent="0.25">
      <c r="A107" t="s">
        <v>1702</v>
      </c>
      <c r="B107" t="s">
        <v>664</v>
      </c>
      <c r="C107" s="7">
        <f>Clients_Churn_Master[[#This Row],[Anciennete_Mois]]/12</f>
        <v>8.5</v>
      </c>
      <c r="D107" t="s">
        <v>37</v>
      </c>
      <c r="E107">
        <v>102</v>
      </c>
      <c r="F107" t="str">
        <f>IF(Clients_Churn_Master[[#This Row],[Type_Forfait]]="Pro Monde","B2B","B2C")</f>
        <v>B2B</v>
      </c>
      <c r="G107" s="4">
        <f>Clients_Churn_Master[[#This Row],[Duree_Cumulee_Panne_Min]]/1440</f>
        <v>0.19652777777777777</v>
      </c>
      <c r="H107" t="s">
        <v>558</v>
      </c>
      <c r="I107">
        <v>283</v>
      </c>
      <c r="J107" s="10">
        <v>28.98</v>
      </c>
      <c r="K107">
        <v>3</v>
      </c>
      <c r="L1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7" s="9">
        <f>Clients_Churn_Master[[#This Row],[Remise]]*Clients_Churn_Master[[#This Row],[Facture_Mensuelle]]</f>
        <v>13.041</v>
      </c>
    </row>
    <row r="108" spans="1:13" x14ac:dyDescent="0.25">
      <c r="A108" t="s">
        <v>1691</v>
      </c>
      <c r="B108" t="s">
        <v>665</v>
      </c>
      <c r="C108" s="7">
        <f>Clients_Churn_Master[[#This Row],[Anciennete_Mois]]/12</f>
        <v>7.25</v>
      </c>
      <c r="D108" t="s">
        <v>43</v>
      </c>
      <c r="E108">
        <v>87</v>
      </c>
      <c r="F108" t="str">
        <f>IF(Clients_Churn_Master[[#This Row],[Type_Forfait]]="Pro Monde","B2B","B2C")</f>
        <v>B2B</v>
      </c>
      <c r="G108" s="4">
        <f>Clients_Churn_Master[[#This Row],[Duree_Cumulee_Panne_Min]]/1440</f>
        <v>0.3125</v>
      </c>
      <c r="H108" t="s">
        <v>558</v>
      </c>
      <c r="I108">
        <v>450</v>
      </c>
      <c r="J108" s="10">
        <v>64.3</v>
      </c>
      <c r="K108">
        <v>2</v>
      </c>
      <c r="L1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8" s="9">
        <f>Clients_Churn_Master[[#This Row],[Remise]]*Clients_Churn_Master[[#This Row],[Facture_Mensuelle]]</f>
        <v>28.934999999999999</v>
      </c>
    </row>
    <row r="109" spans="1:13" x14ac:dyDescent="0.25">
      <c r="A109" t="s">
        <v>1695</v>
      </c>
      <c r="B109" t="s">
        <v>666</v>
      </c>
      <c r="C109" s="7">
        <f>Clients_Churn_Master[[#This Row],[Anciennete_Mois]]/12</f>
        <v>6.333333333333333</v>
      </c>
      <c r="D109" t="s">
        <v>30</v>
      </c>
      <c r="E109">
        <v>76</v>
      </c>
      <c r="F109" t="str">
        <f>IF(Clients_Churn_Master[[#This Row],[Type_Forfait]]="Pro Monde","B2B","B2C")</f>
        <v>B2C</v>
      </c>
      <c r="G109" s="4">
        <f>Clients_Churn_Master[[#This Row],[Duree_Cumulee_Panne_Min]]/1440</f>
        <v>0.28680555555555554</v>
      </c>
      <c r="H109" t="s">
        <v>564</v>
      </c>
      <c r="I109">
        <v>413</v>
      </c>
      <c r="J109" s="10">
        <v>28.39</v>
      </c>
      <c r="K109">
        <v>3</v>
      </c>
      <c r="L1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9" s="9">
        <f>Clients_Churn_Master[[#This Row],[Remise]]*Clients_Churn_Master[[#This Row],[Facture_Mensuelle]]</f>
        <v>12.775500000000001</v>
      </c>
    </row>
    <row r="110" spans="1:13" x14ac:dyDescent="0.25">
      <c r="A110" t="s">
        <v>1692</v>
      </c>
      <c r="B110" t="s">
        <v>667</v>
      </c>
      <c r="C110" s="7">
        <f>Clients_Churn_Master[[#This Row],[Anciennete_Mois]]/12</f>
        <v>0.16666666666666666</v>
      </c>
      <c r="D110" t="s">
        <v>137</v>
      </c>
      <c r="E110">
        <v>2</v>
      </c>
      <c r="F110" t="str">
        <f>IF(Clients_Churn_Master[[#This Row],[Type_Forfait]]="Pro Monde","B2B","B2C")</f>
        <v>B2B</v>
      </c>
      <c r="G110" s="4">
        <f>Clients_Churn_Master[[#This Row],[Duree_Cumulee_Panne_Min]]/1440</f>
        <v>0.34444444444444444</v>
      </c>
      <c r="H110" t="s">
        <v>558</v>
      </c>
      <c r="I110">
        <v>496</v>
      </c>
      <c r="J110" s="10">
        <v>15.71</v>
      </c>
      <c r="K110">
        <v>3</v>
      </c>
      <c r="L1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10" s="9">
        <f>Clients_Churn_Master[[#This Row],[Remise]]*Clients_Churn_Master[[#This Row],[Facture_Mensuelle]]</f>
        <v>7.0695000000000006</v>
      </c>
    </row>
    <row r="111" spans="1:13" x14ac:dyDescent="0.25">
      <c r="A111" t="s">
        <v>1699</v>
      </c>
      <c r="B111" t="s">
        <v>668</v>
      </c>
      <c r="C111" s="7">
        <f>Clients_Churn_Master[[#This Row],[Anciennete_Mois]]/12</f>
        <v>3.9166666666666665</v>
      </c>
      <c r="D111" t="s">
        <v>62</v>
      </c>
      <c r="E111">
        <v>47</v>
      </c>
      <c r="F111" t="str">
        <f>IF(Clients_Churn_Master[[#This Row],[Type_Forfait]]="Pro Monde","B2B","B2C")</f>
        <v>B2B</v>
      </c>
      <c r="G111" s="4">
        <f>Clients_Churn_Master[[#This Row],[Duree_Cumulee_Panne_Min]]/1440</f>
        <v>0.22777777777777777</v>
      </c>
      <c r="H111" t="s">
        <v>558</v>
      </c>
      <c r="I111">
        <v>328</v>
      </c>
      <c r="J111" s="10">
        <v>61.27</v>
      </c>
      <c r="K111">
        <v>3</v>
      </c>
      <c r="L1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11" s="9">
        <f>Clients_Churn_Master[[#This Row],[Remise]]*Clients_Churn_Master[[#This Row],[Facture_Mensuelle]]</f>
        <v>27.5715</v>
      </c>
    </row>
    <row r="112" spans="1:13" x14ac:dyDescent="0.25">
      <c r="A112" t="s">
        <v>1699</v>
      </c>
      <c r="B112" t="s">
        <v>669</v>
      </c>
      <c r="C112" s="7">
        <f>Clients_Churn_Master[[#This Row],[Anciennete_Mois]]/12</f>
        <v>3.0833333333333335</v>
      </c>
      <c r="D112" t="s">
        <v>52</v>
      </c>
      <c r="E112">
        <v>37</v>
      </c>
      <c r="F112" t="str">
        <f>IF(Clients_Churn_Master[[#This Row],[Type_Forfait]]="Pro Monde","B2B","B2C")</f>
        <v>B2C</v>
      </c>
      <c r="G112" s="4">
        <f>Clients_Churn_Master[[#This Row],[Duree_Cumulee_Panne_Min]]/1440</f>
        <v>0.10486111111111111</v>
      </c>
      <c r="H112" t="s">
        <v>560</v>
      </c>
      <c r="I112">
        <v>151</v>
      </c>
      <c r="J112" s="10">
        <v>62.49</v>
      </c>
      <c r="K112">
        <v>3</v>
      </c>
      <c r="L1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2" s="9">
        <f>Clients_Churn_Master[[#This Row],[Remise]]*Clients_Churn_Master[[#This Row],[Facture_Mensuelle]]</f>
        <v>0</v>
      </c>
    </row>
    <row r="113" spans="1:13" x14ac:dyDescent="0.25">
      <c r="A113" t="s">
        <v>1694</v>
      </c>
      <c r="B113" t="s">
        <v>670</v>
      </c>
      <c r="C113" s="7">
        <f>Clients_Churn_Master[[#This Row],[Anciennete_Mois]]/12</f>
        <v>7.416666666666667</v>
      </c>
      <c r="D113" t="s">
        <v>43</v>
      </c>
      <c r="E113">
        <v>89</v>
      </c>
      <c r="F113" t="str">
        <f>IF(Clients_Churn_Master[[#This Row],[Type_Forfait]]="Pro Monde","B2B","B2C")</f>
        <v>B2C</v>
      </c>
      <c r="G113" s="4">
        <f>Clients_Churn_Master[[#This Row],[Duree_Cumulee_Panne_Min]]/1440</f>
        <v>0.12152777777777778</v>
      </c>
      <c r="H113" t="s">
        <v>556</v>
      </c>
      <c r="I113">
        <v>175</v>
      </c>
      <c r="J113" s="10">
        <v>32.369999999999997</v>
      </c>
      <c r="K113">
        <v>1</v>
      </c>
      <c r="L1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3" s="9">
        <f>Clients_Churn_Master[[#This Row],[Remise]]*Clients_Churn_Master[[#This Row],[Facture_Mensuelle]]</f>
        <v>0</v>
      </c>
    </row>
    <row r="114" spans="1:13" x14ac:dyDescent="0.25">
      <c r="A114" t="s">
        <v>1699</v>
      </c>
      <c r="B114" t="s">
        <v>671</v>
      </c>
      <c r="C114" s="7">
        <f>Clients_Churn_Master[[#This Row],[Anciennete_Mois]]/12</f>
        <v>0.5</v>
      </c>
      <c r="D114" t="s">
        <v>43</v>
      </c>
      <c r="E114">
        <v>6</v>
      </c>
      <c r="F114" t="str">
        <f>IF(Clients_Churn_Master[[#This Row],[Type_Forfait]]="Pro Monde","B2B","B2C")</f>
        <v>B2C</v>
      </c>
      <c r="G114" s="4">
        <f>Clients_Churn_Master[[#This Row],[Duree_Cumulee_Panne_Min]]/1440</f>
        <v>0.25138888888888888</v>
      </c>
      <c r="H114" t="s">
        <v>564</v>
      </c>
      <c r="I114">
        <v>362</v>
      </c>
      <c r="J114" s="10">
        <v>75.739999999999995</v>
      </c>
      <c r="K114">
        <v>4</v>
      </c>
      <c r="L1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14" s="9">
        <f>Clients_Churn_Master[[#This Row],[Remise]]*Clients_Churn_Master[[#This Row],[Facture_Mensuelle]]</f>
        <v>34.082999999999998</v>
      </c>
    </row>
    <row r="115" spans="1:13" x14ac:dyDescent="0.25">
      <c r="A115" t="s">
        <v>1695</v>
      </c>
      <c r="B115" t="s">
        <v>672</v>
      </c>
      <c r="C115" s="7">
        <f>Clients_Churn_Master[[#This Row],[Anciennete_Mois]]/12</f>
        <v>9.4166666666666661</v>
      </c>
      <c r="D115" t="s">
        <v>13</v>
      </c>
      <c r="E115">
        <v>113</v>
      </c>
      <c r="F115" t="str">
        <f>IF(Clients_Churn_Master[[#This Row],[Type_Forfait]]="Pro Monde","B2B","B2C")</f>
        <v>B2C</v>
      </c>
      <c r="G115" s="4">
        <f>Clients_Churn_Master[[#This Row],[Duree_Cumulee_Panne_Min]]/1440</f>
        <v>3.4027777777777775E-2</v>
      </c>
      <c r="H115" t="s">
        <v>564</v>
      </c>
      <c r="I115">
        <v>49</v>
      </c>
      <c r="J115" s="10">
        <v>48.91</v>
      </c>
      <c r="K115">
        <v>5</v>
      </c>
      <c r="L1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5" s="9">
        <f>Clients_Churn_Master[[#This Row],[Remise]]*Clients_Churn_Master[[#This Row],[Facture_Mensuelle]]</f>
        <v>0</v>
      </c>
    </row>
    <row r="116" spans="1:13" x14ac:dyDescent="0.25">
      <c r="A116" t="s">
        <v>1689</v>
      </c>
      <c r="B116" t="s">
        <v>673</v>
      </c>
      <c r="C116" s="7">
        <f>Clients_Churn_Master[[#This Row],[Anciennete_Mois]]/12</f>
        <v>1.6666666666666667</v>
      </c>
      <c r="D116" t="s">
        <v>47</v>
      </c>
      <c r="E116">
        <v>20</v>
      </c>
      <c r="F116" t="str">
        <f>IF(Clients_Churn_Master[[#This Row],[Type_Forfait]]="Pro Monde","B2B","B2C")</f>
        <v>B2B</v>
      </c>
      <c r="G116" s="4">
        <f>Clients_Churn_Master[[#This Row],[Duree_Cumulee_Panne_Min]]/1440</f>
        <v>6.458333333333334E-2</v>
      </c>
      <c r="H116" t="s">
        <v>558</v>
      </c>
      <c r="I116">
        <v>93</v>
      </c>
      <c r="J116" s="10">
        <v>84.45</v>
      </c>
      <c r="K116">
        <v>0</v>
      </c>
      <c r="L1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16" s="9">
        <f>Clients_Churn_Master[[#This Row],[Remise]]*Clients_Churn_Master[[#This Row],[Facture_Mensuelle]]</f>
        <v>8.4450000000000003</v>
      </c>
    </row>
    <row r="117" spans="1:13" x14ac:dyDescent="0.25">
      <c r="A117" t="s">
        <v>1701</v>
      </c>
      <c r="B117" t="s">
        <v>674</v>
      </c>
      <c r="C117" s="7">
        <f>Clients_Churn_Master[[#This Row],[Anciennete_Mois]]/12</f>
        <v>3.0833333333333335</v>
      </c>
      <c r="D117" t="s">
        <v>43</v>
      </c>
      <c r="E117">
        <v>37</v>
      </c>
      <c r="F117" t="str">
        <f>IF(Clients_Churn_Master[[#This Row],[Type_Forfait]]="Pro Monde","B2B","B2C")</f>
        <v>B2C</v>
      </c>
      <c r="G117" s="4">
        <f>Clients_Churn_Master[[#This Row],[Duree_Cumulee_Panne_Min]]/1440</f>
        <v>6.5277777777777782E-2</v>
      </c>
      <c r="H117" t="s">
        <v>564</v>
      </c>
      <c r="I117">
        <v>94</v>
      </c>
      <c r="J117" s="10">
        <v>50.44</v>
      </c>
      <c r="K117">
        <v>4</v>
      </c>
      <c r="L1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17" s="9">
        <f>Clients_Churn_Master[[#This Row],[Remise]]*Clients_Churn_Master[[#This Row],[Facture_Mensuelle]]</f>
        <v>22.698</v>
      </c>
    </row>
    <row r="118" spans="1:13" x14ac:dyDescent="0.25">
      <c r="A118" t="s">
        <v>1700</v>
      </c>
      <c r="B118" t="s">
        <v>675</v>
      </c>
      <c r="C118" s="7">
        <f>Clients_Churn_Master[[#This Row],[Anciennete_Mois]]/12</f>
        <v>5.583333333333333</v>
      </c>
      <c r="D118" t="s">
        <v>41</v>
      </c>
      <c r="E118">
        <v>67</v>
      </c>
      <c r="F118" t="str">
        <f>IF(Clients_Churn_Master[[#This Row],[Type_Forfait]]="Pro Monde","B2B","B2C")</f>
        <v>B2C</v>
      </c>
      <c r="G118" s="4">
        <f>Clients_Churn_Master[[#This Row],[Duree_Cumulee_Panne_Min]]/1440</f>
        <v>5.6250000000000001E-2</v>
      </c>
      <c r="H118" t="s">
        <v>560</v>
      </c>
      <c r="I118">
        <v>81</v>
      </c>
      <c r="J118" s="10">
        <v>28.52</v>
      </c>
      <c r="K118">
        <v>4</v>
      </c>
      <c r="L1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8" s="9">
        <f>Clients_Churn_Master[[#This Row],[Remise]]*Clients_Churn_Master[[#This Row],[Facture_Mensuelle]]</f>
        <v>0</v>
      </c>
    </row>
    <row r="119" spans="1:13" x14ac:dyDescent="0.25">
      <c r="A119" t="s">
        <v>1688</v>
      </c>
      <c r="B119" t="s">
        <v>676</v>
      </c>
      <c r="C119" s="7">
        <f>Clients_Churn_Master[[#This Row],[Anciennete_Mois]]/12</f>
        <v>1.5</v>
      </c>
      <c r="D119" t="s">
        <v>137</v>
      </c>
      <c r="E119">
        <v>18</v>
      </c>
      <c r="F119" t="str">
        <f>IF(Clients_Churn_Master[[#This Row],[Type_Forfait]]="Pro Monde","B2B","B2C")</f>
        <v>B2C</v>
      </c>
      <c r="G119" s="4">
        <f>Clients_Churn_Master[[#This Row],[Duree_Cumulee_Panne_Min]]/1440</f>
        <v>2.361111111111111E-2</v>
      </c>
      <c r="H119" t="s">
        <v>560</v>
      </c>
      <c r="I119">
        <v>34</v>
      </c>
      <c r="J119" s="10">
        <v>43.71</v>
      </c>
      <c r="K119">
        <v>1</v>
      </c>
      <c r="L1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9" s="9">
        <f>Clients_Churn_Master[[#This Row],[Remise]]*Clients_Churn_Master[[#This Row],[Facture_Mensuelle]]</f>
        <v>0</v>
      </c>
    </row>
    <row r="120" spans="1:13" x14ac:dyDescent="0.25">
      <c r="A120" t="s">
        <v>1697</v>
      </c>
      <c r="B120" t="s">
        <v>677</v>
      </c>
      <c r="C120" s="7">
        <f>Clients_Churn_Master[[#This Row],[Anciennete_Mois]]/12</f>
        <v>0.5</v>
      </c>
      <c r="D120" t="s">
        <v>85</v>
      </c>
      <c r="E120">
        <v>6</v>
      </c>
      <c r="F120" t="str">
        <f>IF(Clients_Churn_Master[[#This Row],[Type_Forfait]]="Pro Monde","B2B","B2C")</f>
        <v>B2C</v>
      </c>
      <c r="G120" s="4">
        <f>Clients_Churn_Master[[#This Row],[Duree_Cumulee_Panne_Min]]/1440</f>
        <v>0.1076388888888889</v>
      </c>
      <c r="H120" t="s">
        <v>560</v>
      </c>
      <c r="I120">
        <v>155</v>
      </c>
      <c r="J120" s="10">
        <v>40.659999999999997</v>
      </c>
      <c r="K120">
        <v>1</v>
      </c>
      <c r="L1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20" s="9">
        <f>Clients_Churn_Master[[#This Row],[Remise]]*Clients_Churn_Master[[#This Row],[Facture_Mensuelle]]</f>
        <v>0</v>
      </c>
    </row>
    <row r="121" spans="1:13" x14ac:dyDescent="0.25">
      <c r="A121" t="s">
        <v>1698</v>
      </c>
      <c r="B121" t="s">
        <v>678</v>
      </c>
      <c r="C121" s="7">
        <f>Clients_Churn_Master[[#This Row],[Anciennete_Mois]]/12</f>
        <v>7.666666666666667</v>
      </c>
      <c r="D121" t="s">
        <v>34</v>
      </c>
      <c r="E121">
        <v>92</v>
      </c>
      <c r="F121" t="str">
        <f>IF(Clients_Churn_Master[[#This Row],[Type_Forfait]]="Pro Monde","B2B","B2C")</f>
        <v>B2B</v>
      </c>
      <c r="G121" s="4">
        <f>Clients_Churn_Master[[#This Row],[Duree_Cumulee_Panne_Min]]/1440</f>
        <v>0.33819444444444446</v>
      </c>
      <c r="H121" t="s">
        <v>558</v>
      </c>
      <c r="I121">
        <v>487</v>
      </c>
      <c r="J121" s="10">
        <v>58.38</v>
      </c>
      <c r="K121">
        <v>1</v>
      </c>
      <c r="L1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1" s="9">
        <f>Clients_Churn_Master[[#This Row],[Remise]]*Clients_Churn_Master[[#This Row],[Facture_Mensuelle]]</f>
        <v>26.271000000000001</v>
      </c>
    </row>
    <row r="122" spans="1:13" x14ac:dyDescent="0.25">
      <c r="A122" t="s">
        <v>1696</v>
      </c>
      <c r="B122" t="s">
        <v>679</v>
      </c>
      <c r="C122" s="7">
        <f>Clients_Churn_Master[[#This Row],[Anciennete_Mois]]/12</f>
        <v>4.75</v>
      </c>
      <c r="D122" t="s">
        <v>13</v>
      </c>
      <c r="E122">
        <v>57</v>
      </c>
      <c r="F122" t="str">
        <f>IF(Clients_Churn_Master[[#This Row],[Type_Forfait]]="Pro Monde","B2B","B2C")</f>
        <v>B2C</v>
      </c>
      <c r="G122" s="4">
        <f>Clients_Churn_Master[[#This Row],[Duree_Cumulee_Panne_Min]]/1440</f>
        <v>2.5000000000000001E-2</v>
      </c>
      <c r="H122" t="s">
        <v>564</v>
      </c>
      <c r="I122">
        <v>36</v>
      </c>
      <c r="J122" s="10">
        <v>82.7</v>
      </c>
      <c r="K122">
        <v>2</v>
      </c>
      <c r="L1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2" s="9">
        <f>Clients_Churn_Master[[#This Row],[Remise]]*Clients_Churn_Master[[#This Row],[Facture_Mensuelle]]</f>
        <v>37.215000000000003</v>
      </c>
    </row>
    <row r="123" spans="1:13" x14ac:dyDescent="0.25">
      <c r="A123" t="s">
        <v>1701</v>
      </c>
      <c r="B123" t="s">
        <v>680</v>
      </c>
      <c r="C123" s="7">
        <f>Clients_Churn_Master[[#This Row],[Anciennete_Mois]]/12</f>
        <v>1.3333333333333333</v>
      </c>
      <c r="D123" t="s">
        <v>67</v>
      </c>
      <c r="E123">
        <v>16</v>
      </c>
      <c r="F123" t="str">
        <f>IF(Clients_Churn_Master[[#This Row],[Type_Forfait]]="Pro Monde","B2B","B2C")</f>
        <v>B2B</v>
      </c>
      <c r="G123" s="4">
        <f>Clients_Churn_Master[[#This Row],[Duree_Cumulee_Panne_Min]]/1440</f>
        <v>0.14861111111111111</v>
      </c>
      <c r="H123" t="s">
        <v>558</v>
      </c>
      <c r="I123">
        <v>214</v>
      </c>
      <c r="J123" s="10">
        <v>46.57</v>
      </c>
      <c r="K123">
        <v>5</v>
      </c>
      <c r="L1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23" s="9">
        <f>Clients_Churn_Master[[#This Row],[Remise]]*Clients_Churn_Master[[#This Row],[Facture_Mensuelle]]</f>
        <v>4.657</v>
      </c>
    </row>
    <row r="124" spans="1:13" x14ac:dyDescent="0.25">
      <c r="A124" t="s">
        <v>1699</v>
      </c>
      <c r="B124" t="s">
        <v>681</v>
      </c>
      <c r="C124" s="7">
        <f>Clients_Churn_Master[[#This Row],[Anciennete_Mois]]/12</f>
        <v>2</v>
      </c>
      <c r="D124" t="s">
        <v>76</v>
      </c>
      <c r="E124">
        <v>24</v>
      </c>
      <c r="F124" t="str">
        <f>IF(Clients_Churn_Master[[#This Row],[Type_Forfait]]="Pro Monde","B2B","B2C")</f>
        <v>B2B</v>
      </c>
      <c r="G124" s="4">
        <f>Clients_Churn_Master[[#This Row],[Duree_Cumulee_Panne_Min]]/1440</f>
        <v>1.5972222222222221E-2</v>
      </c>
      <c r="H124" t="s">
        <v>558</v>
      </c>
      <c r="I124">
        <v>23</v>
      </c>
      <c r="J124" s="10">
        <v>28.55</v>
      </c>
      <c r="K124">
        <v>1</v>
      </c>
      <c r="L1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24" s="9">
        <f>Clients_Churn_Master[[#This Row],[Remise]]*Clients_Churn_Master[[#This Row],[Facture_Mensuelle]]</f>
        <v>2.8550000000000004</v>
      </c>
    </row>
    <row r="125" spans="1:13" x14ac:dyDescent="0.25">
      <c r="A125" t="s">
        <v>1699</v>
      </c>
      <c r="B125" t="s">
        <v>682</v>
      </c>
      <c r="C125" s="7">
        <f>Clients_Churn_Master[[#This Row],[Anciennete_Mois]]/12</f>
        <v>2.6666666666666665</v>
      </c>
      <c r="D125" t="s">
        <v>85</v>
      </c>
      <c r="E125">
        <v>32</v>
      </c>
      <c r="F125" t="str">
        <f>IF(Clients_Churn_Master[[#This Row],[Type_Forfait]]="Pro Monde","B2B","B2C")</f>
        <v>B2C</v>
      </c>
      <c r="G125" s="4">
        <f>Clients_Churn_Master[[#This Row],[Duree_Cumulee_Panne_Min]]/1440</f>
        <v>0.3298611111111111</v>
      </c>
      <c r="H125" t="s">
        <v>560</v>
      </c>
      <c r="I125">
        <v>475</v>
      </c>
      <c r="J125" s="10">
        <v>36.54</v>
      </c>
      <c r="K125">
        <v>3</v>
      </c>
      <c r="L1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5" s="9">
        <f>Clients_Churn_Master[[#This Row],[Remise]]*Clients_Churn_Master[[#This Row],[Facture_Mensuelle]]</f>
        <v>16.443000000000001</v>
      </c>
    </row>
    <row r="126" spans="1:13" x14ac:dyDescent="0.25">
      <c r="A126" t="s">
        <v>1695</v>
      </c>
      <c r="B126" t="s">
        <v>683</v>
      </c>
      <c r="C126" s="7">
        <f>Clients_Churn_Master[[#This Row],[Anciennete_Mois]]/12</f>
        <v>3.75</v>
      </c>
      <c r="D126" t="s">
        <v>43</v>
      </c>
      <c r="E126">
        <v>45</v>
      </c>
      <c r="F126" t="str">
        <f>IF(Clients_Churn_Master[[#This Row],[Type_Forfait]]="Pro Monde","B2B","B2C")</f>
        <v>B2B</v>
      </c>
      <c r="G126" s="4">
        <f>Clients_Churn_Master[[#This Row],[Duree_Cumulee_Panne_Min]]/1440</f>
        <v>0.21111111111111111</v>
      </c>
      <c r="H126" t="s">
        <v>558</v>
      </c>
      <c r="I126">
        <v>304</v>
      </c>
      <c r="J126" s="10">
        <v>65.540000000000006</v>
      </c>
      <c r="K126">
        <v>2</v>
      </c>
      <c r="L1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6" s="9">
        <f>Clients_Churn_Master[[#This Row],[Remise]]*Clients_Churn_Master[[#This Row],[Facture_Mensuelle]]</f>
        <v>29.493000000000002</v>
      </c>
    </row>
    <row r="127" spans="1:13" x14ac:dyDescent="0.25">
      <c r="A127" t="s">
        <v>1689</v>
      </c>
      <c r="B127" t="s">
        <v>684</v>
      </c>
      <c r="C127" s="7">
        <f>Clients_Churn_Master[[#This Row],[Anciennete_Mois]]/12</f>
        <v>2</v>
      </c>
      <c r="D127" t="s">
        <v>45</v>
      </c>
      <c r="E127">
        <v>24</v>
      </c>
      <c r="F127" t="str">
        <f>IF(Clients_Churn_Master[[#This Row],[Type_Forfait]]="Pro Monde","B2B","B2C")</f>
        <v>B2C</v>
      </c>
      <c r="G127" s="4">
        <f>Clients_Churn_Master[[#This Row],[Duree_Cumulee_Panne_Min]]/1440</f>
        <v>9.0277777777777769E-3</v>
      </c>
      <c r="H127" t="s">
        <v>556</v>
      </c>
      <c r="I127">
        <v>13</v>
      </c>
      <c r="J127" s="10">
        <v>89.3</v>
      </c>
      <c r="K127">
        <v>2</v>
      </c>
      <c r="L1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27" s="9">
        <f>Clients_Churn_Master[[#This Row],[Remise]]*Clients_Churn_Master[[#This Row],[Facture_Mensuelle]]</f>
        <v>0</v>
      </c>
    </row>
    <row r="128" spans="1:13" x14ac:dyDescent="0.25">
      <c r="A128" t="s">
        <v>1694</v>
      </c>
      <c r="B128" t="s">
        <v>685</v>
      </c>
      <c r="C128" s="7">
        <f>Clients_Churn_Master[[#This Row],[Anciennete_Mois]]/12</f>
        <v>8.0833333333333339</v>
      </c>
      <c r="D128" t="s">
        <v>34</v>
      </c>
      <c r="E128">
        <v>97</v>
      </c>
      <c r="F128" t="str">
        <f>IF(Clients_Churn_Master[[#This Row],[Type_Forfait]]="Pro Monde","B2B","B2C")</f>
        <v>B2C</v>
      </c>
      <c r="G128" s="4">
        <f>Clients_Churn_Master[[#This Row],[Duree_Cumulee_Panne_Min]]/1440</f>
        <v>2.7777777777777776E-2</v>
      </c>
      <c r="H128" t="s">
        <v>556</v>
      </c>
      <c r="I128">
        <v>40</v>
      </c>
      <c r="J128" s="10">
        <v>85.19</v>
      </c>
      <c r="K128">
        <v>1</v>
      </c>
      <c r="L1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28" s="9">
        <f>Clients_Churn_Master[[#This Row],[Remise]]*Clients_Churn_Master[[#This Row],[Facture_Mensuelle]]</f>
        <v>0</v>
      </c>
    </row>
    <row r="129" spans="1:13" x14ac:dyDescent="0.25">
      <c r="A129" t="s">
        <v>1690</v>
      </c>
      <c r="B129" t="s">
        <v>686</v>
      </c>
      <c r="C129" s="7">
        <f>Clients_Churn_Master[[#This Row],[Anciennete_Mois]]/12</f>
        <v>5.666666666666667</v>
      </c>
      <c r="D129" t="s">
        <v>62</v>
      </c>
      <c r="E129">
        <v>68</v>
      </c>
      <c r="F129" t="str">
        <f>IF(Clients_Churn_Master[[#This Row],[Type_Forfait]]="Pro Monde","B2B","B2C")</f>
        <v>B2C</v>
      </c>
      <c r="G129" s="4">
        <f>Clients_Churn_Master[[#This Row],[Duree_Cumulee_Panne_Min]]/1440</f>
        <v>0.33819444444444446</v>
      </c>
      <c r="H129" t="s">
        <v>556</v>
      </c>
      <c r="I129">
        <v>487</v>
      </c>
      <c r="J129" s="10">
        <v>69.099999999999994</v>
      </c>
      <c r="K129">
        <v>5</v>
      </c>
      <c r="L1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9" s="9">
        <f>Clients_Churn_Master[[#This Row],[Remise]]*Clients_Churn_Master[[#This Row],[Facture_Mensuelle]]</f>
        <v>31.094999999999999</v>
      </c>
    </row>
    <row r="130" spans="1:13" x14ac:dyDescent="0.25">
      <c r="A130" t="s">
        <v>1694</v>
      </c>
      <c r="B130" t="s">
        <v>687</v>
      </c>
      <c r="C130" s="7">
        <f>Clients_Churn_Master[[#This Row],[Anciennete_Mois]]/12</f>
        <v>0.66666666666666663</v>
      </c>
      <c r="D130" t="s">
        <v>24</v>
      </c>
      <c r="E130">
        <v>8</v>
      </c>
      <c r="F130" t="str">
        <f>IF(Clients_Churn_Master[[#This Row],[Type_Forfait]]="Pro Monde","B2B","B2C")</f>
        <v>B2C</v>
      </c>
      <c r="G130" s="4">
        <f>Clients_Churn_Master[[#This Row],[Duree_Cumulee_Panne_Min]]/1440</f>
        <v>8.3333333333333329E-2</v>
      </c>
      <c r="H130" t="s">
        <v>556</v>
      </c>
      <c r="I130">
        <v>120</v>
      </c>
      <c r="J130" s="10">
        <v>88.29</v>
      </c>
      <c r="K130">
        <v>5</v>
      </c>
      <c r="L1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30" s="9">
        <f>Clients_Churn_Master[[#This Row],[Remise]]*Clients_Churn_Master[[#This Row],[Facture_Mensuelle]]</f>
        <v>0</v>
      </c>
    </row>
    <row r="131" spans="1:13" x14ac:dyDescent="0.25">
      <c r="A131" t="s">
        <v>1693</v>
      </c>
      <c r="B131" t="s">
        <v>688</v>
      </c>
      <c r="C131" s="7">
        <f>Clients_Churn_Master[[#This Row],[Anciennete_Mois]]/12</f>
        <v>6.25</v>
      </c>
      <c r="D131" t="s">
        <v>41</v>
      </c>
      <c r="E131">
        <v>75</v>
      </c>
      <c r="F131" t="str">
        <f>IF(Clients_Churn_Master[[#This Row],[Type_Forfait]]="Pro Monde","B2B","B2C")</f>
        <v>B2C</v>
      </c>
      <c r="G131" s="4">
        <f>Clients_Churn_Master[[#This Row],[Duree_Cumulee_Panne_Min]]/1440</f>
        <v>6.8750000000000006E-2</v>
      </c>
      <c r="H131" t="s">
        <v>560</v>
      </c>
      <c r="I131">
        <v>99</v>
      </c>
      <c r="J131" s="10">
        <v>16.93</v>
      </c>
      <c r="K131">
        <v>5</v>
      </c>
      <c r="L1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31" s="9">
        <f>Clients_Churn_Master[[#This Row],[Remise]]*Clients_Churn_Master[[#This Row],[Facture_Mensuelle]]</f>
        <v>0</v>
      </c>
    </row>
    <row r="132" spans="1:13" x14ac:dyDescent="0.25">
      <c r="A132" t="s">
        <v>1688</v>
      </c>
      <c r="B132" t="s">
        <v>689</v>
      </c>
      <c r="C132" s="7">
        <f>Clients_Churn_Master[[#This Row],[Anciennete_Mois]]/12</f>
        <v>1.8333333333333333</v>
      </c>
      <c r="D132" t="s">
        <v>67</v>
      </c>
      <c r="E132">
        <v>22</v>
      </c>
      <c r="F132" t="str">
        <f>IF(Clients_Churn_Master[[#This Row],[Type_Forfait]]="Pro Monde","B2B","B2C")</f>
        <v>B2C</v>
      </c>
      <c r="G132" s="4">
        <f>Clients_Churn_Master[[#This Row],[Duree_Cumulee_Panne_Min]]/1440</f>
        <v>0.11527777777777778</v>
      </c>
      <c r="H132" t="s">
        <v>564</v>
      </c>
      <c r="I132">
        <v>166</v>
      </c>
      <c r="J132" s="10">
        <v>31.8</v>
      </c>
      <c r="K132">
        <v>1</v>
      </c>
      <c r="L1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2" s="9">
        <f>Clients_Churn_Master[[#This Row],[Remise]]*Clients_Churn_Master[[#This Row],[Facture_Mensuelle]]</f>
        <v>14.31</v>
      </c>
    </row>
    <row r="133" spans="1:13" x14ac:dyDescent="0.25">
      <c r="A133" t="s">
        <v>1702</v>
      </c>
      <c r="B133" t="s">
        <v>690</v>
      </c>
      <c r="C133" s="7">
        <f>Clients_Churn_Master[[#This Row],[Anciennete_Mois]]/12</f>
        <v>7.583333333333333</v>
      </c>
      <c r="D133" t="s">
        <v>37</v>
      </c>
      <c r="E133">
        <v>91</v>
      </c>
      <c r="F133" t="str">
        <f>IF(Clients_Churn_Master[[#This Row],[Type_Forfait]]="Pro Monde","B2B","B2C")</f>
        <v>B2C</v>
      </c>
      <c r="G133" s="4">
        <f>Clients_Churn_Master[[#This Row],[Duree_Cumulee_Panne_Min]]/1440</f>
        <v>0.20833333333333334</v>
      </c>
      <c r="H133" t="s">
        <v>556</v>
      </c>
      <c r="I133">
        <v>300</v>
      </c>
      <c r="J133" s="10">
        <v>82.19</v>
      </c>
      <c r="K133">
        <v>1</v>
      </c>
      <c r="L1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3" s="9">
        <f>Clients_Churn_Master[[#This Row],[Remise]]*Clients_Churn_Master[[#This Row],[Facture_Mensuelle]]</f>
        <v>36.985500000000002</v>
      </c>
    </row>
    <row r="134" spans="1:13" x14ac:dyDescent="0.25">
      <c r="A134" t="s">
        <v>1697</v>
      </c>
      <c r="B134" t="s">
        <v>691</v>
      </c>
      <c r="C134" s="7">
        <f>Clients_Churn_Master[[#This Row],[Anciennete_Mois]]/12</f>
        <v>5.5</v>
      </c>
      <c r="D134" t="s">
        <v>76</v>
      </c>
      <c r="E134">
        <v>66</v>
      </c>
      <c r="F134" t="str">
        <f>IF(Clients_Churn_Master[[#This Row],[Type_Forfait]]="Pro Monde","B2B","B2C")</f>
        <v>B2C</v>
      </c>
      <c r="G134" s="4">
        <f>Clients_Churn_Master[[#This Row],[Duree_Cumulee_Panne_Min]]/1440</f>
        <v>0.1875</v>
      </c>
      <c r="H134" t="s">
        <v>560</v>
      </c>
      <c r="I134">
        <v>270</v>
      </c>
      <c r="J134" s="10">
        <v>75.88</v>
      </c>
      <c r="K134">
        <v>3</v>
      </c>
      <c r="L1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4" s="9">
        <f>Clients_Churn_Master[[#This Row],[Remise]]*Clients_Churn_Master[[#This Row],[Facture_Mensuelle]]</f>
        <v>34.146000000000001</v>
      </c>
    </row>
    <row r="135" spans="1:13" x14ac:dyDescent="0.25">
      <c r="A135" t="s">
        <v>1701</v>
      </c>
      <c r="B135" t="s">
        <v>692</v>
      </c>
      <c r="C135" s="7">
        <f>Clients_Churn_Master[[#This Row],[Anciennete_Mois]]/12</f>
        <v>8.1666666666666661</v>
      </c>
      <c r="D135" t="s">
        <v>133</v>
      </c>
      <c r="E135">
        <v>98</v>
      </c>
      <c r="F135" t="str">
        <f>IF(Clients_Churn_Master[[#This Row],[Type_Forfait]]="Pro Monde","B2B","B2C")</f>
        <v>B2B</v>
      </c>
      <c r="G135" s="4">
        <f>Clients_Churn_Master[[#This Row],[Duree_Cumulee_Panne_Min]]/1440</f>
        <v>2.8472222222222222E-2</v>
      </c>
      <c r="H135" t="s">
        <v>558</v>
      </c>
      <c r="I135">
        <v>41</v>
      </c>
      <c r="J135" s="10">
        <v>23.55</v>
      </c>
      <c r="K135">
        <v>1</v>
      </c>
      <c r="L1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35" s="9">
        <f>Clients_Churn_Master[[#This Row],[Remise]]*Clients_Churn_Master[[#This Row],[Facture_Mensuelle]]</f>
        <v>2.355</v>
      </c>
    </row>
    <row r="136" spans="1:13" x14ac:dyDescent="0.25">
      <c r="A136" t="s">
        <v>1690</v>
      </c>
      <c r="B136" t="s">
        <v>693</v>
      </c>
      <c r="C136" s="7">
        <f>Clients_Churn_Master[[#This Row],[Anciennete_Mois]]/12</f>
        <v>5.25</v>
      </c>
      <c r="D136" t="s">
        <v>43</v>
      </c>
      <c r="E136">
        <v>63</v>
      </c>
      <c r="F136" t="str">
        <f>IF(Clients_Churn_Master[[#This Row],[Type_Forfait]]="Pro Monde","B2B","B2C")</f>
        <v>B2C</v>
      </c>
      <c r="G136" s="4">
        <f>Clients_Churn_Master[[#This Row],[Duree_Cumulee_Panne_Min]]/1440</f>
        <v>0.18263888888888888</v>
      </c>
      <c r="H136" t="s">
        <v>556</v>
      </c>
      <c r="I136">
        <v>263</v>
      </c>
      <c r="J136" s="10">
        <v>53.87</v>
      </c>
      <c r="K136">
        <v>4</v>
      </c>
      <c r="L1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6" s="9">
        <f>Clients_Churn_Master[[#This Row],[Remise]]*Clients_Churn_Master[[#This Row],[Facture_Mensuelle]]</f>
        <v>24.241499999999998</v>
      </c>
    </row>
    <row r="137" spans="1:13" x14ac:dyDescent="0.25">
      <c r="A137" t="s">
        <v>1692</v>
      </c>
      <c r="B137" t="s">
        <v>694</v>
      </c>
      <c r="C137" s="7">
        <f>Clients_Churn_Master[[#This Row],[Anciennete_Mois]]/12</f>
        <v>2.4166666666666665</v>
      </c>
      <c r="D137" t="s">
        <v>82</v>
      </c>
      <c r="E137">
        <v>29</v>
      </c>
      <c r="F137" t="str">
        <f>IF(Clients_Churn_Master[[#This Row],[Type_Forfait]]="Pro Monde","B2B","B2C")</f>
        <v>B2C</v>
      </c>
      <c r="G137" s="4">
        <f>Clients_Churn_Master[[#This Row],[Duree_Cumulee_Panne_Min]]/1440</f>
        <v>0.12013888888888889</v>
      </c>
      <c r="H137" t="s">
        <v>556</v>
      </c>
      <c r="I137">
        <v>173</v>
      </c>
      <c r="J137" s="10">
        <v>49.03</v>
      </c>
      <c r="K137">
        <v>3</v>
      </c>
      <c r="L1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37" s="9">
        <f>Clients_Churn_Master[[#This Row],[Remise]]*Clients_Churn_Master[[#This Row],[Facture_Mensuelle]]</f>
        <v>0</v>
      </c>
    </row>
    <row r="138" spans="1:13" x14ac:dyDescent="0.25">
      <c r="A138" t="s">
        <v>1694</v>
      </c>
      <c r="B138" t="s">
        <v>695</v>
      </c>
      <c r="C138" s="7">
        <f>Clients_Churn_Master[[#This Row],[Anciennete_Mois]]/12</f>
        <v>6.916666666666667</v>
      </c>
      <c r="D138" t="s">
        <v>67</v>
      </c>
      <c r="E138">
        <v>83</v>
      </c>
      <c r="F138" t="str">
        <f>IF(Clients_Churn_Master[[#This Row],[Type_Forfait]]="Pro Monde","B2B","B2C")</f>
        <v>B2C</v>
      </c>
      <c r="G138" s="4">
        <f>Clients_Churn_Master[[#This Row],[Duree_Cumulee_Panne_Min]]/1440</f>
        <v>2.0833333333333332E-2</v>
      </c>
      <c r="H138" t="s">
        <v>560</v>
      </c>
      <c r="I138">
        <v>30</v>
      </c>
      <c r="J138" s="10">
        <v>33.93</v>
      </c>
      <c r="K138">
        <v>3</v>
      </c>
      <c r="L1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38" s="9">
        <f>Clients_Churn_Master[[#This Row],[Remise]]*Clients_Churn_Master[[#This Row],[Facture_Mensuelle]]</f>
        <v>0</v>
      </c>
    </row>
    <row r="139" spans="1:13" x14ac:dyDescent="0.25">
      <c r="A139" t="s">
        <v>1693</v>
      </c>
      <c r="B139" t="s">
        <v>696</v>
      </c>
      <c r="C139" s="7">
        <f>Clients_Churn_Master[[#This Row],[Anciennete_Mois]]/12</f>
        <v>8.75</v>
      </c>
      <c r="D139" t="s">
        <v>137</v>
      </c>
      <c r="E139">
        <v>105</v>
      </c>
      <c r="F139" t="str">
        <f>IF(Clients_Churn_Master[[#This Row],[Type_Forfait]]="Pro Monde","B2B","B2C")</f>
        <v>B2C</v>
      </c>
      <c r="G139" s="4">
        <f>Clients_Churn_Master[[#This Row],[Duree_Cumulee_Panne_Min]]/1440</f>
        <v>0.18819444444444444</v>
      </c>
      <c r="H139" t="s">
        <v>560</v>
      </c>
      <c r="I139">
        <v>271</v>
      </c>
      <c r="J139" s="10">
        <v>45.27</v>
      </c>
      <c r="K139">
        <v>2</v>
      </c>
      <c r="L1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9" s="9">
        <f>Clients_Churn_Master[[#This Row],[Remise]]*Clients_Churn_Master[[#This Row],[Facture_Mensuelle]]</f>
        <v>20.371500000000001</v>
      </c>
    </row>
    <row r="140" spans="1:13" x14ac:dyDescent="0.25">
      <c r="A140" t="s">
        <v>1699</v>
      </c>
      <c r="B140" t="s">
        <v>697</v>
      </c>
      <c r="C140" s="7">
        <f>Clients_Churn_Master[[#This Row],[Anciennete_Mois]]/12</f>
        <v>9.75</v>
      </c>
      <c r="D140" t="s">
        <v>34</v>
      </c>
      <c r="E140">
        <v>117</v>
      </c>
      <c r="F140" t="str">
        <f>IF(Clients_Churn_Master[[#This Row],[Type_Forfait]]="Pro Monde","B2B","B2C")</f>
        <v>B2C</v>
      </c>
      <c r="G140" s="4">
        <f>Clients_Churn_Master[[#This Row],[Duree_Cumulee_Panne_Min]]/1440</f>
        <v>0.19583333333333333</v>
      </c>
      <c r="H140" t="s">
        <v>564</v>
      </c>
      <c r="I140">
        <v>282</v>
      </c>
      <c r="J140" s="10">
        <v>95.11</v>
      </c>
      <c r="K140">
        <v>0</v>
      </c>
      <c r="L1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0" s="9">
        <f>Clients_Churn_Master[[#This Row],[Remise]]*Clients_Churn_Master[[#This Row],[Facture_Mensuelle]]</f>
        <v>42.799500000000002</v>
      </c>
    </row>
    <row r="141" spans="1:13" x14ac:dyDescent="0.25">
      <c r="A141" t="s">
        <v>1688</v>
      </c>
      <c r="B141" t="s">
        <v>698</v>
      </c>
      <c r="C141" s="7">
        <f>Clients_Churn_Master[[#This Row],[Anciennete_Mois]]/12</f>
        <v>8</v>
      </c>
      <c r="D141" t="s">
        <v>82</v>
      </c>
      <c r="E141">
        <v>96</v>
      </c>
      <c r="F141" t="str">
        <f>IF(Clients_Churn_Master[[#This Row],[Type_Forfait]]="Pro Monde","B2B","B2C")</f>
        <v>B2C</v>
      </c>
      <c r="G141" s="4">
        <f>Clients_Churn_Master[[#This Row],[Duree_Cumulee_Panne_Min]]/1440</f>
        <v>0.23194444444444445</v>
      </c>
      <c r="H141" t="s">
        <v>564</v>
      </c>
      <c r="I141">
        <v>334</v>
      </c>
      <c r="J141" s="10">
        <v>64.77</v>
      </c>
      <c r="K141">
        <v>0</v>
      </c>
      <c r="L1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1" s="9">
        <f>Clients_Churn_Master[[#This Row],[Remise]]*Clients_Churn_Master[[#This Row],[Facture_Mensuelle]]</f>
        <v>29.1465</v>
      </c>
    </row>
    <row r="142" spans="1:13" x14ac:dyDescent="0.25">
      <c r="A142" t="s">
        <v>1693</v>
      </c>
      <c r="B142" t="s">
        <v>699</v>
      </c>
      <c r="C142" s="7">
        <f>Clients_Churn_Master[[#This Row],[Anciennete_Mois]]/12</f>
        <v>2.8333333333333335</v>
      </c>
      <c r="D142" t="s">
        <v>67</v>
      </c>
      <c r="E142">
        <v>34</v>
      </c>
      <c r="F142" t="str">
        <f>IF(Clients_Churn_Master[[#This Row],[Type_Forfait]]="Pro Monde","B2B","B2C")</f>
        <v>B2C</v>
      </c>
      <c r="G142" s="4">
        <f>Clients_Churn_Master[[#This Row],[Duree_Cumulee_Panne_Min]]/1440</f>
        <v>0.11805555555555555</v>
      </c>
      <c r="H142" t="s">
        <v>564</v>
      </c>
      <c r="I142">
        <v>170</v>
      </c>
      <c r="J142" s="10">
        <v>91.6</v>
      </c>
      <c r="K142">
        <v>2</v>
      </c>
      <c r="L1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2" s="9">
        <f>Clients_Churn_Master[[#This Row],[Remise]]*Clients_Churn_Master[[#This Row],[Facture_Mensuelle]]</f>
        <v>41.22</v>
      </c>
    </row>
    <row r="143" spans="1:13" x14ac:dyDescent="0.25">
      <c r="A143" t="s">
        <v>1700</v>
      </c>
      <c r="B143" t="s">
        <v>700</v>
      </c>
      <c r="C143" s="7">
        <f>Clients_Churn_Master[[#This Row],[Anciennete_Mois]]/12</f>
        <v>0.58333333333333337</v>
      </c>
      <c r="D143" t="s">
        <v>32</v>
      </c>
      <c r="E143">
        <v>7</v>
      </c>
      <c r="F143" t="str">
        <f>IF(Clients_Churn_Master[[#This Row],[Type_Forfait]]="Pro Monde","B2B","B2C")</f>
        <v>B2B</v>
      </c>
      <c r="G143" s="4">
        <f>Clients_Churn_Master[[#This Row],[Duree_Cumulee_Panne_Min]]/1440</f>
        <v>0.22430555555555556</v>
      </c>
      <c r="H143" t="s">
        <v>558</v>
      </c>
      <c r="I143">
        <v>323</v>
      </c>
      <c r="J143" s="10">
        <v>82.81</v>
      </c>
      <c r="K143">
        <v>5</v>
      </c>
      <c r="L1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3" s="9">
        <f>Clients_Churn_Master[[#This Row],[Remise]]*Clients_Churn_Master[[#This Row],[Facture_Mensuelle]]</f>
        <v>37.264500000000005</v>
      </c>
    </row>
    <row r="144" spans="1:13" x14ac:dyDescent="0.25">
      <c r="A144" t="s">
        <v>1693</v>
      </c>
      <c r="B144" t="s">
        <v>701</v>
      </c>
      <c r="C144" s="7">
        <f>Clients_Churn_Master[[#This Row],[Anciennete_Mois]]/12</f>
        <v>3.25</v>
      </c>
      <c r="D144" t="s">
        <v>96</v>
      </c>
      <c r="E144">
        <v>39</v>
      </c>
      <c r="F144" t="str">
        <f>IF(Clients_Churn_Master[[#This Row],[Type_Forfait]]="Pro Monde","B2B","B2C")</f>
        <v>B2C</v>
      </c>
      <c r="G144" s="4">
        <f>Clients_Churn_Master[[#This Row],[Duree_Cumulee_Panne_Min]]/1440</f>
        <v>0.15277777777777779</v>
      </c>
      <c r="H144" t="s">
        <v>564</v>
      </c>
      <c r="I144">
        <v>220</v>
      </c>
      <c r="J144" s="10">
        <v>52.91</v>
      </c>
      <c r="K144">
        <v>0</v>
      </c>
      <c r="L1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4" s="9">
        <f>Clients_Churn_Master[[#This Row],[Remise]]*Clients_Churn_Master[[#This Row],[Facture_Mensuelle]]</f>
        <v>23.8095</v>
      </c>
    </row>
    <row r="145" spans="1:13" x14ac:dyDescent="0.25">
      <c r="A145" t="s">
        <v>1695</v>
      </c>
      <c r="B145" t="s">
        <v>702</v>
      </c>
      <c r="C145" s="7">
        <f>Clients_Churn_Master[[#This Row],[Anciennete_Mois]]/12</f>
        <v>4.916666666666667</v>
      </c>
      <c r="D145" t="s">
        <v>49</v>
      </c>
      <c r="E145">
        <v>59</v>
      </c>
      <c r="F145" t="str">
        <f>IF(Clients_Churn_Master[[#This Row],[Type_Forfait]]="Pro Monde","B2B","B2C")</f>
        <v>B2C</v>
      </c>
      <c r="G145" s="4">
        <f>Clients_Churn_Master[[#This Row],[Duree_Cumulee_Panne_Min]]/1440</f>
        <v>4.4444444444444446E-2</v>
      </c>
      <c r="H145" t="s">
        <v>560</v>
      </c>
      <c r="I145">
        <v>64</v>
      </c>
      <c r="J145" s="10">
        <v>20.32</v>
      </c>
      <c r="K145">
        <v>0</v>
      </c>
      <c r="L1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45" s="9">
        <f>Clients_Churn_Master[[#This Row],[Remise]]*Clients_Churn_Master[[#This Row],[Facture_Mensuelle]]</f>
        <v>0</v>
      </c>
    </row>
    <row r="146" spans="1:13" x14ac:dyDescent="0.25">
      <c r="A146" t="s">
        <v>1699</v>
      </c>
      <c r="B146" t="s">
        <v>703</v>
      </c>
      <c r="C146" s="7">
        <f>Clients_Churn_Master[[#This Row],[Anciennete_Mois]]/12</f>
        <v>2.3333333333333335</v>
      </c>
      <c r="D146" t="s">
        <v>76</v>
      </c>
      <c r="E146">
        <v>28</v>
      </c>
      <c r="F146" t="str">
        <f>IF(Clients_Churn_Master[[#This Row],[Type_Forfait]]="Pro Monde","B2B","B2C")</f>
        <v>B2C</v>
      </c>
      <c r="G146" s="4">
        <f>Clients_Churn_Master[[#This Row],[Duree_Cumulee_Panne_Min]]/1440</f>
        <v>7.7777777777777779E-2</v>
      </c>
      <c r="H146" t="s">
        <v>560</v>
      </c>
      <c r="I146">
        <v>112</v>
      </c>
      <c r="J146" s="10">
        <v>94.51</v>
      </c>
      <c r="K146">
        <v>3</v>
      </c>
      <c r="L1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46" s="9">
        <f>Clients_Churn_Master[[#This Row],[Remise]]*Clients_Churn_Master[[#This Row],[Facture_Mensuelle]]</f>
        <v>0</v>
      </c>
    </row>
    <row r="147" spans="1:13" x14ac:dyDescent="0.25">
      <c r="A147" t="s">
        <v>1692</v>
      </c>
      <c r="B147" t="s">
        <v>704</v>
      </c>
      <c r="C147" s="7">
        <f>Clients_Churn_Master[[#This Row],[Anciennete_Mois]]/12</f>
        <v>6.5</v>
      </c>
      <c r="D147" t="s">
        <v>82</v>
      </c>
      <c r="E147">
        <v>78</v>
      </c>
      <c r="F147" t="str">
        <f>IF(Clients_Churn_Master[[#This Row],[Type_Forfait]]="Pro Monde","B2B","B2C")</f>
        <v>B2C</v>
      </c>
      <c r="G147" s="4">
        <f>Clients_Churn_Master[[#This Row],[Duree_Cumulee_Panne_Min]]/1440</f>
        <v>0.18263888888888888</v>
      </c>
      <c r="H147" t="s">
        <v>564</v>
      </c>
      <c r="I147">
        <v>263</v>
      </c>
      <c r="J147" s="10">
        <v>53.58</v>
      </c>
      <c r="K147">
        <v>5</v>
      </c>
      <c r="L1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7" s="9">
        <f>Clients_Churn_Master[[#This Row],[Remise]]*Clients_Churn_Master[[#This Row],[Facture_Mensuelle]]</f>
        <v>24.111000000000001</v>
      </c>
    </row>
    <row r="148" spans="1:13" x14ac:dyDescent="0.25">
      <c r="A148" t="s">
        <v>1694</v>
      </c>
      <c r="B148" t="s">
        <v>705</v>
      </c>
      <c r="C148" s="7">
        <f>Clients_Churn_Master[[#This Row],[Anciennete_Mois]]/12</f>
        <v>0.33333333333333331</v>
      </c>
      <c r="D148" t="s">
        <v>34</v>
      </c>
      <c r="E148">
        <v>4</v>
      </c>
      <c r="F148" t="str">
        <f>IF(Clients_Churn_Master[[#This Row],[Type_Forfait]]="Pro Monde","B2B","B2C")</f>
        <v>B2B</v>
      </c>
      <c r="G148" s="4">
        <f>Clients_Churn_Master[[#This Row],[Duree_Cumulee_Panne_Min]]/1440</f>
        <v>3.4027777777777775E-2</v>
      </c>
      <c r="H148" t="s">
        <v>558</v>
      </c>
      <c r="I148">
        <v>49</v>
      </c>
      <c r="J148" s="10">
        <v>41.35</v>
      </c>
      <c r="K148">
        <v>5</v>
      </c>
      <c r="L1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48" s="9">
        <f>Clients_Churn_Master[[#This Row],[Remise]]*Clients_Churn_Master[[#This Row],[Facture_Mensuelle]]</f>
        <v>4.1350000000000007</v>
      </c>
    </row>
    <row r="149" spans="1:13" x14ac:dyDescent="0.25">
      <c r="A149" t="s">
        <v>1696</v>
      </c>
      <c r="B149" t="s">
        <v>706</v>
      </c>
      <c r="C149" s="7">
        <f>Clients_Churn_Master[[#This Row],[Anciennete_Mois]]/12</f>
        <v>3.0833333333333335</v>
      </c>
      <c r="D149" t="s">
        <v>30</v>
      </c>
      <c r="E149">
        <v>37</v>
      </c>
      <c r="F149" t="str">
        <f>IF(Clients_Churn_Master[[#This Row],[Type_Forfait]]="Pro Monde","B2B","B2C")</f>
        <v>B2C</v>
      </c>
      <c r="G149" s="4">
        <f>Clients_Churn_Master[[#This Row],[Duree_Cumulee_Panne_Min]]/1440</f>
        <v>0.14791666666666667</v>
      </c>
      <c r="H149" t="s">
        <v>564</v>
      </c>
      <c r="I149">
        <v>213</v>
      </c>
      <c r="J149" s="10">
        <v>14.12</v>
      </c>
      <c r="K149">
        <v>1</v>
      </c>
      <c r="L1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9" s="9">
        <f>Clients_Churn_Master[[#This Row],[Remise]]*Clients_Churn_Master[[#This Row],[Facture_Mensuelle]]</f>
        <v>6.3540000000000001</v>
      </c>
    </row>
    <row r="150" spans="1:13" x14ac:dyDescent="0.25">
      <c r="A150" t="s">
        <v>1694</v>
      </c>
      <c r="B150" t="s">
        <v>707</v>
      </c>
      <c r="C150" s="7">
        <f>Clients_Churn_Master[[#This Row],[Anciennete_Mois]]/12</f>
        <v>4</v>
      </c>
      <c r="D150" t="s">
        <v>21</v>
      </c>
      <c r="E150">
        <v>48</v>
      </c>
      <c r="F150" t="str">
        <f>IF(Clients_Churn_Master[[#This Row],[Type_Forfait]]="Pro Monde","B2B","B2C")</f>
        <v>B2C</v>
      </c>
      <c r="G150" s="4">
        <f>Clients_Churn_Master[[#This Row],[Duree_Cumulee_Panne_Min]]/1440</f>
        <v>0.28888888888888886</v>
      </c>
      <c r="H150" t="s">
        <v>564</v>
      </c>
      <c r="I150">
        <v>416</v>
      </c>
      <c r="J150" s="10">
        <v>81.260000000000005</v>
      </c>
      <c r="K150">
        <v>5</v>
      </c>
      <c r="L1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0" s="9">
        <f>Clients_Churn_Master[[#This Row],[Remise]]*Clients_Churn_Master[[#This Row],[Facture_Mensuelle]]</f>
        <v>36.567</v>
      </c>
    </row>
    <row r="151" spans="1:13" x14ac:dyDescent="0.25">
      <c r="A151" t="s">
        <v>1688</v>
      </c>
      <c r="B151" t="s">
        <v>708</v>
      </c>
      <c r="C151" s="7">
        <f>Clients_Churn_Master[[#This Row],[Anciennete_Mois]]/12</f>
        <v>4.25</v>
      </c>
      <c r="D151" t="s">
        <v>13</v>
      </c>
      <c r="E151">
        <v>51</v>
      </c>
      <c r="F151" t="str">
        <f>IF(Clients_Churn_Master[[#This Row],[Type_Forfait]]="Pro Monde","B2B","B2C")</f>
        <v>B2B</v>
      </c>
      <c r="G151" s="4">
        <f>Clients_Churn_Master[[#This Row],[Duree_Cumulee_Panne_Min]]/1440</f>
        <v>0.23333333333333334</v>
      </c>
      <c r="H151" t="s">
        <v>558</v>
      </c>
      <c r="I151">
        <v>336</v>
      </c>
      <c r="J151" s="10">
        <v>65.47</v>
      </c>
      <c r="K151">
        <v>1</v>
      </c>
      <c r="L1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1" s="9">
        <f>Clients_Churn_Master[[#This Row],[Remise]]*Clients_Churn_Master[[#This Row],[Facture_Mensuelle]]</f>
        <v>29.461500000000001</v>
      </c>
    </row>
    <row r="152" spans="1:13" x14ac:dyDescent="0.25">
      <c r="A152" t="s">
        <v>1695</v>
      </c>
      <c r="B152" t="s">
        <v>709</v>
      </c>
      <c r="C152" s="7">
        <f>Clients_Churn_Master[[#This Row],[Anciennete_Mois]]/12</f>
        <v>1.6666666666666667</v>
      </c>
      <c r="D152" t="s">
        <v>133</v>
      </c>
      <c r="E152">
        <v>20</v>
      </c>
      <c r="F152" t="str">
        <f>IF(Clients_Churn_Master[[#This Row],[Type_Forfait]]="Pro Monde","B2B","B2C")</f>
        <v>B2B</v>
      </c>
      <c r="G152" s="4">
        <f>Clients_Churn_Master[[#This Row],[Duree_Cumulee_Panne_Min]]/1440</f>
        <v>2.1527777777777778E-2</v>
      </c>
      <c r="H152" t="s">
        <v>558</v>
      </c>
      <c r="I152">
        <v>31</v>
      </c>
      <c r="J152" s="10">
        <v>52.85</v>
      </c>
      <c r="K152">
        <v>2</v>
      </c>
      <c r="L1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52" s="9">
        <f>Clients_Churn_Master[[#This Row],[Remise]]*Clients_Churn_Master[[#This Row],[Facture_Mensuelle]]</f>
        <v>5.2850000000000001</v>
      </c>
    </row>
    <row r="153" spans="1:13" x14ac:dyDescent="0.25">
      <c r="A153" t="s">
        <v>1697</v>
      </c>
      <c r="B153" t="s">
        <v>710</v>
      </c>
      <c r="C153" s="7">
        <f>Clients_Churn_Master[[#This Row],[Anciennete_Mois]]/12</f>
        <v>8.25</v>
      </c>
      <c r="D153" t="s">
        <v>55</v>
      </c>
      <c r="E153">
        <v>99</v>
      </c>
      <c r="F153" t="str">
        <f>IF(Clients_Churn_Master[[#This Row],[Type_Forfait]]="Pro Monde","B2B","B2C")</f>
        <v>B2C</v>
      </c>
      <c r="G153" s="4">
        <f>Clients_Churn_Master[[#This Row],[Duree_Cumulee_Panne_Min]]/1440</f>
        <v>0.31041666666666667</v>
      </c>
      <c r="H153" t="s">
        <v>564</v>
      </c>
      <c r="I153">
        <v>447</v>
      </c>
      <c r="J153" s="10">
        <v>38.1</v>
      </c>
      <c r="K153">
        <v>3</v>
      </c>
      <c r="L1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3" s="9">
        <f>Clients_Churn_Master[[#This Row],[Remise]]*Clients_Churn_Master[[#This Row],[Facture_Mensuelle]]</f>
        <v>17.145</v>
      </c>
    </row>
    <row r="154" spans="1:13" x14ac:dyDescent="0.25">
      <c r="A154" t="s">
        <v>1694</v>
      </c>
      <c r="B154" t="s">
        <v>711</v>
      </c>
      <c r="C154" s="7">
        <f>Clients_Churn_Master[[#This Row],[Anciennete_Mois]]/12</f>
        <v>7.25</v>
      </c>
      <c r="D154" t="s">
        <v>62</v>
      </c>
      <c r="E154">
        <v>87</v>
      </c>
      <c r="F154" t="str">
        <f>IF(Clients_Churn_Master[[#This Row],[Type_Forfait]]="Pro Monde","B2B","B2C")</f>
        <v>B2C</v>
      </c>
      <c r="G154" s="4">
        <f>Clients_Churn_Master[[#This Row],[Duree_Cumulee_Panne_Min]]/1440</f>
        <v>1.4583333333333334E-2</v>
      </c>
      <c r="H154" t="s">
        <v>556</v>
      </c>
      <c r="I154">
        <v>21</v>
      </c>
      <c r="J154" s="10">
        <v>81.459999999999994</v>
      </c>
      <c r="K154">
        <v>3</v>
      </c>
      <c r="L1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54" s="9">
        <f>Clients_Churn_Master[[#This Row],[Remise]]*Clients_Churn_Master[[#This Row],[Facture_Mensuelle]]</f>
        <v>0</v>
      </c>
    </row>
    <row r="155" spans="1:13" x14ac:dyDescent="0.25">
      <c r="A155" t="s">
        <v>1699</v>
      </c>
      <c r="B155" t="s">
        <v>712</v>
      </c>
      <c r="C155" s="7">
        <f>Clients_Churn_Master[[#This Row],[Anciennete_Mois]]/12</f>
        <v>8</v>
      </c>
      <c r="D155" t="s">
        <v>62</v>
      </c>
      <c r="E155">
        <v>96</v>
      </c>
      <c r="F155" t="str">
        <f>IF(Clients_Churn_Master[[#This Row],[Type_Forfait]]="Pro Monde","B2B","B2C")</f>
        <v>B2C</v>
      </c>
      <c r="G155" s="4">
        <f>Clients_Churn_Master[[#This Row],[Duree_Cumulee_Panne_Min]]/1440</f>
        <v>0.18958333333333333</v>
      </c>
      <c r="H155" t="s">
        <v>564</v>
      </c>
      <c r="I155">
        <v>273</v>
      </c>
      <c r="J155" s="10">
        <v>37.909999999999997</v>
      </c>
      <c r="K155">
        <v>2</v>
      </c>
      <c r="L1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5" s="9">
        <f>Clients_Churn_Master[[#This Row],[Remise]]*Clients_Churn_Master[[#This Row],[Facture_Mensuelle]]</f>
        <v>17.0595</v>
      </c>
    </row>
    <row r="156" spans="1:13" x14ac:dyDescent="0.25">
      <c r="A156" t="s">
        <v>1692</v>
      </c>
      <c r="B156" t="s">
        <v>713</v>
      </c>
      <c r="C156" s="7">
        <f>Clients_Churn_Master[[#This Row],[Anciennete_Mois]]/12</f>
        <v>8.5833333333333339</v>
      </c>
      <c r="D156" t="s">
        <v>67</v>
      </c>
      <c r="E156">
        <v>103</v>
      </c>
      <c r="F156" t="str">
        <f>IF(Clients_Churn_Master[[#This Row],[Type_Forfait]]="Pro Monde","B2B","B2C")</f>
        <v>B2C</v>
      </c>
      <c r="G156" s="4">
        <f>Clients_Churn_Master[[#This Row],[Duree_Cumulee_Panne_Min]]/1440</f>
        <v>0.12638888888888888</v>
      </c>
      <c r="H156" t="s">
        <v>560</v>
      </c>
      <c r="I156">
        <v>182</v>
      </c>
      <c r="J156" s="10">
        <v>12.07</v>
      </c>
      <c r="K156">
        <v>5</v>
      </c>
      <c r="L1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56" s="9">
        <f>Clients_Churn_Master[[#This Row],[Remise]]*Clients_Churn_Master[[#This Row],[Facture_Mensuelle]]</f>
        <v>0</v>
      </c>
    </row>
    <row r="157" spans="1:13" x14ac:dyDescent="0.25">
      <c r="A157" t="s">
        <v>1701</v>
      </c>
      <c r="B157" t="s">
        <v>714</v>
      </c>
      <c r="C157" s="7">
        <f>Clients_Churn_Master[[#This Row],[Anciennete_Mois]]/12</f>
        <v>1.5</v>
      </c>
      <c r="D157" t="s">
        <v>17</v>
      </c>
      <c r="E157">
        <v>18</v>
      </c>
      <c r="F157" t="str">
        <f>IF(Clients_Churn_Master[[#This Row],[Type_Forfait]]="Pro Monde","B2B","B2C")</f>
        <v>B2C</v>
      </c>
      <c r="G157" s="4">
        <f>Clients_Churn_Master[[#This Row],[Duree_Cumulee_Panne_Min]]/1440</f>
        <v>0.30972222222222223</v>
      </c>
      <c r="H157" t="s">
        <v>556</v>
      </c>
      <c r="I157">
        <v>446</v>
      </c>
      <c r="J157" s="10">
        <v>97.3</v>
      </c>
      <c r="K157">
        <v>5</v>
      </c>
      <c r="L1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7" s="9">
        <f>Clients_Churn_Master[[#This Row],[Remise]]*Clients_Churn_Master[[#This Row],[Facture_Mensuelle]]</f>
        <v>43.784999999999997</v>
      </c>
    </row>
    <row r="158" spans="1:13" x14ac:dyDescent="0.25">
      <c r="A158" t="s">
        <v>1695</v>
      </c>
      <c r="B158" t="s">
        <v>715</v>
      </c>
      <c r="C158" s="7">
        <f>Clients_Churn_Master[[#This Row],[Anciennete_Mois]]/12</f>
        <v>2.3333333333333335</v>
      </c>
      <c r="D158" t="s">
        <v>21</v>
      </c>
      <c r="E158">
        <v>28</v>
      </c>
      <c r="F158" t="str">
        <f>IF(Clients_Churn_Master[[#This Row],[Type_Forfait]]="Pro Monde","B2B","B2C")</f>
        <v>B2C</v>
      </c>
      <c r="G158" s="4">
        <f>Clients_Churn_Master[[#This Row],[Duree_Cumulee_Panne_Min]]/1440</f>
        <v>0.23819444444444443</v>
      </c>
      <c r="H158" t="s">
        <v>564</v>
      </c>
      <c r="I158">
        <v>343</v>
      </c>
      <c r="J158" s="10">
        <v>64.34</v>
      </c>
      <c r="K158">
        <v>5</v>
      </c>
      <c r="L1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8" s="9">
        <f>Clients_Churn_Master[[#This Row],[Remise]]*Clients_Churn_Master[[#This Row],[Facture_Mensuelle]]</f>
        <v>28.953000000000003</v>
      </c>
    </row>
    <row r="159" spans="1:13" x14ac:dyDescent="0.25">
      <c r="A159" t="s">
        <v>1698</v>
      </c>
      <c r="B159" t="s">
        <v>716</v>
      </c>
      <c r="C159" s="7">
        <f>Clients_Churn_Master[[#This Row],[Anciennete_Mois]]/12</f>
        <v>5</v>
      </c>
      <c r="D159" t="s">
        <v>32</v>
      </c>
      <c r="E159">
        <v>60</v>
      </c>
      <c r="F159" t="str">
        <f>IF(Clients_Churn_Master[[#This Row],[Type_Forfait]]="Pro Monde","B2B","B2C")</f>
        <v>B2B</v>
      </c>
      <c r="G159" s="4">
        <f>Clients_Churn_Master[[#This Row],[Duree_Cumulee_Panne_Min]]/1440</f>
        <v>0.23194444444444445</v>
      </c>
      <c r="H159" t="s">
        <v>558</v>
      </c>
      <c r="I159">
        <v>334</v>
      </c>
      <c r="J159" s="10">
        <v>71.72</v>
      </c>
      <c r="K159">
        <v>3</v>
      </c>
      <c r="L1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9" s="9">
        <f>Clients_Churn_Master[[#This Row],[Remise]]*Clients_Churn_Master[[#This Row],[Facture_Mensuelle]]</f>
        <v>32.274000000000001</v>
      </c>
    </row>
    <row r="160" spans="1:13" x14ac:dyDescent="0.25">
      <c r="A160" t="s">
        <v>1701</v>
      </c>
      <c r="B160" t="s">
        <v>717</v>
      </c>
      <c r="C160" s="7">
        <f>Clients_Churn_Master[[#This Row],[Anciennete_Mois]]/12</f>
        <v>3</v>
      </c>
      <c r="D160" t="s">
        <v>47</v>
      </c>
      <c r="E160">
        <v>36</v>
      </c>
      <c r="F160" t="str">
        <f>IF(Clients_Churn_Master[[#This Row],[Type_Forfait]]="Pro Monde","B2B","B2C")</f>
        <v>B2C</v>
      </c>
      <c r="G160" s="4">
        <f>Clients_Churn_Master[[#This Row],[Duree_Cumulee_Panne_Min]]/1440</f>
        <v>0.33819444444444446</v>
      </c>
      <c r="H160" t="s">
        <v>560</v>
      </c>
      <c r="I160">
        <v>487</v>
      </c>
      <c r="J160" s="10">
        <v>45.02</v>
      </c>
      <c r="K160">
        <v>2</v>
      </c>
      <c r="L1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0" s="9">
        <f>Clients_Churn_Master[[#This Row],[Remise]]*Clients_Churn_Master[[#This Row],[Facture_Mensuelle]]</f>
        <v>20.259</v>
      </c>
    </row>
    <row r="161" spans="1:13" x14ac:dyDescent="0.25">
      <c r="A161" t="s">
        <v>1692</v>
      </c>
      <c r="B161" t="s">
        <v>718</v>
      </c>
      <c r="C161" s="7">
        <f>Clients_Churn_Master[[#This Row],[Anciennete_Mois]]/12</f>
        <v>8.8333333333333339</v>
      </c>
      <c r="D161" t="s">
        <v>76</v>
      </c>
      <c r="E161">
        <v>106</v>
      </c>
      <c r="F161" t="str">
        <f>IF(Clients_Churn_Master[[#This Row],[Type_Forfait]]="Pro Monde","B2B","B2C")</f>
        <v>B2C</v>
      </c>
      <c r="G161" s="4">
        <f>Clients_Churn_Master[[#This Row],[Duree_Cumulee_Panne_Min]]/1440</f>
        <v>0.28263888888888888</v>
      </c>
      <c r="H161" t="s">
        <v>560</v>
      </c>
      <c r="I161">
        <v>407</v>
      </c>
      <c r="J161" s="10">
        <v>59.92</v>
      </c>
      <c r="K161">
        <v>4</v>
      </c>
      <c r="L1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1" s="9">
        <f>Clients_Churn_Master[[#This Row],[Remise]]*Clients_Churn_Master[[#This Row],[Facture_Mensuelle]]</f>
        <v>26.964000000000002</v>
      </c>
    </row>
    <row r="162" spans="1:13" x14ac:dyDescent="0.25">
      <c r="A162" t="s">
        <v>1702</v>
      </c>
      <c r="B162" t="s">
        <v>719</v>
      </c>
      <c r="C162" s="7">
        <f>Clients_Churn_Master[[#This Row],[Anciennete_Mois]]/12</f>
        <v>3.3333333333333335</v>
      </c>
      <c r="D162" t="s">
        <v>9</v>
      </c>
      <c r="E162">
        <v>40</v>
      </c>
      <c r="F162" t="str">
        <f>IF(Clients_Churn_Master[[#This Row],[Type_Forfait]]="Pro Monde","B2B","B2C")</f>
        <v>B2C</v>
      </c>
      <c r="G162" s="4">
        <f>Clients_Churn_Master[[#This Row],[Duree_Cumulee_Panne_Min]]/1440</f>
        <v>0.23958333333333334</v>
      </c>
      <c r="H162" t="s">
        <v>564</v>
      </c>
      <c r="I162">
        <v>345</v>
      </c>
      <c r="J162" s="10">
        <v>89.55</v>
      </c>
      <c r="K162">
        <v>3</v>
      </c>
      <c r="L1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2" s="9">
        <f>Clients_Churn_Master[[#This Row],[Remise]]*Clients_Churn_Master[[#This Row],[Facture_Mensuelle]]</f>
        <v>40.297499999999999</v>
      </c>
    </row>
    <row r="163" spans="1:13" x14ac:dyDescent="0.25">
      <c r="A163" t="s">
        <v>1692</v>
      </c>
      <c r="B163" t="s">
        <v>720</v>
      </c>
      <c r="C163" s="7">
        <f>Clients_Churn_Master[[#This Row],[Anciennete_Mois]]/12</f>
        <v>10</v>
      </c>
      <c r="D163" t="s">
        <v>96</v>
      </c>
      <c r="E163">
        <v>120</v>
      </c>
      <c r="F163" t="str">
        <f>IF(Clients_Churn_Master[[#This Row],[Type_Forfait]]="Pro Monde","B2B","B2C")</f>
        <v>B2C</v>
      </c>
      <c r="G163" s="4">
        <f>Clients_Churn_Master[[#This Row],[Duree_Cumulee_Panne_Min]]/1440</f>
        <v>0.16805555555555557</v>
      </c>
      <c r="H163" t="s">
        <v>560</v>
      </c>
      <c r="I163">
        <v>242</v>
      </c>
      <c r="J163" s="10">
        <v>61.54</v>
      </c>
      <c r="K163">
        <v>1</v>
      </c>
      <c r="L1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3" s="9">
        <f>Clients_Churn_Master[[#This Row],[Remise]]*Clients_Churn_Master[[#This Row],[Facture_Mensuelle]]</f>
        <v>27.693000000000001</v>
      </c>
    </row>
    <row r="164" spans="1:13" x14ac:dyDescent="0.25">
      <c r="A164" t="s">
        <v>1702</v>
      </c>
      <c r="B164" t="s">
        <v>721</v>
      </c>
      <c r="C164" s="7">
        <f>Clients_Churn_Master[[#This Row],[Anciennete_Mois]]/12</f>
        <v>6.75</v>
      </c>
      <c r="D164" t="s">
        <v>55</v>
      </c>
      <c r="E164">
        <v>81</v>
      </c>
      <c r="F164" t="str">
        <f>IF(Clients_Churn_Master[[#This Row],[Type_Forfait]]="Pro Monde","B2B","B2C")</f>
        <v>B2C</v>
      </c>
      <c r="G164" s="4">
        <f>Clients_Churn_Master[[#This Row],[Duree_Cumulee_Panne_Min]]/1440</f>
        <v>9.5138888888888884E-2</v>
      </c>
      <c r="H164" t="s">
        <v>564</v>
      </c>
      <c r="I164">
        <v>137</v>
      </c>
      <c r="J164" s="10">
        <v>89.05</v>
      </c>
      <c r="K164">
        <v>0</v>
      </c>
      <c r="L1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64" s="9">
        <f>Clients_Churn_Master[[#This Row],[Remise]]*Clients_Churn_Master[[#This Row],[Facture_Mensuelle]]</f>
        <v>0</v>
      </c>
    </row>
    <row r="165" spans="1:13" x14ac:dyDescent="0.25">
      <c r="A165" t="s">
        <v>1696</v>
      </c>
      <c r="B165" t="s">
        <v>722</v>
      </c>
      <c r="C165" s="7">
        <f>Clients_Churn_Master[[#This Row],[Anciennete_Mois]]/12</f>
        <v>8.75</v>
      </c>
      <c r="D165" t="s">
        <v>85</v>
      </c>
      <c r="E165">
        <v>105</v>
      </c>
      <c r="F165" t="str">
        <f>IF(Clients_Churn_Master[[#This Row],[Type_Forfait]]="Pro Monde","B2B","B2C")</f>
        <v>B2C</v>
      </c>
      <c r="G165" s="4">
        <f>Clients_Churn_Master[[#This Row],[Duree_Cumulee_Panne_Min]]/1440</f>
        <v>0.31527777777777777</v>
      </c>
      <c r="H165" t="s">
        <v>564</v>
      </c>
      <c r="I165">
        <v>454</v>
      </c>
      <c r="J165" s="10">
        <v>49.47</v>
      </c>
      <c r="K165">
        <v>4</v>
      </c>
      <c r="L1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5" s="9">
        <f>Clients_Churn_Master[[#This Row],[Remise]]*Clients_Churn_Master[[#This Row],[Facture_Mensuelle]]</f>
        <v>22.261500000000002</v>
      </c>
    </row>
    <row r="166" spans="1:13" x14ac:dyDescent="0.25">
      <c r="A166" t="s">
        <v>1694</v>
      </c>
      <c r="B166" t="s">
        <v>723</v>
      </c>
      <c r="C166" s="7">
        <f>Clients_Churn_Master[[#This Row],[Anciennete_Mois]]/12</f>
        <v>0.41666666666666669</v>
      </c>
      <c r="D166" t="s">
        <v>67</v>
      </c>
      <c r="E166">
        <v>5</v>
      </c>
      <c r="F166" t="str">
        <f>IF(Clients_Churn_Master[[#This Row],[Type_Forfait]]="Pro Monde","B2B","B2C")</f>
        <v>B2B</v>
      </c>
      <c r="G166" s="4">
        <f>Clients_Churn_Master[[#This Row],[Duree_Cumulee_Panne_Min]]/1440</f>
        <v>6.805555555555555E-2</v>
      </c>
      <c r="H166" t="s">
        <v>558</v>
      </c>
      <c r="I166">
        <v>98</v>
      </c>
      <c r="J166" s="10">
        <v>71.37</v>
      </c>
      <c r="K166">
        <v>1</v>
      </c>
      <c r="L1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66" s="9">
        <f>Clients_Churn_Master[[#This Row],[Remise]]*Clients_Churn_Master[[#This Row],[Facture_Mensuelle]]</f>
        <v>7.1370000000000005</v>
      </c>
    </row>
    <row r="167" spans="1:13" x14ac:dyDescent="0.25">
      <c r="A167" t="s">
        <v>1694</v>
      </c>
      <c r="B167" t="s">
        <v>724</v>
      </c>
      <c r="C167" s="7">
        <f>Clients_Churn_Master[[#This Row],[Anciennete_Mois]]/12</f>
        <v>2.0833333333333335</v>
      </c>
      <c r="D167" t="s">
        <v>49</v>
      </c>
      <c r="E167">
        <v>25</v>
      </c>
      <c r="F167" t="str">
        <f>IF(Clients_Churn_Master[[#This Row],[Type_Forfait]]="Pro Monde","B2B","B2C")</f>
        <v>B2C</v>
      </c>
      <c r="G167" s="4">
        <f>Clients_Churn_Master[[#This Row],[Duree_Cumulee_Panne_Min]]/1440</f>
        <v>0.32430555555555557</v>
      </c>
      <c r="H167" t="s">
        <v>564</v>
      </c>
      <c r="I167">
        <v>467</v>
      </c>
      <c r="J167" s="10">
        <v>97.78</v>
      </c>
      <c r="K167">
        <v>3</v>
      </c>
      <c r="L1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7" s="9">
        <f>Clients_Churn_Master[[#This Row],[Remise]]*Clients_Churn_Master[[#This Row],[Facture_Mensuelle]]</f>
        <v>44.001000000000005</v>
      </c>
    </row>
    <row r="168" spans="1:13" x14ac:dyDescent="0.25">
      <c r="A168" t="s">
        <v>1699</v>
      </c>
      <c r="B168" t="s">
        <v>725</v>
      </c>
      <c r="C168" s="7">
        <f>Clients_Churn_Master[[#This Row],[Anciennete_Mois]]/12</f>
        <v>3</v>
      </c>
      <c r="D168" t="s">
        <v>76</v>
      </c>
      <c r="E168">
        <v>36</v>
      </c>
      <c r="F168" t="str">
        <f>IF(Clients_Churn_Master[[#This Row],[Type_Forfait]]="Pro Monde","B2B","B2C")</f>
        <v>B2C</v>
      </c>
      <c r="G168" s="4">
        <f>Clients_Churn_Master[[#This Row],[Duree_Cumulee_Panne_Min]]/1440</f>
        <v>9.5138888888888884E-2</v>
      </c>
      <c r="H168" t="s">
        <v>564</v>
      </c>
      <c r="I168">
        <v>137</v>
      </c>
      <c r="J168" s="10">
        <v>71.930000000000007</v>
      </c>
      <c r="K168">
        <v>0</v>
      </c>
      <c r="L1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8" s="9">
        <f>Clients_Churn_Master[[#This Row],[Remise]]*Clients_Churn_Master[[#This Row],[Facture_Mensuelle]]</f>
        <v>32.368500000000004</v>
      </c>
    </row>
    <row r="169" spans="1:13" x14ac:dyDescent="0.25">
      <c r="A169" t="s">
        <v>1696</v>
      </c>
      <c r="B169" t="s">
        <v>726</v>
      </c>
      <c r="C169" s="7">
        <f>Clients_Churn_Master[[#This Row],[Anciennete_Mois]]/12</f>
        <v>6.75</v>
      </c>
      <c r="D169" t="s">
        <v>45</v>
      </c>
      <c r="E169">
        <v>81</v>
      </c>
      <c r="F169" t="str">
        <f>IF(Clients_Churn_Master[[#This Row],[Type_Forfait]]="Pro Monde","B2B","B2C")</f>
        <v>B2C</v>
      </c>
      <c r="G169" s="4">
        <f>Clients_Churn_Master[[#This Row],[Duree_Cumulee_Panne_Min]]/1440</f>
        <v>0.23541666666666666</v>
      </c>
      <c r="H169" t="s">
        <v>560</v>
      </c>
      <c r="I169">
        <v>339</v>
      </c>
      <c r="J169" s="10">
        <v>53.4</v>
      </c>
      <c r="K169">
        <v>2</v>
      </c>
      <c r="L1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9" s="9">
        <f>Clients_Churn_Master[[#This Row],[Remise]]*Clients_Churn_Master[[#This Row],[Facture_Mensuelle]]</f>
        <v>24.03</v>
      </c>
    </row>
    <row r="170" spans="1:13" x14ac:dyDescent="0.25">
      <c r="A170" t="s">
        <v>1696</v>
      </c>
      <c r="B170" t="s">
        <v>727</v>
      </c>
      <c r="C170" s="7">
        <f>Clients_Churn_Master[[#This Row],[Anciennete_Mois]]/12</f>
        <v>1.75</v>
      </c>
      <c r="D170" t="s">
        <v>52</v>
      </c>
      <c r="E170">
        <v>21</v>
      </c>
      <c r="F170" t="str">
        <f>IF(Clients_Churn_Master[[#This Row],[Type_Forfait]]="Pro Monde","B2B","B2C")</f>
        <v>B2C</v>
      </c>
      <c r="G170" s="4">
        <f>Clients_Churn_Master[[#This Row],[Duree_Cumulee_Panne_Min]]/1440</f>
        <v>0.3298611111111111</v>
      </c>
      <c r="H170" t="s">
        <v>556</v>
      </c>
      <c r="I170">
        <v>475</v>
      </c>
      <c r="J170" s="10">
        <v>15.12</v>
      </c>
      <c r="K170">
        <v>2</v>
      </c>
      <c r="L1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0" s="9">
        <f>Clients_Churn_Master[[#This Row],[Remise]]*Clients_Churn_Master[[#This Row],[Facture_Mensuelle]]</f>
        <v>6.8039999999999994</v>
      </c>
    </row>
    <row r="171" spans="1:13" x14ac:dyDescent="0.25">
      <c r="A171" t="s">
        <v>1690</v>
      </c>
      <c r="B171" t="s">
        <v>728</v>
      </c>
      <c r="C171" s="7">
        <f>Clients_Churn_Master[[#This Row],[Anciennete_Mois]]/12</f>
        <v>1.5833333333333333</v>
      </c>
      <c r="D171" t="s">
        <v>96</v>
      </c>
      <c r="E171">
        <v>19</v>
      </c>
      <c r="F171" t="str">
        <f>IF(Clients_Churn_Master[[#This Row],[Type_Forfait]]="Pro Monde","B2B","B2C")</f>
        <v>B2C</v>
      </c>
      <c r="G171" s="4">
        <f>Clients_Churn_Master[[#This Row],[Duree_Cumulee_Panne_Min]]/1440</f>
        <v>0.3125</v>
      </c>
      <c r="H171" t="s">
        <v>560</v>
      </c>
      <c r="I171">
        <v>450</v>
      </c>
      <c r="J171" s="10">
        <v>37.43</v>
      </c>
      <c r="K171">
        <v>2</v>
      </c>
      <c r="L1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1" s="9">
        <f>Clients_Churn_Master[[#This Row],[Remise]]*Clients_Churn_Master[[#This Row],[Facture_Mensuelle]]</f>
        <v>16.843499999999999</v>
      </c>
    </row>
    <row r="172" spans="1:13" x14ac:dyDescent="0.25">
      <c r="A172" t="s">
        <v>1698</v>
      </c>
      <c r="B172" t="s">
        <v>729</v>
      </c>
      <c r="C172" s="7">
        <f>Clients_Churn_Master[[#This Row],[Anciennete_Mois]]/12</f>
        <v>5.333333333333333</v>
      </c>
      <c r="D172" t="s">
        <v>76</v>
      </c>
      <c r="E172">
        <v>64</v>
      </c>
      <c r="F172" t="str">
        <f>IF(Clients_Churn_Master[[#This Row],[Type_Forfait]]="Pro Monde","B2B","B2C")</f>
        <v>B2B</v>
      </c>
      <c r="G172" s="4">
        <f>Clients_Churn_Master[[#This Row],[Duree_Cumulee_Panne_Min]]/1440</f>
        <v>4.1666666666666666E-3</v>
      </c>
      <c r="H172" t="s">
        <v>558</v>
      </c>
      <c r="I172">
        <v>6</v>
      </c>
      <c r="J172" s="10">
        <v>40.58</v>
      </c>
      <c r="K172">
        <v>5</v>
      </c>
      <c r="L1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72" s="9">
        <f>Clients_Churn_Master[[#This Row],[Remise]]*Clients_Churn_Master[[#This Row],[Facture_Mensuelle]]</f>
        <v>4.0579999999999998</v>
      </c>
    </row>
    <row r="173" spans="1:13" x14ac:dyDescent="0.25">
      <c r="A173" t="s">
        <v>1702</v>
      </c>
      <c r="B173" t="s">
        <v>730</v>
      </c>
      <c r="C173" s="7">
        <f>Clients_Churn_Master[[#This Row],[Anciennete_Mois]]/12</f>
        <v>6.833333333333333</v>
      </c>
      <c r="D173" t="s">
        <v>13</v>
      </c>
      <c r="E173">
        <v>82</v>
      </c>
      <c r="F173" t="str">
        <f>IF(Clients_Churn_Master[[#This Row],[Type_Forfait]]="Pro Monde","B2B","B2C")</f>
        <v>B2C</v>
      </c>
      <c r="G173" s="4">
        <f>Clients_Churn_Master[[#This Row],[Duree_Cumulee_Panne_Min]]/1440</f>
        <v>9.166666666666666E-2</v>
      </c>
      <c r="H173" t="s">
        <v>556</v>
      </c>
      <c r="I173">
        <v>132</v>
      </c>
      <c r="J173" s="10">
        <v>50.14</v>
      </c>
      <c r="K173">
        <v>5</v>
      </c>
      <c r="L1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73" s="9">
        <f>Clients_Churn_Master[[#This Row],[Remise]]*Clients_Churn_Master[[#This Row],[Facture_Mensuelle]]</f>
        <v>0</v>
      </c>
    </row>
    <row r="174" spans="1:13" x14ac:dyDescent="0.25">
      <c r="A174" t="s">
        <v>1691</v>
      </c>
      <c r="B174" t="s">
        <v>731</v>
      </c>
      <c r="C174" s="7">
        <f>Clients_Churn_Master[[#This Row],[Anciennete_Mois]]/12</f>
        <v>6.166666666666667</v>
      </c>
      <c r="D174" t="s">
        <v>45</v>
      </c>
      <c r="E174">
        <v>74</v>
      </c>
      <c r="F174" t="str">
        <f>IF(Clients_Churn_Master[[#This Row],[Type_Forfait]]="Pro Monde","B2B","B2C")</f>
        <v>B2B</v>
      </c>
      <c r="G174" s="4">
        <f>Clients_Churn_Master[[#This Row],[Duree_Cumulee_Panne_Min]]/1440</f>
        <v>0.25763888888888886</v>
      </c>
      <c r="H174" t="s">
        <v>558</v>
      </c>
      <c r="I174">
        <v>371</v>
      </c>
      <c r="J174" s="10">
        <v>53.27</v>
      </c>
      <c r="K174">
        <v>3</v>
      </c>
      <c r="L1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4" s="9">
        <f>Clients_Churn_Master[[#This Row],[Remise]]*Clients_Churn_Master[[#This Row],[Facture_Mensuelle]]</f>
        <v>23.971500000000002</v>
      </c>
    </row>
    <row r="175" spans="1:13" x14ac:dyDescent="0.25">
      <c r="A175" t="s">
        <v>1702</v>
      </c>
      <c r="B175" t="s">
        <v>732</v>
      </c>
      <c r="C175" s="7">
        <f>Clients_Churn_Master[[#This Row],[Anciennete_Mois]]/12</f>
        <v>9.6666666666666661</v>
      </c>
      <c r="D175" t="s">
        <v>85</v>
      </c>
      <c r="E175">
        <v>116</v>
      </c>
      <c r="F175" t="str">
        <f>IF(Clients_Churn_Master[[#This Row],[Type_Forfait]]="Pro Monde","B2B","B2C")</f>
        <v>B2B</v>
      </c>
      <c r="G175" s="4">
        <f>Clients_Churn_Master[[#This Row],[Duree_Cumulee_Panne_Min]]/1440</f>
        <v>0.33750000000000002</v>
      </c>
      <c r="H175" t="s">
        <v>558</v>
      </c>
      <c r="I175">
        <v>486</v>
      </c>
      <c r="J175" s="10">
        <v>92.96</v>
      </c>
      <c r="K175">
        <v>5</v>
      </c>
      <c r="L1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5" s="9">
        <f>Clients_Churn_Master[[#This Row],[Remise]]*Clients_Churn_Master[[#This Row],[Facture_Mensuelle]]</f>
        <v>41.832000000000001</v>
      </c>
    </row>
    <row r="176" spans="1:13" x14ac:dyDescent="0.25">
      <c r="A176" t="s">
        <v>1691</v>
      </c>
      <c r="B176" t="s">
        <v>733</v>
      </c>
      <c r="C176" s="7">
        <f>Clients_Churn_Master[[#This Row],[Anciennete_Mois]]/12</f>
        <v>2.4166666666666665</v>
      </c>
      <c r="D176" t="s">
        <v>37</v>
      </c>
      <c r="E176">
        <v>29</v>
      </c>
      <c r="F176" t="str">
        <f>IF(Clients_Churn_Master[[#This Row],[Type_Forfait]]="Pro Monde","B2B","B2C")</f>
        <v>B2B</v>
      </c>
      <c r="G176" s="4">
        <f>Clients_Churn_Master[[#This Row],[Duree_Cumulee_Panne_Min]]/1440</f>
        <v>2.361111111111111E-2</v>
      </c>
      <c r="H176" t="s">
        <v>558</v>
      </c>
      <c r="I176">
        <v>34</v>
      </c>
      <c r="J176" s="10">
        <v>86.68</v>
      </c>
      <c r="K176">
        <v>1</v>
      </c>
      <c r="L1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76" s="9">
        <f>Clients_Churn_Master[[#This Row],[Remise]]*Clients_Churn_Master[[#This Row],[Facture_Mensuelle]]</f>
        <v>8.668000000000001</v>
      </c>
    </row>
    <row r="177" spans="1:13" x14ac:dyDescent="0.25">
      <c r="A177" t="s">
        <v>1701</v>
      </c>
      <c r="B177" t="s">
        <v>734</v>
      </c>
      <c r="C177" s="7">
        <f>Clients_Churn_Master[[#This Row],[Anciennete_Mois]]/12</f>
        <v>9.4166666666666661</v>
      </c>
      <c r="D177" t="s">
        <v>41</v>
      </c>
      <c r="E177">
        <v>113</v>
      </c>
      <c r="F177" t="str">
        <f>IF(Clients_Churn_Master[[#This Row],[Type_Forfait]]="Pro Monde","B2B","B2C")</f>
        <v>B2B</v>
      </c>
      <c r="G177" s="4">
        <f>Clients_Churn_Master[[#This Row],[Duree_Cumulee_Panne_Min]]/1440</f>
        <v>0.10555555555555556</v>
      </c>
      <c r="H177" t="s">
        <v>558</v>
      </c>
      <c r="I177">
        <v>152</v>
      </c>
      <c r="J177" s="10">
        <v>51.28</v>
      </c>
      <c r="K177">
        <v>4</v>
      </c>
      <c r="L1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77" s="9">
        <f>Clients_Churn_Master[[#This Row],[Remise]]*Clients_Churn_Master[[#This Row],[Facture_Mensuelle]]</f>
        <v>5.1280000000000001</v>
      </c>
    </row>
    <row r="178" spans="1:13" x14ac:dyDescent="0.25">
      <c r="A178" t="s">
        <v>1695</v>
      </c>
      <c r="B178" t="s">
        <v>735</v>
      </c>
      <c r="C178" s="7">
        <f>Clients_Churn_Master[[#This Row],[Anciennete_Mois]]/12</f>
        <v>1.3333333333333333</v>
      </c>
      <c r="D178" t="s">
        <v>41</v>
      </c>
      <c r="E178">
        <v>16</v>
      </c>
      <c r="F178" t="str">
        <f>IF(Clients_Churn_Master[[#This Row],[Type_Forfait]]="Pro Monde","B2B","B2C")</f>
        <v>B2C</v>
      </c>
      <c r="G178" s="4">
        <f>Clients_Churn_Master[[#This Row],[Duree_Cumulee_Panne_Min]]/1440</f>
        <v>0.27083333333333331</v>
      </c>
      <c r="H178" t="s">
        <v>560</v>
      </c>
      <c r="I178">
        <v>390</v>
      </c>
      <c r="J178" s="10">
        <v>52.64</v>
      </c>
      <c r="K178">
        <v>0</v>
      </c>
      <c r="L1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8" s="9">
        <f>Clients_Churn_Master[[#This Row],[Remise]]*Clients_Churn_Master[[#This Row],[Facture_Mensuelle]]</f>
        <v>23.688000000000002</v>
      </c>
    </row>
    <row r="179" spans="1:13" x14ac:dyDescent="0.25">
      <c r="A179" t="s">
        <v>1695</v>
      </c>
      <c r="B179" t="s">
        <v>736</v>
      </c>
      <c r="C179" s="7">
        <f>Clients_Churn_Master[[#This Row],[Anciennete_Mois]]/12</f>
        <v>6</v>
      </c>
      <c r="D179" t="s">
        <v>41</v>
      </c>
      <c r="E179">
        <v>72</v>
      </c>
      <c r="F179" t="str">
        <f>IF(Clients_Churn_Master[[#This Row],[Type_Forfait]]="Pro Monde","B2B","B2C")</f>
        <v>B2B</v>
      </c>
      <c r="G179" s="4">
        <f>Clients_Churn_Master[[#This Row],[Duree_Cumulee_Panne_Min]]/1440</f>
        <v>0.30694444444444446</v>
      </c>
      <c r="H179" t="s">
        <v>558</v>
      </c>
      <c r="I179">
        <v>442</v>
      </c>
      <c r="J179" s="10">
        <v>59.2</v>
      </c>
      <c r="K179">
        <v>1</v>
      </c>
      <c r="L1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9" s="9">
        <f>Clients_Churn_Master[[#This Row],[Remise]]*Clients_Churn_Master[[#This Row],[Facture_Mensuelle]]</f>
        <v>26.64</v>
      </c>
    </row>
    <row r="180" spans="1:13" x14ac:dyDescent="0.25">
      <c r="A180" t="s">
        <v>1691</v>
      </c>
      <c r="B180" t="s">
        <v>737</v>
      </c>
      <c r="C180" s="7">
        <f>Clients_Churn_Master[[#This Row],[Anciennete_Mois]]/12</f>
        <v>4.916666666666667</v>
      </c>
      <c r="D180" t="s">
        <v>45</v>
      </c>
      <c r="E180">
        <v>59</v>
      </c>
      <c r="F180" t="str">
        <f>IF(Clients_Churn_Master[[#This Row],[Type_Forfait]]="Pro Monde","B2B","B2C")</f>
        <v>B2C</v>
      </c>
      <c r="G180" s="4">
        <f>Clients_Churn_Master[[#This Row],[Duree_Cumulee_Panne_Min]]/1440</f>
        <v>0.1361111111111111</v>
      </c>
      <c r="H180" t="s">
        <v>556</v>
      </c>
      <c r="I180">
        <v>196</v>
      </c>
      <c r="J180" s="10">
        <v>62.53</v>
      </c>
      <c r="K180">
        <v>0</v>
      </c>
      <c r="L1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80" s="9">
        <f>Clients_Churn_Master[[#This Row],[Remise]]*Clients_Churn_Master[[#This Row],[Facture_Mensuelle]]</f>
        <v>0</v>
      </c>
    </row>
    <row r="181" spans="1:13" x14ac:dyDescent="0.25">
      <c r="A181" t="s">
        <v>1692</v>
      </c>
      <c r="B181" t="s">
        <v>738</v>
      </c>
      <c r="C181" s="7">
        <f>Clients_Churn_Master[[#This Row],[Anciennete_Mois]]/12</f>
        <v>3.1666666666666665</v>
      </c>
      <c r="D181" t="s">
        <v>45</v>
      </c>
      <c r="E181">
        <v>38</v>
      </c>
      <c r="F181" t="str">
        <f>IF(Clients_Churn_Master[[#This Row],[Type_Forfait]]="Pro Monde","B2B","B2C")</f>
        <v>B2C</v>
      </c>
      <c r="G181" s="4">
        <f>Clients_Churn_Master[[#This Row],[Duree_Cumulee_Panne_Min]]/1440</f>
        <v>4.1666666666666664E-2</v>
      </c>
      <c r="H181" t="s">
        <v>564</v>
      </c>
      <c r="I181">
        <v>60</v>
      </c>
      <c r="J181" s="10">
        <v>58.28</v>
      </c>
      <c r="K181">
        <v>4</v>
      </c>
      <c r="L1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1" s="9">
        <f>Clients_Churn_Master[[#This Row],[Remise]]*Clients_Churn_Master[[#This Row],[Facture_Mensuelle]]</f>
        <v>26.226000000000003</v>
      </c>
    </row>
    <row r="182" spans="1:13" x14ac:dyDescent="0.25">
      <c r="A182" t="s">
        <v>1700</v>
      </c>
      <c r="B182" t="s">
        <v>739</v>
      </c>
      <c r="C182" s="7">
        <f>Clients_Churn_Master[[#This Row],[Anciennete_Mois]]/12</f>
        <v>9.8333333333333339</v>
      </c>
      <c r="D182" t="s">
        <v>27</v>
      </c>
      <c r="E182">
        <v>118</v>
      </c>
      <c r="F182" t="str">
        <f>IF(Clients_Churn_Master[[#This Row],[Type_Forfait]]="Pro Monde","B2B","B2C")</f>
        <v>B2C</v>
      </c>
      <c r="G182" s="4">
        <f>Clients_Churn_Master[[#This Row],[Duree_Cumulee_Panne_Min]]/1440</f>
        <v>0.12916666666666668</v>
      </c>
      <c r="H182" t="s">
        <v>556</v>
      </c>
      <c r="I182">
        <v>186</v>
      </c>
      <c r="J182" s="10">
        <v>46.88</v>
      </c>
      <c r="K182">
        <v>1</v>
      </c>
      <c r="L1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82" s="9">
        <f>Clients_Churn_Master[[#This Row],[Remise]]*Clients_Churn_Master[[#This Row],[Facture_Mensuelle]]</f>
        <v>0</v>
      </c>
    </row>
    <row r="183" spans="1:13" x14ac:dyDescent="0.25">
      <c r="A183" t="s">
        <v>1688</v>
      </c>
      <c r="B183" t="s">
        <v>740</v>
      </c>
      <c r="C183" s="7">
        <f>Clients_Churn_Master[[#This Row],[Anciennete_Mois]]/12</f>
        <v>3.5</v>
      </c>
      <c r="D183" t="s">
        <v>49</v>
      </c>
      <c r="E183">
        <v>42</v>
      </c>
      <c r="F183" t="str">
        <f>IF(Clients_Churn_Master[[#This Row],[Type_Forfait]]="Pro Monde","B2B","B2C")</f>
        <v>B2C</v>
      </c>
      <c r="G183" s="4">
        <f>Clients_Churn_Master[[#This Row],[Duree_Cumulee_Panne_Min]]/1440</f>
        <v>0.31458333333333333</v>
      </c>
      <c r="H183" t="s">
        <v>560</v>
      </c>
      <c r="I183">
        <v>453</v>
      </c>
      <c r="J183" s="10">
        <v>36.700000000000003</v>
      </c>
      <c r="K183">
        <v>4</v>
      </c>
      <c r="L1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3" s="9">
        <f>Clients_Churn_Master[[#This Row],[Remise]]*Clients_Churn_Master[[#This Row],[Facture_Mensuelle]]</f>
        <v>16.515000000000001</v>
      </c>
    </row>
    <row r="184" spans="1:13" x14ac:dyDescent="0.25">
      <c r="A184" t="s">
        <v>1702</v>
      </c>
      <c r="B184" t="s">
        <v>741</v>
      </c>
      <c r="C184" s="7">
        <f>Clients_Churn_Master[[#This Row],[Anciennete_Mois]]/12</f>
        <v>6.666666666666667</v>
      </c>
      <c r="D184" t="s">
        <v>27</v>
      </c>
      <c r="E184">
        <v>80</v>
      </c>
      <c r="F184" t="str">
        <f>IF(Clients_Churn_Master[[#This Row],[Type_Forfait]]="Pro Monde","B2B","B2C")</f>
        <v>B2C</v>
      </c>
      <c r="G184" s="4">
        <f>Clients_Churn_Master[[#This Row],[Duree_Cumulee_Panne_Min]]/1440</f>
        <v>0.18055555555555555</v>
      </c>
      <c r="H184" t="s">
        <v>556</v>
      </c>
      <c r="I184">
        <v>260</v>
      </c>
      <c r="J184" s="10">
        <v>65.87</v>
      </c>
      <c r="K184">
        <v>3</v>
      </c>
      <c r="L1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4" s="9">
        <f>Clients_Churn_Master[[#This Row],[Remise]]*Clients_Churn_Master[[#This Row],[Facture_Mensuelle]]</f>
        <v>29.641500000000004</v>
      </c>
    </row>
    <row r="185" spans="1:13" x14ac:dyDescent="0.25">
      <c r="A185" t="s">
        <v>1691</v>
      </c>
      <c r="B185" t="s">
        <v>742</v>
      </c>
      <c r="C185" s="7">
        <f>Clients_Churn_Master[[#This Row],[Anciennete_Mois]]/12</f>
        <v>0.58333333333333337</v>
      </c>
      <c r="D185" t="s">
        <v>47</v>
      </c>
      <c r="E185">
        <v>7</v>
      </c>
      <c r="F185" t="str">
        <f>IF(Clients_Churn_Master[[#This Row],[Type_Forfait]]="Pro Monde","B2B","B2C")</f>
        <v>B2C</v>
      </c>
      <c r="G185" s="4">
        <f>Clients_Churn_Master[[#This Row],[Duree_Cumulee_Panne_Min]]/1440</f>
        <v>0.21041666666666667</v>
      </c>
      <c r="H185" t="s">
        <v>564</v>
      </c>
      <c r="I185">
        <v>303</v>
      </c>
      <c r="J185" s="10">
        <v>60.95</v>
      </c>
      <c r="K185">
        <v>0</v>
      </c>
      <c r="L1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5" s="9">
        <f>Clients_Churn_Master[[#This Row],[Remise]]*Clients_Churn_Master[[#This Row],[Facture_Mensuelle]]</f>
        <v>27.427500000000002</v>
      </c>
    </row>
    <row r="186" spans="1:13" x14ac:dyDescent="0.25">
      <c r="A186" t="s">
        <v>1690</v>
      </c>
      <c r="B186" t="s">
        <v>743</v>
      </c>
      <c r="C186" s="7">
        <f>Clients_Churn_Master[[#This Row],[Anciennete_Mois]]/12</f>
        <v>1.1666666666666667</v>
      </c>
      <c r="D186" t="s">
        <v>82</v>
      </c>
      <c r="E186">
        <v>14</v>
      </c>
      <c r="F186" t="str">
        <f>IF(Clients_Churn_Master[[#This Row],[Type_Forfait]]="Pro Monde","B2B","B2C")</f>
        <v>B2B</v>
      </c>
      <c r="G186" s="4">
        <f>Clients_Churn_Master[[#This Row],[Duree_Cumulee_Panne_Min]]/1440</f>
        <v>0.23958333333333334</v>
      </c>
      <c r="H186" t="s">
        <v>558</v>
      </c>
      <c r="I186">
        <v>345</v>
      </c>
      <c r="J186" s="10">
        <v>39.57</v>
      </c>
      <c r="K186">
        <v>3</v>
      </c>
      <c r="L1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6" s="9">
        <f>Clients_Churn_Master[[#This Row],[Remise]]*Clients_Churn_Master[[#This Row],[Facture_Mensuelle]]</f>
        <v>17.8065</v>
      </c>
    </row>
    <row r="187" spans="1:13" x14ac:dyDescent="0.25">
      <c r="A187" t="s">
        <v>1702</v>
      </c>
      <c r="B187" t="s">
        <v>744</v>
      </c>
      <c r="C187" s="7">
        <f>Clients_Churn_Master[[#This Row],[Anciennete_Mois]]/12</f>
        <v>6.916666666666667</v>
      </c>
      <c r="D187" t="s">
        <v>55</v>
      </c>
      <c r="E187">
        <v>83</v>
      </c>
      <c r="F187" t="str">
        <f>IF(Clients_Churn_Master[[#This Row],[Type_Forfait]]="Pro Monde","B2B","B2C")</f>
        <v>B2C</v>
      </c>
      <c r="G187" s="4">
        <f>Clients_Churn_Master[[#This Row],[Duree_Cumulee_Panne_Min]]/1440</f>
        <v>0.19722222222222222</v>
      </c>
      <c r="H187" t="s">
        <v>564</v>
      </c>
      <c r="I187">
        <v>284</v>
      </c>
      <c r="J187" s="10">
        <v>73.7</v>
      </c>
      <c r="K187">
        <v>0</v>
      </c>
      <c r="L1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7" s="9">
        <f>Clients_Churn_Master[[#This Row],[Remise]]*Clients_Churn_Master[[#This Row],[Facture_Mensuelle]]</f>
        <v>33.164999999999999</v>
      </c>
    </row>
    <row r="188" spans="1:13" x14ac:dyDescent="0.25">
      <c r="A188" t="s">
        <v>1693</v>
      </c>
      <c r="B188" t="s">
        <v>745</v>
      </c>
      <c r="C188" s="7">
        <f>Clients_Churn_Master[[#This Row],[Anciennete_Mois]]/12</f>
        <v>4.666666666666667</v>
      </c>
      <c r="D188" t="s">
        <v>9</v>
      </c>
      <c r="E188">
        <v>56</v>
      </c>
      <c r="F188" t="str">
        <f>IF(Clients_Churn_Master[[#This Row],[Type_Forfait]]="Pro Monde","B2B","B2C")</f>
        <v>B2C</v>
      </c>
      <c r="G188" s="4">
        <f>Clients_Churn_Master[[#This Row],[Duree_Cumulee_Panne_Min]]/1440</f>
        <v>8.5416666666666669E-2</v>
      </c>
      <c r="H188" t="s">
        <v>564</v>
      </c>
      <c r="I188">
        <v>123</v>
      </c>
      <c r="J188" s="10">
        <v>29.76</v>
      </c>
      <c r="K188">
        <v>5</v>
      </c>
      <c r="L1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8" s="9">
        <f>Clients_Churn_Master[[#This Row],[Remise]]*Clients_Churn_Master[[#This Row],[Facture_Mensuelle]]</f>
        <v>13.392000000000001</v>
      </c>
    </row>
    <row r="189" spans="1:13" x14ac:dyDescent="0.25">
      <c r="A189" t="s">
        <v>1701</v>
      </c>
      <c r="B189" t="s">
        <v>746</v>
      </c>
      <c r="C189" s="7">
        <f>Clients_Churn_Master[[#This Row],[Anciennete_Mois]]/12</f>
        <v>2.75</v>
      </c>
      <c r="D189" t="s">
        <v>24</v>
      </c>
      <c r="E189">
        <v>33</v>
      </c>
      <c r="F189" t="str">
        <f>IF(Clients_Churn_Master[[#This Row],[Type_Forfait]]="Pro Monde","B2B","B2C")</f>
        <v>B2B</v>
      </c>
      <c r="G189" s="4">
        <f>Clients_Churn_Master[[#This Row],[Duree_Cumulee_Panne_Min]]/1440</f>
        <v>0.14374999999999999</v>
      </c>
      <c r="H189" t="s">
        <v>558</v>
      </c>
      <c r="I189">
        <v>207</v>
      </c>
      <c r="J189" s="10">
        <v>38.49</v>
      </c>
      <c r="K189">
        <v>4</v>
      </c>
      <c r="L1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89" s="9">
        <f>Clients_Churn_Master[[#This Row],[Remise]]*Clients_Churn_Master[[#This Row],[Facture_Mensuelle]]</f>
        <v>3.8490000000000002</v>
      </c>
    </row>
    <row r="190" spans="1:13" x14ac:dyDescent="0.25">
      <c r="A190" t="s">
        <v>1698</v>
      </c>
      <c r="B190" t="s">
        <v>747</v>
      </c>
      <c r="C190" s="7">
        <f>Clients_Churn_Master[[#This Row],[Anciennete_Mois]]/12</f>
        <v>9.4166666666666661</v>
      </c>
      <c r="D190" t="s">
        <v>62</v>
      </c>
      <c r="E190">
        <v>113</v>
      </c>
      <c r="F190" t="str">
        <f>IF(Clients_Churn_Master[[#This Row],[Type_Forfait]]="Pro Monde","B2B","B2C")</f>
        <v>B2C</v>
      </c>
      <c r="G190" s="4">
        <f>Clients_Churn_Master[[#This Row],[Duree_Cumulee_Panne_Min]]/1440</f>
        <v>0.14374999999999999</v>
      </c>
      <c r="H190" t="s">
        <v>564</v>
      </c>
      <c r="I190">
        <v>207</v>
      </c>
      <c r="J190" s="10">
        <v>21.55</v>
      </c>
      <c r="K190">
        <v>0</v>
      </c>
      <c r="L1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0" s="9">
        <f>Clients_Churn_Master[[#This Row],[Remise]]*Clients_Churn_Master[[#This Row],[Facture_Mensuelle]]</f>
        <v>0</v>
      </c>
    </row>
    <row r="191" spans="1:13" x14ac:dyDescent="0.25">
      <c r="A191" t="s">
        <v>1692</v>
      </c>
      <c r="B191" t="s">
        <v>748</v>
      </c>
      <c r="C191" s="7">
        <f>Clients_Churn_Master[[#This Row],[Anciennete_Mois]]/12</f>
        <v>7.416666666666667</v>
      </c>
      <c r="D191" t="s">
        <v>93</v>
      </c>
      <c r="E191">
        <v>89</v>
      </c>
      <c r="F191" t="str">
        <f>IF(Clients_Churn_Master[[#This Row],[Type_Forfait]]="Pro Monde","B2B","B2C")</f>
        <v>B2C</v>
      </c>
      <c r="G191" s="4">
        <f>Clients_Churn_Master[[#This Row],[Duree_Cumulee_Panne_Min]]/1440</f>
        <v>0.2902777777777778</v>
      </c>
      <c r="H191" t="s">
        <v>560</v>
      </c>
      <c r="I191">
        <v>418</v>
      </c>
      <c r="J191" s="10">
        <v>86.63</v>
      </c>
      <c r="K191">
        <v>4</v>
      </c>
      <c r="L1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1" s="9">
        <f>Clients_Churn_Master[[#This Row],[Remise]]*Clients_Churn_Master[[#This Row],[Facture_Mensuelle]]</f>
        <v>38.983499999999999</v>
      </c>
    </row>
    <row r="192" spans="1:13" x14ac:dyDescent="0.25">
      <c r="A192" t="s">
        <v>1697</v>
      </c>
      <c r="B192" t="s">
        <v>749</v>
      </c>
      <c r="C192" s="7">
        <f>Clients_Churn_Master[[#This Row],[Anciennete_Mois]]/12</f>
        <v>2.9166666666666665</v>
      </c>
      <c r="D192" t="s">
        <v>133</v>
      </c>
      <c r="E192">
        <v>35</v>
      </c>
      <c r="F192" t="str">
        <f>IF(Clients_Churn_Master[[#This Row],[Type_Forfait]]="Pro Monde","B2B","B2C")</f>
        <v>B2B</v>
      </c>
      <c r="G192" s="4">
        <f>Clients_Churn_Master[[#This Row],[Duree_Cumulee_Panne_Min]]/1440</f>
        <v>0.32291666666666669</v>
      </c>
      <c r="H192" t="s">
        <v>558</v>
      </c>
      <c r="I192">
        <v>465</v>
      </c>
      <c r="J192" s="10">
        <v>58.59</v>
      </c>
      <c r="K192">
        <v>5</v>
      </c>
      <c r="L1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2" s="9">
        <f>Clients_Churn_Master[[#This Row],[Remise]]*Clients_Churn_Master[[#This Row],[Facture_Mensuelle]]</f>
        <v>26.365500000000001</v>
      </c>
    </row>
    <row r="193" spans="1:13" x14ac:dyDescent="0.25">
      <c r="A193" t="s">
        <v>1693</v>
      </c>
      <c r="B193" t="s">
        <v>750</v>
      </c>
      <c r="C193" s="7">
        <f>Clients_Churn_Master[[#This Row],[Anciennete_Mois]]/12</f>
        <v>6.583333333333333</v>
      </c>
      <c r="D193" t="s">
        <v>43</v>
      </c>
      <c r="E193">
        <v>79</v>
      </c>
      <c r="F193" t="str">
        <f>IF(Clients_Churn_Master[[#This Row],[Type_Forfait]]="Pro Monde","B2B","B2C")</f>
        <v>B2C</v>
      </c>
      <c r="G193" s="4">
        <f>Clients_Churn_Master[[#This Row],[Duree_Cumulee_Panne_Min]]/1440</f>
        <v>9.6527777777777782E-2</v>
      </c>
      <c r="H193" t="s">
        <v>560</v>
      </c>
      <c r="I193">
        <v>139</v>
      </c>
      <c r="J193" s="10">
        <v>16.25</v>
      </c>
      <c r="K193">
        <v>4</v>
      </c>
      <c r="L1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3" s="9">
        <f>Clients_Churn_Master[[#This Row],[Remise]]*Clients_Churn_Master[[#This Row],[Facture_Mensuelle]]</f>
        <v>0</v>
      </c>
    </row>
    <row r="194" spans="1:13" x14ac:dyDescent="0.25">
      <c r="A194" t="s">
        <v>1694</v>
      </c>
      <c r="B194" t="s">
        <v>751</v>
      </c>
      <c r="C194" s="7">
        <f>Clients_Churn_Master[[#This Row],[Anciennete_Mois]]/12</f>
        <v>6.833333333333333</v>
      </c>
      <c r="D194" t="s">
        <v>49</v>
      </c>
      <c r="E194">
        <v>82</v>
      </c>
      <c r="F194" t="str">
        <f>IF(Clients_Churn_Master[[#This Row],[Type_Forfait]]="Pro Monde","B2B","B2C")</f>
        <v>B2C</v>
      </c>
      <c r="G194" s="4">
        <f>Clients_Churn_Master[[#This Row],[Duree_Cumulee_Panne_Min]]/1440</f>
        <v>2.2222222222222223E-2</v>
      </c>
      <c r="H194" t="s">
        <v>564</v>
      </c>
      <c r="I194">
        <v>32</v>
      </c>
      <c r="J194" s="10">
        <v>77.63</v>
      </c>
      <c r="K194">
        <v>1</v>
      </c>
      <c r="L1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4" s="9">
        <f>Clients_Churn_Master[[#This Row],[Remise]]*Clients_Churn_Master[[#This Row],[Facture_Mensuelle]]</f>
        <v>0</v>
      </c>
    </row>
    <row r="195" spans="1:13" x14ac:dyDescent="0.25">
      <c r="A195" t="s">
        <v>1688</v>
      </c>
      <c r="B195" t="s">
        <v>752</v>
      </c>
      <c r="C195" s="7">
        <f>Clients_Churn_Master[[#This Row],[Anciennete_Mois]]/12</f>
        <v>1.75</v>
      </c>
      <c r="D195" t="s">
        <v>67</v>
      </c>
      <c r="E195">
        <v>21</v>
      </c>
      <c r="F195" t="str">
        <f>IF(Clients_Churn_Master[[#This Row],[Type_Forfait]]="Pro Monde","B2B","B2C")</f>
        <v>B2C</v>
      </c>
      <c r="G195" s="4">
        <f>Clients_Churn_Master[[#This Row],[Duree_Cumulee_Panne_Min]]/1440</f>
        <v>0.21319444444444444</v>
      </c>
      <c r="H195" t="s">
        <v>556</v>
      </c>
      <c r="I195">
        <v>307</v>
      </c>
      <c r="J195" s="10">
        <v>39.81</v>
      </c>
      <c r="K195">
        <v>5</v>
      </c>
      <c r="L1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5" s="9">
        <f>Clients_Churn_Master[[#This Row],[Remise]]*Clients_Churn_Master[[#This Row],[Facture_Mensuelle]]</f>
        <v>17.9145</v>
      </c>
    </row>
    <row r="196" spans="1:13" x14ac:dyDescent="0.25">
      <c r="A196" t="s">
        <v>1698</v>
      </c>
      <c r="B196" t="s">
        <v>753</v>
      </c>
      <c r="C196" s="7">
        <f>Clients_Churn_Master[[#This Row],[Anciennete_Mois]]/12</f>
        <v>6.166666666666667</v>
      </c>
      <c r="D196" t="s">
        <v>85</v>
      </c>
      <c r="E196">
        <v>74</v>
      </c>
      <c r="F196" t="str">
        <f>IF(Clients_Churn_Master[[#This Row],[Type_Forfait]]="Pro Monde","B2B","B2C")</f>
        <v>B2C</v>
      </c>
      <c r="G196" s="4">
        <f>Clients_Churn_Master[[#This Row],[Duree_Cumulee_Panne_Min]]/1440</f>
        <v>0.14791666666666667</v>
      </c>
      <c r="H196" t="s">
        <v>564</v>
      </c>
      <c r="I196">
        <v>213</v>
      </c>
      <c r="J196" s="10">
        <v>35.54</v>
      </c>
      <c r="K196">
        <v>3</v>
      </c>
      <c r="L1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6" s="9">
        <f>Clients_Churn_Master[[#This Row],[Remise]]*Clients_Churn_Master[[#This Row],[Facture_Mensuelle]]</f>
        <v>0</v>
      </c>
    </row>
    <row r="197" spans="1:13" x14ac:dyDescent="0.25">
      <c r="A197" t="s">
        <v>1694</v>
      </c>
      <c r="B197" t="s">
        <v>754</v>
      </c>
      <c r="C197" s="7">
        <f>Clients_Churn_Master[[#This Row],[Anciennete_Mois]]/12</f>
        <v>8.25</v>
      </c>
      <c r="D197" t="s">
        <v>47</v>
      </c>
      <c r="E197">
        <v>99</v>
      </c>
      <c r="F197" t="str">
        <f>IF(Clients_Churn_Master[[#This Row],[Type_Forfait]]="Pro Monde","B2B","B2C")</f>
        <v>B2B</v>
      </c>
      <c r="G197" s="4">
        <f>Clients_Churn_Master[[#This Row],[Duree_Cumulee_Panne_Min]]/1440</f>
        <v>0.22569444444444445</v>
      </c>
      <c r="H197" t="s">
        <v>558</v>
      </c>
      <c r="I197">
        <v>325</v>
      </c>
      <c r="J197" s="10">
        <v>88.35</v>
      </c>
      <c r="K197">
        <v>4</v>
      </c>
      <c r="L1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7" s="9">
        <f>Clients_Churn_Master[[#This Row],[Remise]]*Clients_Churn_Master[[#This Row],[Facture_Mensuelle]]</f>
        <v>39.7575</v>
      </c>
    </row>
    <row r="198" spans="1:13" x14ac:dyDescent="0.25">
      <c r="A198" t="s">
        <v>1699</v>
      </c>
      <c r="B198" t="s">
        <v>755</v>
      </c>
      <c r="C198" s="7">
        <f>Clients_Churn_Master[[#This Row],[Anciennete_Mois]]/12</f>
        <v>1.25</v>
      </c>
      <c r="D198" t="s">
        <v>52</v>
      </c>
      <c r="E198">
        <v>15</v>
      </c>
      <c r="F198" t="str">
        <f>IF(Clients_Churn_Master[[#This Row],[Type_Forfait]]="Pro Monde","B2B","B2C")</f>
        <v>B2C</v>
      </c>
      <c r="G198" s="4">
        <f>Clients_Churn_Master[[#This Row],[Duree_Cumulee_Panne_Min]]/1440</f>
        <v>5.6250000000000001E-2</v>
      </c>
      <c r="H198" t="s">
        <v>560</v>
      </c>
      <c r="I198">
        <v>81</v>
      </c>
      <c r="J198" s="10">
        <v>97.5</v>
      </c>
      <c r="K198">
        <v>4</v>
      </c>
      <c r="L1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8" s="9">
        <f>Clients_Churn_Master[[#This Row],[Remise]]*Clients_Churn_Master[[#This Row],[Facture_Mensuelle]]</f>
        <v>0</v>
      </c>
    </row>
    <row r="199" spans="1:13" x14ac:dyDescent="0.25">
      <c r="A199" t="s">
        <v>1699</v>
      </c>
      <c r="B199" t="s">
        <v>756</v>
      </c>
      <c r="C199" s="7">
        <f>Clients_Churn_Master[[#This Row],[Anciennete_Mois]]/12</f>
        <v>3</v>
      </c>
      <c r="D199" t="s">
        <v>32</v>
      </c>
      <c r="E199">
        <v>36</v>
      </c>
      <c r="F199" t="str">
        <f>IF(Clients_Churn_Master[[#This Row],[Type_Forfait]]="Pro Monde","B2B","B2C")</f>
        <v>B2C</v>
      </c>
      <c r="G199" s="4">
        <f>Clients_Churn_Master[[#This Row],[Duree_Cumulee_Panne_Min]]/1440</f>
        <v>0.21041666666666667</v>
      </c>
      <c r="H199" t="s">
        <v>556</v>
      </c>
      <c r="I199">
        <v>303</v>
      </c>
      <c r="J199" s="10">
        <v>89.56</v>
      </c>
      <c r="K199">
        <v>1</v>
      </c>
      <c r="L1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9" s="9">
        <f>Clients_Churn_Master[[#This Row],[Remise]]*Clients_Churn_Master[[#This Row],[Facture_Mensuelle]]</f>
        <v>40.302</v>
      </c>
    </row>
    <row r="200" spans="1:13" x14ac:dyDescent="0.25">
      <c r="A200" t="s">
        <v>1693</v>
      </c>
      <c r="B200" t="s">
        <v>757</v>
      </c>
      <c r="C200" s="7">
        <f>Clients_Churn_Master[[#This Row],[Anciennete_Mois]]/12</f>
        <v>1.25</v>
      </c>
      <c r="D200" t="s">
        <v>41</v>
      </c>
      <c r="E200">
        <v>15</v>
      </c>
      <c r="F200" t="str">
        <f>IF(Clients_Churn_Master[[#This Row],[Type_Forfait]]="Pro Monde","B2B","B2C")</f>
        <v>B2B</v>
      </c>
      <c r="G200" s="4">
        <f>Clients_Churn_Master[[#This Row],[Duree_Cumulee_Panne_Min]]/1440</f>
        <v>0.14097222222222222</v>
      </c>
      <c r="H200" t="s">
        <v>558</v>
      </c>
      <c r="I200">
        <v>203</v>
      </c>
      <c r="J200" s="10">
        <v>55.29</v>
      </c>
      <c r="K200">
        <v>2</v>
      </c>
      <c r="L2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00" s="9">
        <f>Clients_Churn_Master[[#This Row],[Remise]]*Clients_Churn_Master[[#This Row],[Facture_Mensuelle]]</f>
        <v>5.5289999999999999</v>
      </c>
    </row>
    <row r="201" spans="1:13" x14ac:dyDescent="0.25">
      <c r="A201" t="s">
        <v>1692</v>
      </c>
      <c r="B201" t="s">
        <v>758</v>
      </c>
      <c r="C201" s="7">
        <f>Clients_Churn_Master[[#This Row],[Anciennete_Mois]]/12</f>
        <v>2.0833333333333335</v>
      </c>
      <c r="D201" t="s">
        <v>55</v>
      </c>
      <c r="E201">
        <v>25</v>
      </c>
      <c r="F201" t="str">
        <f>IF(Clients_Churn_Master[[#This Row],[Type_Forfait]]="Pro Monde","B2B","B2C")</f>
        <v>B2B</v>
      </c>
      <c r="G201" s="4">
        <f>Clients_Churn_Master[[#This Row],[Duree_Cumulee_Panne_Min]]/1440</f>
        <v>0.15138888888888888</v>
      </c>
      <c r="H201" t="s">
        <v>558</v>
      </c>
      <c r="I201">
        <v>218</v>
      </c>
      <c r="J201" s="10">
        <v>68.790000000000006</v>
      </c>
      <c r="K201">
        <v>0</v>
      </c>
      <c r="L2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01" s="9">
        <f>Clients_Churn_Master[[#This Row],[Remise]]*Clients_Churn_Master[[#This Row],[Facture_Mensuelle]]</f>
        <v>6.8790000000000013</v>
      </c>
    </row>
    <row r="202" spans="1:13" x14ac:dyDescent="0.25">
      <c r="A202" t="s">
        <v>1696</v>
      </c>
      <c r="B202" t="s">
        <v>759</v>
      </c>
      <c r="C202" s="7">
        <f>Clients_Churn_Master[[#This Row],[Anciennete_Mois]]/12</f>
        <v>4.083333333333333</v>
      </c>
      <c r="D202" t="s">
        <v>34</v>
      </c>
      <c r="E202">
        <v>49</v>
      </c>
      <c r="F202" t="str">
        <f>IF(Clients_Churn_Master[[#This Row],[Type_Forfait]]="Pro Monde","B2B","B2C")</f>
        <v>B2C</v>
      </c>
      <c r="G202" s="4">
        <f>Clients_Churn_Master[[#This Row],[Duree_Cumulee_Panne_Min]]/1440</f>
        <v>0.2</v>
      </c>
      <c r="H202" t="s">
        <v>556</v>
      </c>
      <c r="I202">
        <v>288</v>
      </c>
      <c r="J202" s="10">
        <v>91.32</v>
      </c>
      <c r="K202">
        <v>4</v>
      </c>
      <c r="L2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2" s="9">
        <f>Clients_Churn_Master[[#This Row],[Remise]]*Clients_Churn_Master[[#This Row],[Facture_Mensuelle]]</f>
        <v>41.094000000000001</v>
      </c>
    </row>
    <row r="203" spans="1:13" x14ac:dyDescent="0.25">
      <c r="A203" t="s">
        <v>1701</v>
      </c>
      <c r="B203" t="s">
        <v>760</v>
      </c>
      <c r="C203" s="7">
        <f>Clients_Churn_Master[[#This Row],[Anciennete_Mois]]/12</f>
        <v>4.833333333333333</v>
      </c>
      <c r="D203" t="s">
        <v>24</v>
      </c>
      <c r="E203">
        <v>58</v>
      </c>
      <c r="F203" t="str">
        <f>IF(Clients_Churn_Master[[#This Row],[Type_Forfait]]="Pro Monde","B2B","B2C")</f>
        <v>B2B</v>
      </c>
      <c r="G203" s="4">
        <f>Clients_Churn_Master[[#This Row],[Duree_Cumulee_Panne_Min]]/1440</f>
        <v>0.24444444444444444</v>
      </c>
      <c r="H203" t="s">
        <v>558</v>
      </c>
      <c r="I203">
        <v>352</v>
      </c>
      <c r="J203" s="10">
        <v>72.94</v>
      </c>
      <c r="K203">
        <v>0</v>
      </c>
      <c r="L2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3" s="9">
        <f>Clients_Churn_Master[[#This Row],[Remise]]*Clients_Churn_Master[[#This Row],[Facture_Mensuelle]]</f>
        <v>32.823</v>
      </c>
    </row>
    <row r="204" spans="1:13" x14ac:dyDescent="0.25">
      <c r="A204" t="s">
        <v>1689</v>
      </c>
      <c r="B204" t="s">
        <v>761</v>
      </c>
      <c r="C204" s="7">
        <f>Clients_Churn_Master[[#This Row],[Anciennete_Mois]]/12</f>
        <v>8.5</v>
      </c>
      <c r="D204" t="s">
        <v>13</v>
      </c>
      <c r="E204">
        <v>102</v>
      </c>
      <c r="F204" t="str">
        <f>IF(Clients_Churn_Master[[#This Row],[Type_Forfait]]="Pro Monde","B2B","B2C")</f>
        <v>B2C</v>
      </c>
      <c r="G204" s="4">
        <f>Clients_Churn_Master[[#This Row],[Duree_Cumulee_Panne_Min]]/1440</f>
        <v>0.16666666666666666</v>
      </c>
      <c r="H204" t="s">
        <v>560</v>
      </c>
      <c r="I204">
        <v>240</v>
      </c>
      <c r="J204" s="10">
        <v>12.52</v>
      </c>
      <c r="K204">
        <v>2</v>
      </c>
      <c r="L2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4" s="9">
        <f>Clients_Churn_Master[[#This Row],[Remise]]*Clients_Churn_Master[[#This Row],[Facture_Mensuelle]]</f>
        <v>5.6340000000000003</v>
      </c>
    </row>
    <row r="205" spans="1:13" x14ac:dyDescent="0.25">
      <c r="A205" t="s">
        <v>1697</v>
      </c>
      <c r="B205" t="s">
        <v>762</v>
      </c>
      <c r="C205" s="7">
        <f>Clients_Churn_Master[[#This Row],[Anciennete_Mois]]/12</f>
        <v>8.25</v>
      </c>
      <c r="D205" t="s">
        <v>47</v>
      </c>
      <c r="E205">
        <v>99</v>
      </c>
      <c r="F205" t="str">
        <f>IF(Clients_Churn_Master[[#This Row],[Type_Forfait]]="Pro Monde","B2B","B2C")</f>
        <v>B2C</v>
      </c>
      <c r="G205" s="4">
        <f>Clients_Churn_Master[[#This Row],[Duree_Cumulee_Panne_Min]]/1440</f>
        <v>0.25624999999999998</v>
      </c>
      <c r="H205" t="s">
        <v>556</v>
      </c>
      <c r="I205">
        <v>369</v>
      </c>
      <c r="J205" s="10">
        <v>67.209999999999994</v>
      </c>
      <c r="K205">
        <v>3</v>
      </c>
      <c r="L2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5" s="9">
        <f>Clients_Churn_Master[[#This Row],[Remise]]*Clients_Churn_Master[[#This Row],[Facture_Mensuelle]]</f>
        <v>30.244499999999999</v>
      </c>
    </row>
    <row r="206" spans="1:13" x14ac:dyDescent="0.25">
      <c r="A206" t="s">
        <v>1698</v>
      </c>
      <c r="B206" t="s">
        <v>763</v>
      </c>
      <c r="C206" s="7">
        <f>Clients_Churn_Master[[#This Row],[Anciennete_Mois]]/12</f>
        <v>6.833333333333333</v>
      </c>
      <c r="D206" t="s">
        <v>37</v>
      </c>
      <c r="E206">
        <v>82</v>
      </c>
      <c r="F206" t="str">
        <f>IF(Clients_Churn_Master[[#This Row],[Type_Forfait]]="Pro Monde","B2B","B2C")</f>
        <v>B2C</v>
      </c>
      <c r="G206" s="4">
        <f>Clients_Churn_Master[[#This Row],[Duree_Cumulee_Panne_Min]]/1440</f>
        <v>0.18333333333333332</v>
      </c>
      <c r="H206" t="s">
        <v>564</v>
      </c>
      <c r="I206">
        <v>264</v>
      </c>
      <c r="J206" s="10">
        <v>88.03</v>
      </c>
      <c r="K206">
        <v>1</v>
      </c>
      <c r="L2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6" s="9">
        <f>Clients_Churn_Master[[#This Row],[Remise]]*Clients_Churn_Master[[#This Row],[Facture_Mensuelle]]</f>
        <v>39.613500000000002</v>
      </c>
    </row>
    <row r="207" spans="1:13" x14ac:dyDescent="0.25">
      <c r="A207" t="s">
        <v>1702</v>
      </c>
      <c r="B207" t="s">
        <v>764</v>
      </c>
      <c r="C207" s="7">
        <f>Clients_Churn_Master[[#This Row],[Anciennete_Mois]]/12</f>
        <v>6</v>
      </c>
      <c r="D207" t="s">
        <v>24</v>
      </c>
      <c r="E207">
        <v>72</v>
      </c>
      <c r="F207" t="str">
        <f>IF(Clients_Churn_Master[[#This Row],[Type_Forfait]]="Pro Monde","B2B","B2C")</f>
        <v>B2C</v>
      </c>
      <c r="G207" s="4">
        <f>Clients_Churn_Master[[#This Row],[Duree_Cumulee_Panne_Min]]/1440</f>
        <v>3.5416666666666666E-2</v>
      </c>
      <c r="H207" t="s">
        <v>560</v>
      </c>
      <c r="I207">
        <v>51</v>
      </c>
      <c r="J207" s="10">
        <v>95.09</v>
      </c>
      <c r="K207">
        <v>0</v>
      </c>
      <c r="L2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07" s="9">
        <f>Clients_Churn_Master[[#This Row],[Remise]]*Clients_Churn_Master[[#This Row],[Facture_Mensuelle]]</f>
        <v>0</v>
      </c>
    </row>
    <row r="208" spans="1:13" x14ac:dyDescent="0.25">
      <c r="A208" t="s">
        <v>1697</v>
      </c>
      <c r="B208" t="s">
        <v>765</v>
      </c>
      <c r="C208" s="7">
        <f>Clients_Churn_Master[[#This Row],[Anciennete_Mois]]/12</f>
        <v>9.1666666666666661</v>
      </c>
      <c r="D208" t="s">
        <v>96</v>
      </c>
      <c r="E208">
        <v>110</v>
      </c>
      <c r="F208" t="str">
        <f>IF(Clients_Churn_Master[[#This Row],[Type_Forfait]]="Pro Monde","B2B","B2C")</f>
        <v>B2B</v>
      </c>
      <c r="G208" s="4">
        <f>Clients_Churn_Master[[#This Row],[Duree_Cumulee_Panne_Min]]/1440</f>
        <v>0.29375000000000001</v>
      </c>
      <c r="H208" t="s">
        <v>558</v>
      </c>
      <c r="I208">
        <v>423</v>
      </c>
      <c r="J208" s="10">
        <v>37.35</v>
      </c>
      <c r="K208">
        <v>4</v>
      </c>
      <c r="L2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8" s="9">
        <f>Clients_Churn_Master[[#This Row],[Remise]]*Clients_Churn_Master[[#This Row],[Facture_Mensuelle]]</f>
        <v>16.807500000000001</v>
      </c>
    </row>
    <row r="209" spans="1:13" x14ac:dyDescent="0.25">
      <c r="A209" t="s">
        <v>1690</v>
      </c>
      <c r="B209" t="s">
        <v>766</v>
      </c>
      <c r="C209" s="7">
        <f>Clients_Churn_Master[[#This Row],[Anciennete_Mois]]/12</f>
        <v>8.6666666666666661</v>
      </c>
      <c r="D209" t="s">
        <v>24</v>
      </c>
      <c r="E209">
        <v>104</v>
      </c>
      <c r="F209" t="str">
        <f>IF(Clients_Churn_Master[[#This Row],[Type_Forfait]]="Pro Monde","B2B","B2C")</f>
        <v>B2B</v>
      </c>
      <c r="G209" s="4">
        <f>Clients_Churn_Master[[#This Row],[Duree_Cumulee_Panne_Min]]/1440</f>
        <v>4.1666666666666664E-2</v>
      </c>
      <c r="H209" t="s">
        <v>558</v>
      </c>
      <c r="I209">
        <v>60</v>
      </c>
      <c r="J209" s="10">
        <v>45.51</v>
      </c>
      <c r="K209">
        <v>1</v>
      </c>
      <c r="L2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09" s="9">
        <f>Clients_Churn_Master[[#This Row],[Remise]]*Clients_Churn_Master[[#This Row],[Facture_Mensuelle]]</f>
        <v>4.5510000000000002</v>
      </c>
    </row>
    <row r="210" spans="1:13" x14ac:dyDescent="0.25">
      <c r="A210" t="s">
        <v>1694</v>
      </c>
      <c r="B210" t="s">
        <v>767</v>
      </c>
      <c r="C210" s="7">
        <f>Clients_Churn_Master[[#This Row],[Anciennete_Mois]]/12</f>
        <v>8</v>
      </c>
      <c r="D210" t="s">
        <v>62</v>
      </c>
      <c r="E210">
        <v>96</v>
      </c>
      <c r="F210" t="str">
        <f>IF(Clients_Churn_Master[[#This Row],[Type_Forfait]]="Pro Monde","B2B","B2C")</f>
        <v>B2C</v>
      </c>
      <c r="G210" s="4">
        <f>Clients_Churn_Master[[#This Row],[Duree_Cumulee_Panne_Min]]/1440</f>
        <v>0.2013888888888889</v>
      </c>
      <c r="H210" t="s">
        <v>560</v>
      </c>
      <c r="I210">
        <v>290</v>
      </c>
      <c r="J210" s="10">
        <v>29</v>
      </c>
      <c r="K210">
        <v>3</v>
      </c>
      <c r="L2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0" s="9">
        <f>Clients_Churn_Master[[#This Row],[Remise]]*Clients_Churn_Master[[#This Row],[Facture_Mensuelle]]</f>
        <v>13.05</v>
      </c>
    </row>
    <row r="211" spans="1:13" x14ac:dyDescent="0.25">
      <c r="A211" t="s">
        <v>1692</v>
      </c>
      <c r="B211" t="s">
        <v>768</v>
      </c>
      <c r="C211" s="7">
        <f>Clients_Churn_Master[[#This Row],[Anciennete_Mois]]/12</f>
        <v>1.4166666666666667</v>
      </c>
      <c r="D211" t="s">
        <v>24</v>
      </c>
      <c r="E211">
        <v>17</v>
      </c>
      <c r="F211" t="str">
        <f>IF(Clients_Churn_Master[[#This Row],[Type_Forfait]]="Pro Monde","B2B","B2C")</f>
        <v>B2C</v>
      </c>
      <c r="G211" s="4">
        <f>Clients_Churn_Master[[#This Row],[Duree_Cumulee_Panne_Min]]/1440</f>
        <v>0.33541666666666664</v>
      </c>
      <c r="H211" t="s">
        <v>560</v>
      </c>
      <c r="I211">
        <v>483</v>
      </c>
      <c r="J211" s="10">
        <v>77.08</v>
      </c>
      <c r="K211">
        <v>0</v>
      </c>
      <c r="L2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1" s="9">
        <f>Clients_Churn_Master[[#This Row],[Remise]]*Clients_Churn_Master[[#This Row],[Facture_Mensuelle]]</f>
        <v>34.686</v>
      </c>
    </row>
    <row r="212" spans="1:13" x14ac:dyDescent="0.25">
      <c r="A212" t="s">
        <v>1689</v>
      </c>
      <c r="B212" t="s">
        <v>769</v>
      </c>
      <c r="C212" s="7">
        <f>Clients_Churn_Master[[#This Row],[Anciennete_Mois]]/12</f>
        <v>3.5833333333333335</v>
      </c>
      <c r="D212" t="s">
        <v>49</v>
      </c>
      <c r="E212">
        <v>43</v>
      </c>
      <c r="F212" t="str">
        <f>IF(Clients_Churn_Master[[#This Row],[Type_Forfait]]="Pro Monde","B2B","B2C")</f>
        <v>B2C</v>
      </c>
      <c r="G212" s="4">
        <f>Clients_Churn_Master[[#This Row],[Duree_Cumulee_Panne_Min]]/1440</f>
        <v>0.13402777777777777</v>
      </c>
      <c r="H212" t="s">
        <v>564</v>
      </c>
      <c r="I212">
        <v>193</v>
      </c>
      <c r="J212" s="10">
        <v>35.81</v>
      </c>
      <c r="K212">
        <v>0</v>
      </c>
      <c r="L2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2" s="9">
        <f>Clients_Churn_Master[[#This Row],[Remise]]*Clients_Churn_Master[[#This Row],[Facture_Mensuelle]]</f>
        <v>16.114500000000003</v>
      </c>
    </row>
    <row r="213" spans="1:13" x14ac:dyDescent="0.25">
      <c r="A213" t="s">
        <v>1689</v>
      </c>
      <c r="B213" t="s">
        <v>770</v>
      </c>
      <c r="C213" s="7">
        <f>Clients_Churn_Master[[#This Row],[Anciennete_Mois]]/12</f>
        <v>8.6666666666666661</v>
      </c>
      <c r="D213" t="s">
        <v>137</v>
      </c>
      <c r="E213">
        <v>104</v>
      </c>
      <c r="F213" t="str">
        <f>IF(Clients_Churn_Master[[#This Row],[Type_Forfait]]="Pro Monde","B2B","B2C")</f>
        <v>B2B</v>
      </c>
      <c r="G213" s="4">
        <f>Clients_Churn_Master[[#This Row],[Duree_Cumulee_Panne_Min]]/1440</f>
        <v>8.6805555555555552E-2</v>
      </c>
      <c r="H213" t="s">
        <v>558</v>
      </c>
      <c r="I213">
        <v>125</v>
      </c>
      <c r="J213" s="10">
        <v>29.7</v>
      </c>
      <c r="K213">
        <v>2</v>
      </c>
      <c r="L2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13" s="9">
        <f>Clients_Churn_Master[[#This Row],[Remise]]*Clients_Churn_Master[[#This Row],[Facture_Mensuelle]]</f>
        <v>2.97</v>
      </c>
    </row>
    <row r="214" spans="1:13" x14ac:dyDescent="0.25">
      <c r="A214" t="s">
        <v>1701</v>
      </c>
      <c r="B214" t="s">
        <v>771</v>
      </c>
      <c r="C214" s="7">
        <f>Clients_Churn_Master[[#This Row],[Anciennete_Mois]]/12</f>
        <v>0.5</v>
      </c>
      <c r="D214" t="s">
        <v>52</v>
      </c>
      <c r="E214">
        <v>6</v>
      </c>
      <c r="F214" t="str">
        <f>IF(Clients_Churn_Master[[#This Row],[Type_Forfait]]="Pro Monde","B2B","B2C")</f>
        <v>B2B</v>
      </c>
      <c r="G214" s="4">
        <f>Clients_Churn_Master[[#This Row],[Duree_Cumulee_Panne_Min]]/1440</f>
        <v>0.23749999999999999</v>
      </c>
      <c r="H214" t="s">
        <v>558</v>
      </c>
      <c r="I214">
        <v>342</v>
      </c>
      <c r="J214" s="10">
        <v>50.55</v>
      </c>
      <c r="K214">
        <v>5</v>
      </c>
      <c r="L2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4" s="9">
        <f>Clients_Churn_Master[[#This Row],[Remise]]*Clients_Churn_Master[[#This Row],[Facture_Mensuelle]]</f>
        <v>22.747499999999999</v>
      </c>
    </row>
    <row r="215" spans="1:13" x14ac:dyDescent="0.25">
      <c r="A215" t="s">
        <v>1692</v>
      </c>
      <c r="B215" t="s">
        <v>772</v>
      </c>
      <c r="C215" s="7">
        <f>Clients_Churn_Master[[#This Row],[Anciennete_Mois]]/12</f>
        <v>9.0833333333333339</v>
      </c>
      <c r="D215" t="s">
        <v>96</v>
      </c>
      <c r="E215">
        <v>109</v>
      </c>
      <c r="F215" t="str">
        <f>IF(Clients_Churn_Master[[#This Row],[Type_Forfait]]="Pro Monde","B2B","B2C")</f>
        <v>B2C</v>
      </c>
      <c r="G215" s="4">
        <f>Clients_Churn_Master[[#This Row],[Duree_Cumulee_Panne_Min]]/1440</f>
        <v>0.24097222222222223</v>
      </c>
      <c r="H215" t="s">
        <v>560</v>
      </c>
      <c r="I215">
        <v>347</v>
      </c>
      <c r="J215" s="10">
        <v>43.06</v>
      </c>
      <c r="K215">
        <v>4</v>
      </c>
      <c r="L2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5" s="9">
        <f>Clients_Churn_Master[[#This Row],[Remise]]*Clients_Churn_Master[[#This Row],[Facture_Mensuelle]]</f>
        <v>19.377000000000002</v>
      </c>
    </row>
    <row r="216" spans="1:13" x14ac:dyDescent="0.25">
      <c r="A216" t="s">
        <v>1692</v>
      </c>
      <c r="B216" t="s">
        <v>773</v>
      </c>
      <c r="C216" s="7">
        <f>Clients_Churn_Master[[#This Row],[Anciennete_Mois]]/12</f>
        <v>9.1666666666666661</v>
      </c>
      <c r="D216" t="s">
        <v>49</v>
      </c>
      <c r="E216">
        <v>110</v>
      </c>
      <c r="F216" t="str">
        <f>IF(Clients_Churn_Master[[#This Row],[Type_Forfait]]="Pro Monde","B2B","B2C")</f>
        <v>B2C</v>
      </c>
      <c r="G216" s="4">
        <f>Clients_Churn_Master[[#This Row],[Duree_Cumulee_Panne_Min]]/1440</f>
        <v>0.22291666666666668</v>
      </c>
      <c r="H216" t="s">
        <v>564</v>
      </c>
      <c r="I216">
        <v>321</v>
      </c>
      <c r="J216" s="10">
        <v>81.569999999999993</v>
      </c>
      <c r="K216">
        <v>2</v>
      </c>
      <c r="L2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6" s="9">
        <f>Clients_Churn_Master[[#This Row],[Remise]]*Clients_Churn_Master[[#This Row],[Facture_Mensuelle]]</f>
        <v>36.706499999999998</v>
      </c>
    </row>
    <row r="217" spans="1:13" x14ac:dyDescent="0.25">
      <c r="A217" t="s">
        <v>1700</v>
      </c>
      <c r="B217" t="s">
        <v>774</v>
      </c>
      <c r="C217" s="7">
        <f>Clients_Churn_Master[[#This Row],[Anciennete_Mois]]/12</f>
        <v>1.4166666666666667</v>
      </c>
      <c r="D217" t="s">
        <v>45</v>
      </c>
      <c r="E217">
        <v>17</v>
      </c>
      <c r="F217" t="str">
        <f>IF(Clients_Churn_Master[[#This Row],[Type_Forfait]]="Pro Monde","B2B","B2C")</f>
        <v>B2C</v>
      </c>
      <c r="G217" s="4">
        <f>Clients_Churn_Master[[#This Row],[Duree_Cumulee_Panne_Min]]/1440</f>
        <v>0.21527777777777779</v>
      </c>
      <c r="H217" t="s">
        <v>560</v>
      </c>
      <c r="I217">
        <v>310</v>
      </c>
      <c r="J217" s="10">
        <v>19.68</v>
      </c>
      <c r="K217">
        <v>5</v>
      </c>
      <c r="L2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7" s="9">
        <f>Clients_Churn_Master[[#This Row],[Remise]]*Clients_Churn_Master[[#This Row],[Facture_Mensuelle]]</f>
        <v>8.8559999999999999</v>
      </c>
    </row>
    <row r="218" spans="1:13" x14ac:dyDescent="0.25">
      <c r="A218" t="s">
        <v>1696</v>
      </c>
      <c r="B218" t="s">
        <v>775</v>
      </c>
      <c r="C218" s="7">
        <f>Clients_Churn_Master[[#This Row],[Anciennete_Mois]]/12</f>
        <v>6.25</v>
      </c>
      <c r="D218" t="s">
        <v>82</v>
      </c>
      <c r="E218">
        <v>75</v>
      </c>
      <c r="F218" t="str">
        <f>IF(Clients_Churn_Master[[#This Row],[Type_Forfait]]="Pro Monde","B2B","B2C")</f>
        <v>B2C</v>
      </c>
      <c r="G218" s="4">
        <f>Clients_Churn_Master[[#This Row],[Duree_Cumulee_Panne_Min]]/1440</f>
        <v>0.25694444444444442</v>
      </c>
      <c r="H218" t="s">
        <v>556</v>
      </c>
      <c r="I218">
        <v>370</v>
      </c>
      <c r="J218" s="10">
        <v>21.67</v>
      </c>
      <c r="K218">
        <v>0</v>
      </c>
      <c r="L2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8" s="9">
        <f>Clients_Churn_Master[[#This Row],[Remise]]*Clients_Churn_Master[[#This Row],[Facture_Mensuelle]]</f>
        <v>9.7515000000000018</v>
      </c>
    </row>
    <row r="219" spans="1:13" x14ac:dyDescent="0.25">
      <c r="A219" t="s">
        <v>1695</v>
      </c>
      <c r="B219" t="s">
        <v>776</v>
      </c>
      <c r="C219" s="7">
        <f>Clients_Churn_Master[[#This Row],[Anciennete_Mois]]/12</f>
        <v>1</v>
      </c>
      <c r="D219" t="s">
        <v>13</v>
      </c>
      <c r="E219">
        <v>12</v>
      </c>
      <c r="F219" t="str">
        <f>IF(Clients_Churn_Master[[#This Row],[Type_Forfait]]="Pro Monde","B2B","B2C")</f>
        <v>B2C</v>
      </c>
      <c r="G219" s="4">
        <f>Clients_Churn_Master[[#This Row],[Duree_Cumulee_Panne_Min]]/1440</f>
        <v>4.3055555555555555E-2</v>
      </c>
      <c r="H219" t="s">
        <v>556</v>
      </c>
      <c r="I219">
        <v>62</v>
      </c>
      <c r="J219" s="10">
        <v>36.1</v>
      </c>
      <c r="K219">
        <v>5</v>
      </c>
      <c r="L2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19" s="9">
        <f>Clients_Churn_Master[[#This Row],[Remise]]*Clients_Churn_Master[[#This Row],[Facture_Mensuelle]]</f>
        <v>0</v>
      </c>
    </row>
    <row r="220" spans="1:13" x14ac:dyDescent="0.25">
      <c r="A220" t="s">
        <v>1700</v>
      </c>
      <c r="B220" t="s">
        <v>777</v>
      </c>
      <c r="C220" s="7">
        <f>Clients_Churn_Master[[#This Row],[Anciennete_Mois]]/12</f>
        <v>5.916666666666667</v>
      </c>
      <c r="D220" t="s">
        <v>41</v>
      </c>
      <c r="E220">
        <v>71</v>
      </c>
      <c r="F220" t="str">
        <f>IF(Clients_Churn_Master[[#This Row],[Type_Forfait]]="Pro Monde","B2B","B2C")</f>
        <v>B2B</v>
      </c>
      <c r="G220" s="4">
        <f>Clients_Churn_Master[[#This Row],[Duree_Cumulee_Panne_Min]]/1440</f>
        <v>7.7083333333333337E-2</v>
      </c>
      <c r="H220" t="s">
        <v>558</v>
      </c>
      <c r="I220">
        <v>111</v>
      </c>
      <c r="J220" s="10">
        <v>95.53</v>
      </c>
      <c r="K220">
        <v>3</v>
      </c>
      <c r="L2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20" s="9">
        <f>Clients_Churn_Master[[#This Row],[Remise]]*Clients_Churn_Master[[#This Row],[Facture_Mensuelle]]</f>
        <v>9.5530000000000008</v>
      </c>
    </row>
    <row r="221" spans="1:13" x14ac:dyDescent="0.25">
      <c r="A221" t="s">
        <v>1698</v>
      </c>
      <c r="B221" t="s">
        <v>778</v>
      </c>
      <c r="C221" s="7">
        <f>Clients_Churn_Master[[#This Row],[Anciennete_Mois]]/12</f>
        <v>5.583333333333333</v>
      </c>
      <c r="D221" t="s">
        <v>85</v>
      </c>
      <c r="E221">
        <v>67</v>
      </c>
      <c r="F221" t="str">
        <f>IF(Clients_Churn_Master[[#This Row],[Type_Forfait]]="Pro Monde","B2B","B2C")</f>
        <v>B2C</v>
      </c>
      <c r="G221" s="4">
        <f>Clients_Churn_Master[[#This Row],[Duree_Cumulee_Panne_Min]]/1440</f>
        <v>0.1673611111111111</v>
      </c>
      <c r="H221" t="s">
        <v>564</v>
      </c>
      <c r="I221">
        <v>241</v>
      </c>
      <c r="J221" s="10">
        <v>47.72</v>
      </c>
      <c r="K221">
        <v>0</v>
      </c>
      <c r="L2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1" s="9">
        <f>Clients_Churn_Master[[#This Row],[Remise]]*Clients_Churn_Master[[#This Row],[Facture_Mensuelle]]</f>
        <v>21.474</v>
      </c>
    </row>
    <row r="222" spans="1:13" x14ac:dyDescent="0.25">
      <c r="A222" t="s">
        <v>1697</v>
      </c>
      <c r="B222" t="s">
        <v>779</v>
      </c>
      <c r="C222" s="7">
        <f>Clients_Churn_Master[[#This Row],[Anciennete_Mois]]/12</f>
        <v>6.583333333333333</v>
      </c>
      <c r="D222" t="s">
        <v>27</v>
      </c>
      <c r="E222">
        <v>79</v>
      </c>
      <c r="F222" t="str">
        <f>IF(Clients_Churn_Master[[#This Row],[Type_Forfait]]="Pro Monde","B2B","B2C")</f>
        <v>B2C</v>
      </c>
      <c r="G222" s="4">
        <f>Clients_Churn_Master[[#This Row],[Duree_Cumulee_Panne_Min]]/1440</f>
        <v>0.15694444444444444</v>
      </c>
      <c r="H222" t="s">
        <v>564</v>
      </c>
      <c r="I222">
        <v>226</v>
      </c>
      <c r="J222" s="10">
        <v>94.38</v>
      </c>
      <c r="K222">
        <v>3</v>
      </c>
      <c r="L2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22" s="9">
        <f>Clients_Churn_Master[[#This Row],[Remise]]*Clients_Churn_Master[[#This Row],[Facture_Mensuelle]]</f>
        <v>0</v>
      </c>
    </row>
    <row r="223" spans="1:13" x14ac:dyDescent="0.25">
      <c r="A223" t="s">
        <v>1701</v>
      </c>
      <c r="B223" t="s">
        <v>780</v>
      </c>
      <c r="C223" s="7">
        <f>Clients_Churn_Master[[#This Row],[Anciennete_Mois]]/12</f>
        <v>4.416666666666667</v>
      </c>
      <c r="D223" t="s">
        <v>76</v>
      </c>
      <c r="E223">
        <v>53</v>
      </c>
      <c r="F223" t="str">
        <f>IF(Clients_Churn_Master[[#This Row],[Type_Forfait]]="Pro Monde","B2B","B2C")</f>
        <v>B2B</v>
      </c>
      <c r="G223" s="4">
        <f>Clients_Churn_Master[[#This Row],[Duree_Cumulee_Panne_Min]]/1440</f>
        <v>1.8749999999999999E-2</v>
      </c>
      <c r="H223" t="s">
        <v>558</v>
      </c>
      <c r="I223">
        <v>27</v>
      </c>
      <c r="J223" s="10">
        <v>18.77</v>
      </c>
      <c r="K223">
        <v>0</v>
      </c>
      <c r="L2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23" s="9">
        <f>Clients_Churn_Master[[#This Row],[Remise]]*Clients_Churn_Master[[#This Row],[Facture_Mensuelle]]</f>
        <v>1.877</v>
      </c>
    </row>
    <row r="224" spans="1:13" x14ac:dyDescent="0.25">
      <c r="A224" t="s">
        <v>1700</v>
      </c>
      <c r="B224" t="s">
        <v>781</v>
      </c>
      <c r="C224" s="7">
        <f>Clients_Churn_Master[[#This Row],[Anciennete_Mois]]/12</f>
        <v>8.4166666666666661</v>
      </c>
      <c r="D224" t="s">
        <v>52</v>
      </c>
      <c r="E224">
        <v>101</v>
      </c>
      <c r="F224" t="str">
        <f>IF(Clients_Churn_Master[[#This Row],[Type_Forfait]]="Pro Monde","B2B","B2C")</f>
        <v>B2C</v>
      </c>
      <c r="G224" s="4">
        <f>Clients_Churn_Master[[#This Row],[Duree_Cumulee_Panne_Min]]/1440</f>
        <v>0.18194444444444444</v>
      </c>
      <c r="H224" t="s">
        <v>556</v>
      </c>
      <c r="I224">
        <v>262</v>
      </c>
      <c r="J224" s="10">
        <v>83.74</v>
      </c>
      <c r="K224">
        <v>5</v>
      </c>
      <c r="L2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4" s="9">
        <f>Clients_Churn_Master[[#This Row],[Remise]]*Clients_Churn_Master[[#This Row],[Facture_Mensuelle]]</f>
        <v>37.683</v>
      </c>
    </row>
    <row r="225" spans="1:13" x14ac:dyDescent="0.25">
      <c r="A225" t="s">
        <v>1698</v>
      </c>
      <c r="B225" t="s">
        <v>782</v>
      </c>
      <c r="C225" s="7">
        <f>Clients_Churn_Master[[#This Row],[Anciennete_Mois]]/12</f>
        <v>6.916666666666667</v>
      </c>
      <c r="D225" t="s">
        <v>17</v>
      </c>
      <c r="E225">
        <v>83</v>
      </c>
      <c r="F225" t="str">
        <f>IF(Clients_Churn_Master[[#This Row],[Type_Forfait]]="Pro Monde","B2B","B2C")</f>
        <v>B2B</v>
      </c>
      <c r="G225" s="4">
        <f>Clients_Churn_Master[[#This Row],[Duree_Cumulee_Panne_Min]]/1440</f>
        <v>0.29166666666666669</v>
      </c>
      <c r="H225" t="s">
        <v>558</v>
      </c>
      <c r="I225">
        <v>420</v>
      </c>
      <c r="J225" s="10">
        <v>94.9</v>
      </c>
      <c r="K225">
        <v>1</v>
      </c>
      <c r="L2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5" s="9">
        <f>Clients_Churn_Master[[#This Row],[Remise]]*Clients_Churn_Master[[#This Row],[Facture_Mensuelle]]</f>
        <v>42.705000000000005</v>
      </c>
    </row>
    <row r="226" spans="1:13" x14ac:dyDescent="0.25">
      <c r="A226" t="s">
        <v>1690</v>
      </c>
      <c r="B226" t="s">
        <v>783</v>
      </c>
      <c r="C226" s="7">
        <f>Clients_Churn_Master[[#This Row],[Anciennete_Mois]]/12</f>
        <v>1.9166666666666667</v>
      </c>
      <c r="D226" t="s">
        <v>137</v>
      </c>
      <c r="E226">
        <v>23</v>
      </c>
      <c r="F226" t="str">
        <f>IF(Clients_Churn_Master[[#This Row],[Type_Forfait]]="Pro Monde","B2B","B2C")</f>
        <v>B2C</v>
      </c>
      <c r="G226" s="4">
        <f>Clients_Churn_Master[[#This Row],[Duree_Cumulee_Panne_Min]]/1440</f>
        <v>0.18611111111111112</v>
      </c>
      <c r="H226" t="s">
        <v>564</v>
      </c>
      <c r="I226">
        <v>268</v>
      </c>
      <c r="J226" s="10">
        <v>26.75</v>
      </c>
      <c r="K226">
        <v>3</v>
      </c>
      <c r="L2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6" s="9">
        <f>Clients_Churn_Master[[#This Row],[Remise]]*Clients_Churn_Master[[#This Row],[Facture_Mensuelle]]</f>
        <v>12.0375</v>
      </c>
    </row>
    <row r="227" spans="1:13" x14ac:dyDescent="0.25">
      <c r="A227" t="s">
        <v>1695</v>
      </c>
      <c r="B227" t="s">
        <v>784</v>
      </c>
      <c r="C227" s="7">
        <f>Clients_Churn_Master[[#This Row],[Anciennete_Mois]]/12</f>
        <v>5.583333333333333</v>
      </c>
      <c r="D227" t="s">
        <v>17</v>
      </c>
      <c r="E227">
        <v>67</v>
      </c>
      <c r="F227" t="str">
        <f>IF(Clients_Churn_Master[[#This Row],[Type_Forfait]]="Pro Monde","B2B","B2C")</f>
        <v>B2C</v>
      </c>
      <c r="G227" s="4">
        <f>Clients_Churn_Master[[#This Row],[Duree_Cumulee_Panne_Min]]/1440</f>
        <v>0.18194444444444444</v>
      </c>
      <c r="H227" t="s">
        <v>564</v>
      </c>
      <c r="I227">
        <v>262</v>
      </c>
      <c r="J227" s="10">
        <v>28.46</v>
      </c>
      <c r="K227">
        <v>3</v>
      </c>
      <c r="L2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7" s="9">
        <f>Clients_Churn_Master[[#This Row],[Remise]]*Clients_Churn_Master[[#This Row],[Facture_Mensuelle]]</f>
        <v>12.807</v>
      </c>
    </row>
    <row r="228" spans="1:13" x14ac:dyDescent="0.25">
      <c r="A228" t="s">
        <v>1688</v>
      </c>
      <c r="B228" t="s">
        <v>785</v>
      </c>
      <c r="C228" s="7">
        <f>Clients_Churn_Master[[#This Row],[Anciennete_Mois]]/12</f>
        <v>0.16666666666666666</v>
      </c>
      <c r="D228" t="s">
        <v>17</v>
      </c>
      <c r="E228">
        <v>2</v>
      </c>
      <c r="F228" t="str">
        <f>IF(Clients_Churn_Master[[#This Row],[Type_Forfait]]="Pro Monde","B2B","B2C")</f>
        <v>B2B</v>
      </c>
      <c r="G228" s="4">
        <f>Clients_Churn_Master[[#This Row],[Duree_Cumulee_Panne_Min]]/1440</f>
        <v>9.8611111111111108E-2</v>
      </c>
      <c r="H228" t="s">
        <v>558</v>
      </c>
      <c r="I228">
        <v>142</v>
      </c>
      <c r="J228" s="10">
        <v>37.799999999999997</v>
      </c>
      <c r="K228">
        <v>0</v>
      </c>
      <c r="L2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28" s="9">
        <f>Clients_Churn_Master[[#This Row],[Remise]]*Clients_Churn_Master[[#This Row],[Facture_Mensuelle]]</f>
        <v>3.78</v>
      </c>
    </row>
    <row r="229" spans="1:13" x14ac:dyDescent="0.25">
      <c r="A229" t="s">
        <v>1691</v>
      </c>
      <c r="B229" t="s">
        <v>786</v>
      </c>
      <c r="C229" s="7">
        <f>Clients_Churn_Master[[#This Row],[Anciennete_Mois]]/12</f>
        <v>9.0833333333333339</v>
      </c>
      <c r="D229" t="s">
        <v>13</v>
      </c>
      <c r="E229">
        <v>109</v>
      </c>
      <c r="F229" t="str">
        <f>IF(Clients_Churn_Master[[#This Row],[Type_Forfait]]="Pro Monde","B2B","B2C")</f>
        <v>B2B</v>
      </c>
      <c r="G229" s="4">
        <f>Clients_Churn_Master[[#This Row],[Duree_Cumulee_Panne_Min]]/1440</f>
        <v>0.33333333333333331</v>
      </c>
      <c r="H229" t="s">
        <v>558</v>
      </c>
      <c r="I229">
        <v>480</v>
      </c>
      <c r="J229" s="10">
        <v>31.36</v>
      </c>
      <c r="K229">
        <v>0</v>
      </c>
      <c r="L2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9" s="9">
        <f>Clients_Churn_Master[[#This Row],[Remise]]*Clients_Churn_Master[[#This Row],[Facture_Mensuelle]]</f>
        <v>14.112</v>
      </c>
    </row>
    <row r="230" spans="1:13" x14ac:dyDescent="0.25">
      <c r="A230" t="s">
        <v>1691</v>
      </c>
      <c r="B230" t="s">
        <v>787</v>
      </c>
      <c r="C230" s="7">
        <f>Clients_Churn_Master[[#This Row],[Anciennete_Mois]]/12</f>
        <v>4.5</v>
      </c>
      <c r="D230" t="s">
        <v>76</v>
      </c>
      <c r="E230">
        <v>54</v>
      </c>
      <c r="F230" t="str">
        <f>IF(Clients_Churn_Master[[#This Row],[Type_Forfait]]="Pro Monde","B2B","B2C")</f>
        <v>B2C</v>
      </c>
      <c r="G230" s="4">
        <f>Clients_Churn_Master[[#This Row],[Duree_Cumulee_Panne_Min]]/1440</f>
        <v>6.8750000000000006E-2</v>
      </c>
      <c r="H230" t="s">
        <v>556</v>
      </c>
      <c r="I230">
        <v>99</v>
      </c>
      <c r="J230" s="10">
        <v>39.58</v>
      </c>
      <c r="K230">
        <v>0</v>
      </c>
      <c r="L2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30" s="9">
        <f>Clients_Churn_Master[[#This Row],[Remise]]*Clients_Churn_Master[[#This Row],[Facture_Mensuelle]]</f>
        <v>0</v>
      </c>
    </row>
    <row r="231" spans="1:13" x14ac:dyDescent="0.25">
      <c r="A231" t="s">
        <v>1701</v>
      </c>
      <c r="B231" t="s">
        <v>788</v>
      </c>
      <c r="C231" s="7">
        <f>Clients_Churn_Master[[#This Row],[Anciennete_Mois]]/12</f>
        <v>9.8333333333333339</v>
      </c>
      <c r="D231" t="s">
        <v>55</v>
      </c>
      <c r="E231">
        <v>118</v>
      </c>
      <c r="F231" t="str">
        <f>IF(Clients_Churn_Master[[#This Row],[Type_Forfait]]="Pro Monde","B2B","B2C")</f>
        <v>B2C</v>
      </c>
      <c r="G231" s="4">
        <f>Clients_Churn_Master[[#This Row],[Duree_Cumulee_Panne_Min]]/1440</f>
        <v>0.32013888888888886</v>
      </c>
      <c r="H231" t="s">
        <v>556</v>
      </c>
      <c r="I231">
        <v>461</v>
      </c>
      <c r="J231" s="10">
        <v>47.82</v>
      </c>
      <c r="K231">
        <v>5</v>
      </c>
      <c r="L2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1" s="9">
        <f>Clients_Churn_Master[[#This Row],[Remise]]*Clients_Churn_Master[[#This Row],[Facture_Mensuelle]]</f>
        <v>21.519000000000002</v>
      </c>
    </row>
    <row r="232" spans="1:13" x14ac:dyDescent="0.25">
      <c r="A232" t="s">
        <v>1702</v>
      </c>
      <c r="B232" t="s">
        <v>789</v>
      </c>
      <c r="C232" s="7">
        <f>Clients_Churn_Master[[#This Row],[Anciennete_Mois]]/12</f>
        <v>7.166666666666667</v>
      </c>
      <c r="D232" t="s">
        <v>133</v>
      </c>
      <c r="E232">
        <v>86</v>
      </c>
      <c r="F232" t="str">
        <f>IF(Clients_Churn_Master[[#This Row],[Type_Forfait]]="Pro Monde","B2B","B2C")</f>
        <v>B2B</v>
      </c>
      <c r="G232" s="4">
        <f>Clients_Churn_Master[[#This Row],[Duree_Cumulee_Panne_Min]]/1440</f>
        <v>0.16458333333333333</v>
      </c>
      <c r="H232" t="s">
        <v>558</v>
      </c>
      <c r="I232">
        <v>237</v>
      </c>
      <c r="J232" s="10">
        <v>85.82</v>
      </c>
      <c r="K232">
        <v>5</v>
      </c>
      <c r="L2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32" s="9">
        <f>Clients_Churn_Master[[#This Row],[Remise]]*Clients_Churn_Master[[#This Row],[Facture_Mensuelle]]</f>
        <v>8.581999999999999</v>
      </c>
    </row>
    <row r="233" spans="1:13" x14ac:dyDescent="0.25">
      <c r="A233" t="s">
        <v>1697</v>
      </c>
      <c r="B233" t="s">
        <v>790</v>
      </c>
      <c r="C233" s="7">
        <f>Clients_Churn_Master[[#This Row],[Anciennete_Mois]]/12</f>
        <v>1.1666666666666667</v>
      </c>
      <c r="D233" t="s">
        <v>49</v>
      </c>
      <c r="E233">
        <v>14</v>
      </c>
      <c r="F233" t="str">
        <f>IF(Clients_Churn_Master[[#This Row],[Type_Forfait]]="Pro Monde","B2B","B2C")</f>
        <v>B2B</v>
      </c>
      <c r="G233" s="4">
        <f>Clients_Churn_Master[[#This Row],[Duree_Cumulee_Panne_Min]]/1440</f>
        <v>0.21944444444444444</v>
      </c>
      <c r="H233" t="s">
        <v>558</v>
      </c>
      <c r="I233">
        <v>316</v>
      </c>
      <c r="J233" s="10">
        <v>62.34</v>
      </c>
      <c r="K233">
        <v>4</v>
      </c>
      <c r="L2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3" s="9">
        <f>Clients_Churn_Master[[#This Row],[Remise]]*Clients_Churn_Master[[#This Row],[Facture_Mensuelle]]</f>
        <v>28.053000000000001</v>
      </c>
    </row>
    <row r="234" spans="1:13" x14ac:dyDescent="0.25">
      <c r="A234" t="s">
        <v>1699</v>
      </c>
      <c r="B234" t="s">
        <v>791</v>
      </c>
      <c r="C234" s="7">
        <f>Clients_Churn_Master[[#This Row],[Anciennete_Mois]]/12</f>
        <v>3.4166666666666665</v>
      </c>
      <c r="D234" t="s">
        <v>13</v>
      </c>
      <c r="E234">
        <v>41</v>
      </c>
      <c r="F234" t="str">
        <f>IF(Clients_Churn_Master[[#This Row],[Type_Forfait]]="Pro Monde","B2B","B2C")</f>
        <v>B2C</v>
      </c>
      <c r="G234" s="4">
        <f>Clients_Churn_Master[[#This Row],[Duree_Cumulee_Panne_Min]]/1440</f>
        <v>0.28055555555555556</v>
      </c>
      <c r="H234" t="s">
        <v>560</v>
      </c>
      <c r="I234">
        <v>404</v>
      </c>
      <c r="J234" s="10">
        <v>98.67</v>
      </c>
      <c r="K234">
        <v>5</v>
      </c>
      <c r="L2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4" s="9">
        <f>Clients_Churn_Master[[#This Row],[Remise]]*Clients_Churn_Master[[#This Row],[Facture_Mensuelle]]</f>
        <v>44.401499999999999</v>
      </c>
    </row>
    <row r="235" spans="1:13" x14ac:dyDescent="0.25">
      <c r="A235" t="s">
        <v>1691</v>
      </c>
      <c r="B235" t="s">
        <v>792</v>
      </c>
      <c r="C235" s="7">
        <f>Clients_Churn_Master[[#This Row],[Anciennete_Mois]]/12</f>
        <v>6.583333333333333</v>
      </c>
      <c r="D235" t="s">
        <v>52</v>
      </c>
      <c r="E235">
        <v>79</v>
      </c>
      <c r="F235" t="str">
        <f>IF(Clients_Churn_Master[[#This Row],[Type_Forfait]]="Pro Monde","B2B","B2C")</f>
        <v>B2C</v>
      </c>
      <c r="G235" s="4">
        <f>Clients_Churn_Master[[#This Row],[Duree_Cumulee_Panne_Min]]/1440</f>
        <v>0.27986111111111112</v>
      </c>
      <c r="H235" t="s">
        <v>560</v>
      </c>
      <c r="I235">
        <v>403</v>
      </c>
      <c r="J235" s="10">
        <v>21.49</v>
      </c>
      <c r="K235">
        <v>0</v>
      </c>
      <c r="L2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5" s="9">
        <f>Clients_Churn_Master[[#This Row],[Remise]]*Clients_Churn_Master[[#This Row],[Facture_Mensuelle]]</f>
        <v>9.6704999999999988</v>
      </c>
    </row>
    <row r="236" spans="1:13" x14ac:dyDescent="0.25">
      <c r="A236" t="s">
        <v>1698</v>
      </c>
      <c r="B236" t="s">
        <v>793</v>
      </c>
      <c r="C236" s="7">
        <f>Clients_Churn_Master[[#This Row],[Anciennete_Mois]]/12</f>
        <v>7.416666666666667</v>
      </c>
      <c r="D236" t="s">
        <v>24</v>
      </c>
      <c r="E236">
        <v>89</v>
      </c>
      <c r="F236" t="str">
        <f>IF(Clients_Churn_Master[[#This Row],[Type_Forfait]]="Pro Monde","B2B","B2C")</f>
        <v>B2B</v>
      </c>
      <c r="G236" s="4">
        <f>Clients_Churn_Master[[#This Row],[Duree_Cumulee_Panne_Min]]/1440</f>
        <v>0.14097222222222222</v>
      </c>
      <c r="H236" t="s">
        <v>558</v>
      </c>
      <c r="I236">
        <v>203</v>
      </c>
      <c r="J236" s="10">
        <v>80.680000000000007</v>
      </c>
      <c r="K236">
        <v>5</v>
      </c>
      <c r="L2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36" s="9">
        <f>Clients_Churn_Master[[#This Row],[Remise]]*Clients_Churn_Master[[#This Row],[Facture_Mensuelle]]</f>
        <v>8.0680000000000014</v>
      </c>
    </row>
    <row r="237" spans="1:13" x14ac:dyDescent="0.25">
      <c r="A237" t="s">
        <v>1688</v>
      </c>
      <c r="B237" t="s">
        <v>794</v>
      </c>
      <c r="C237" s="7">
        <f>Clients_Churn_Master[[#This Row],[Anciennete_Mois]]/12</f>
        <v>1.5</v>
      </c>
      <c r="D237" t="s">
        <v>41</v>
      </c>
      <c r="E237">
        <v>18</v>
      </c>
      <c r="F237" t="str">
        <f>IF(Clients_Churn_Master[[#This Row],[Type_Forfait]]="Pro Monde","B2B","B2C")</f>
        <v>B2C</v>
      </c>
      <c r="G237" s="4">
        <f>Clients_Churn_Master[[#This Row],[Duree_Cumulee_Panne_Min]]/1440</f>
        <v>0.20208333333333334</v>
      </c>
      <c r="H237" t="s">
        <v>556</v>
      </c>
      <c r="I237">
        <v>291</v>
      </c>
      <c r="J237" s="10">
        <v>97.98</v>
      </c>
      <c r="K237">
        <v>1</v>
      </c>
      <c r="L2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7" s="9">
        <f>Clients_Churn_Master[[#This Row],[Remise]]*Clients_Churn_Master[[#This Row],[Facture_Mensuelle]]</f>
        <v>44.091000000000001</v>
      </c>
    </row>
    <row r="238" spans="1:13" x14ac:dyDescent="0.25">
      <c r="A238" t="s">
        <v>1701</v>
      </c>
      <c r="B238" t="s">
        <v>795</v>
      </c>
      <c r="C238" s="7">
        <f>Clients_Churn_Master[[#This Row],[Anciennete_Mois]]/12</f>
        <v>1</v>
      </c>
      <c r="D238" t="s">
        <v>43</v>
      </c>
      <c r="E238">
        <v>12</v>
      </c>
      <c r="F238" t="str">
        <f>IF(Clients_Churn_Master[[#This Row],[Type_Forfait]]="Pro Monde","B2B","B2C")</f>
        <v>B2C</v>
      </c>
      <c r="G238" s="4">
        <f>Clients_Churn_Master[[#This Row],[Duree_Cumulee_Panne_Min]]/1440</f>
        <v>9.583333333333334E-2</v>
      </c>
      <c r="H238" t="s">
        <v>560</v>
      </c>
      <c r="I238">
        <v>138</v>
      </c>
      <c r="J238" s="10">
        <v>17</v>
      </c>
      <c r="K238">
        <v>2</v>
      </c>
      <c r="L2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38" s="9">
        <f>Clients_Churn_Master[[#This Row],[Remise]]*Clients_Churn_Master[[#This Row],[Facture_Mensuelle]]</f>
        <v>0</v>
      </c>
    </row>
    <row r="239" spans="1:13" x14ac:dyDescent="0.25">
      <c r="A239" t="s">
        <v>1692</v>
      </c>
      <c r="B239" t="s">
        <v>796</v>
      </c>
      <c r="C239" s="7">
        <f>Clients_Churn_Master[[#This Row],[Anciennete_Mois]]/12</f>
        <v>8</v>
      </c>
      <c r="D239" t="s">
        <v>82</v>
      </c>
      <c r="E239">
        <v>96</v>
      </c>
      <c r="F239" t="str">
        <f>IF(Clients_Churn_Master[[#This Row],[Type_Forfait]]="Pro Monde","B2B","B2C")</f>
        <v>B2C</v>
      </c>
      <c r="G239" s="4">
        <f>Clients_Churn_Master[[#This Row],[Duree_Cumulee_Panne_Min]]/1440</f>
        <v>0.26458333333333334</v>
      </c>
      <c r="H239" t="s">
        <v>560</v>
      </c>
      <c r="I239">
        <v>381</v>
      </c>
      <c r="J239" s="10">
        <v>90.78</v>
      </c>
      <c r="K239">
        <v>2</v>
      </c>
      <c r="L2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9" s="9">
        <f>Clients_Churn_Master[[#This Row],[Remise]]*Clients_Churn_Master[[#This Row],[Facture_Mensuelle]]</f>
        <v>40.850999999999999</v>
      </c>
    </row>
    <row r="240" spans="1:13" x14ac:dyDescent="0.25">
      <c r="A240" t="s">
        <v>1701</v>
      </c>
      <c r="B240" t="s">
        <v>797</v>
      </c>
      <c r="C240" s="7">
        <f>Clients_Churn_Master[[#This Row],[Anciennete_Mois]]/12</f>
        <v>10</v>
      </c>
      <c r="D240" t="s">
        <v>137</v>
      </c>
      <c r="E240">
        <v>120</v>
      </c>
      <c r="F240" t="str">
        <f>IF(Clients_Churn_Master[[#This Row],[Type_Forfait]]="Pro Monde","B2B","B2C")</f>
        <v>B2C</v>
      </c>
      <c r="G240" s="4">
        <f>Clients_Churn_Master[[#This Row],[Duree_Cumulee_Panne_Min]]/1440</f>
        <v>1.8749999999999999E-2</v>
      </c>
      <c r="H240" t="s">
        <v>556</v>
      </c>
      <c r="I240">
        <v>27</v>
      </c>
      <c r="J240" s="10">
        <v>24.46</v>
      </c>
      <c r="K240">
        <v>3</v>
      </c>
      <c r="L2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40" s="9">
        <f>Clients_Churn_Master[[#This Row],[Remise]]*Clients_Churn_Master[[#This Row],[Facture_Mensuelle]]</f>
        <v>0</v>
      </c>
    </row>
    <row r="241" spans="1:13" x14ac:dyDescent="0.25">
      <c r="A241" t="s">
        <v>1688</v>
      </c>
      <c r="B241" t="s">
        <v>798</v>
      </c>
      <c r="C241" s="7">
        <f>Clients_Churn_Master[[#This Row],[Anciennete_Mois]]/12</f>
        <v>5.416666666666667</v>
      </c>
      <c r="D241" t="s">
        <v>34</v>
      </c>
      <c r="E241">
        <v>65</v>
      </c>
      <c r="F241" t="str">
        <f>IF(Clients_Churn_Master[[#This Row],[Type_Forfait]]="Pro Monde","B2B","B2C")</f>
        <v>B2C</v>
      </c>
      <c r="G241" s="4">
        <f>Clients_Churn_Master[[#This Row],[Duree_Cumulee_Panne_Min]]/1440</f>
        <v>8.1944444444444445E-2</v>
      </c>
      <c r="H241" t="s">
        <v>556</v>
      </c>
      <c r="I241">
        <v>118</v>
      </c>
      <c r="J241" s="10">
        <v>72.430000000000007</v>
      </c>
      <c r="K241">
        <v>1</v>
      </c>
      <c r="L2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41" s="9">
        <f>Clients_Churn_Master[[#This Row],[Remise]]*Clients_Churn_Master[[#This Row],[Facture_Mensuelle]]</f>
        <v>0</v>
      </c>
    </row>
    <row r="242" spans="1:13" x14ac:dyDescent="0.25">
      <c r="A242" t="s">
        <v>1688</v>
      </c>
      <c r="B242" t="s">
        <v>799</v>
      </c>
      <c r="C242" s="7">
        <f>Clients_Churn_Master[[#This Row],[Anciennete_Mois]]/12</f>
        <v>1.0833333333333333</v>
      </c>
      <c r="D242" t="s">
        <v>47</v>
      </c>
      <c r="E242">
        <v>13</v>
      </c>
      <c r="F242" t="str">
        <f>IF(Clients_Churn_Master[[#This Row],[Type_Forfait]]="Pro Monde","B2B","B2C")</f>
        <v>B2B</v>
      </c>
      <c r="G242" s="4">
        <f>Clients_Churn_Master[[#This Row],[Duree_Cumulee_Panne_Min]]/1440</f>
        <v>0.24097222222222223</v>
      </c>
      <c r="H242" t="s">
        <v>558</v>
      </c>
      <c r="I242">
        <v>347</v>
      </c>
      <c r="J242" s="10">
        <v>32.35</v>
      </c>
      <c r="K242">
        <v>2</v>
      </c>
      <c r="L2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2" s="9">
        <f>Clients_Churn_Master[[#This Row],[Remise]]*Clients_Churn_Master[[#This Row],[Facture_Mensuelle]]</f>
        <v>14.557500000000001</v>
      </c>
    </row>
    <row r="243" spans="1:13" x14ac:dyDescent="0.25">
      <c r="A243" t="s">
        <v>1689</v>
      </c>
      <c r="B243" t="s">
        <v>800</v>
      </c>
      <c r="C243" s="7">
        <f>Clients_Churn_Master[[#This Row],[Anciennete_Mois]]/12</f>
        <v>10</v>
      </c>
      <c r="D243" t="s">
        <v>76</v>
      </c>
      <c r="E243">
        <v>120</v>
      </c>
      <c r="F243" t="str">
        <f>IF(Clients_Churn_Master[[#This Row],[Type_Forfait]]="Pro Monde","B2B","B2C")</f>
        <v>B2B</v>
      </c>
      <c r="G243" s="4">
        <f>Clients_Churn_Master[[#This Row],[Duree_Cumulee_Panne_Min]]/1440</f>
        <v>0.05</v>
      </c>
      <c r="H243" t="s">
        <v>558</v>
      </c>
      <c r="I243">
        <v>72</v>
      </c>
      <c r="J243" s="10">
        <v>29.07</v>
      </c>
      <c r="K243">
        <v>3</v>
      </c>
      <c r="L2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43" s="9">
        <f>Clients_Churn_Master[[#This Row],[Remise]]*Clients_Churn_Master[[#This Row],[Facture_Mensuelle]]</f>
        <v>2.907</v>
      </c>
    </row>
    <row r="244" spans="1:13" x14ac:dyDescent="0.25">
      <c r="A244" t="s">
        <v>1702</v>
      </c>
      <c r="B244" t="s">
        <v>801</v>
      </c>
      <c r="C244" s="7">
        <f>Clients_Churn_Master[[#This Row],[Anciennete_Mois]]/12</f>
        <v>9.5</v>
      </c>
      <c r="D244" t="s">
        <v>32</v>
      </c>
      <c r="E244">
        <v>114</v>
      </c>
      <c r="F244" t="str">
        <f>IF(Clients_Churn_Master[[#This Row],[Type_Forfait]]="Pro Monde","B2B","B2C")</f>
        <v>B2C</v>
      </c>
      <c r="G244" s="4">
        <f>Clients_Churn_Master[[#This Row],[Duree_Cumulee_Panne_Min]]/1440</f>
        <v>0.19652777777777777</v>
      </c>
      <c r="H244" t="s">
        <v>564</v>
      </c>
      <c r="I244">
        <v>283</v>
      </c>
      <c r="J244" s="10">
        <v>29.15</v>
      </c>
      <c r="K244">
        <v>3</v>
      </c>
      <c r="L2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4" s="9">
        <f>Clients_Churn_Master[[#This Row],[Remise]]*Clients_Churn_Master[[#This Row],[Facture_Mensuelle]]</f>
        <v>13.1175</v>
      </c>
    </row>
    <row r="245" spans="1:13" x14ac:dyDescent="0.25">
      <c r="A245" t="s">
        <v>1698</v>
      </c>
      <c r="B245" t="s">
        <v>802</v>
      </c>
      <c r="C245" s="7">
        <f>Clients_Churn_Master[[#This Row],[Anciennete_Mois]]/12</f>
        <v>4.833333333333333</v>
      </c>
      <c r="D245" t="s">
        <v>85</v>
      </c>
      <c r="E245">
        <v>58</v>
      </c>
      <c r="F245" t="str">
        <f>IF(Clients_Churn_Master[[#This Row],[Type_Forfait]]="Pro Monde","B2B","B2C")</f>
        <v>B2C</v>
      </c>
      <c r="G245" s="4">
        <f>Clients_Churn_Master[[#This Row],[Duree_Cumulee_Panne_Min]]/1440</f>
        <v>0.28125</v>
      </c>
      <c r="H245" t="s">
        <v>556</v>
      </c>
      <c r="I245">
        <v>405</v>
      </c>
      <c r="J245" s="10">
        <v>18.39</v>
      </c>
      <c r="K245">
        <v>0</v>
      </c>
      <c r="L2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5" s="9">
        <f>Clients_Churn_Master[[#This Row],[Remise]]*Clients_Churn_Master[[#This Row],[Facture_Mensuelle]]</f>
        <v>8.275500000000001</v>
      </c>
    </row>
    <row r="246" spans="1:13" x14ac:dyDescent="0.25">
      <c r="A246" t="s">
        <v>1695</v>
      </c>
      <c r="B246" t="s">
        <v>803</v>
      </c>
      <c r="C246" s="7">
        <f>Clients_Churn_Master[[#This Row],[Anciennete_Mois]]/12</f>
        <v>7.833333333333333</v>
      </c>
      <c r="D246" t="s">
        <v>76</v>
      </c>
      <c r="E246">
        <v>94</v>
      </c>
      <c r="F246" t="str">
        <f>IF(Clients_Churn_Master[[#This Row],[Type_Forfait]]="Pro Monde","B2B","B2C")</f>
        <v>B2C</v>
      </c>
      <c r="G246" s="4">
        <f>Clients_Churn_Master[[#This Row],[Duree_Cumulee_Panne_Min]]/1440</f>
        <v>0.18124999999999999</v>
      </c>
      <c r="H246" t="s">
        <v>560</v>
      </c>
      <c r="I246">
        <v>261</v>
      </c>
      <c r="J246" s="10">
        <v>70.09</v>
      </c>
      <c r="K246">
        <v>3</v>
      </c>
      <c r="L2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6" s="9">
        <f>Clients_Churn_Master[[#This Row],[Remise]]*Clients_Churn_Master[[#This Row],[Facture_Mensuelle]]</f>
        <v>31.540500000000002</v>
      </c>
    </row>
    <row r="247" spans="1:13" x14ac:dyDescent="0.25">
      <c r="A247" t="s">
        <v>1690</v>
      </c>
      <c r="B247" t="s">
        <v>804</v>
      </c>
      <c r="C247" s="7">
        <f>Clients_Churn_Master[[#This Row],[Anciennete_Mois]]/12</f>
        <v>6.166666666666667</v>
      </c>
      <c r="D247" t="s">
        <v>85</v>
      </c>
      <c r="E247">
        <v>74</v>
      </c>
      <c r="F247" t="str">
        <f>IF(Clients_Churn_Master[[#This Row],[Type_Forfait]]="Pro Monde","B2B","B2C")</f>
        <v>B2C</v>
      </c>
      <c r="G247" s="4">
        <f>Clients_Churn_Master[[#This Row],[Duree_Cumulee_Panne_Min]]/1440</f>
        <v>0.17569444444444443</v>
      </c>
      <c r="H247" t="s">
        <v>560</v>
      </c>
      <c r="I247">
        <v>253</v>
      </c>
      <c r="J247" s="10">
        <v>36.94</v>
      </c>
      <c r="K247">
        <v>5</v>
      </c>
      <c r="L2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7" s="9">
        <f>Clients_Churn_Master[[#This Row],[Remise]]*Clients_Churn_Master[[#This Row],[Facture_Mensuelle]]</f>
        <v>16.623000000000001</v>
      </c>
    </row>
    <row r="248" spans="1:13" x14ac:dyDescent="0.25">
      <c r="A248" t="s">
        <v>1700</v>
      </c>
      <c r="B248" t="s">
        <v>805</v>
      </c>
      <c r="C248" s="7">
        <f>Clients_Churn_Master[[#This Row],[Anciennete_Mois]]/12</f>
        <v>4.166666666666667</v>
      </c>
      <c r="D248" t="s">
        <v>137</v>
      </c>
      <c r="E248">
        <v>50</v>
      </c>
      <c r="F248" t="str">
        <f>IF(Clients_Churn_Master[[#This Row],[Type_Forfait]]="Pro Monde","B2B","B2C")</f>
        <v>B2C</v>
      </c>
      <c r="G248" s="4">
        <f>Clients_Churn_Master[[#This Row],[Duree_Cumulee_Panne_Min]]/1440</f>
        <v>0.12291666666666666</v>
      </c>
      <c r="H248" t="s">
        <v>560</v>
      </c>
      <c r="I248">
        <v>177</v>
      </c>
      <c r="J248" s="10">
        <v>74.569999999999993</v>
      </c>
      <c r="K248">
        <v>4</v>
      </c>
      <c r="L2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48" s="9">
        <f>Clients_Churn_Master[[#This Row],[Remise]]*Clients_Churn_Master[[#This Row],[Facture_Mensuelle]]</f>
        <v>0</v>
      </c>
    </row>
    <row r="249" spans="1:13" x14ac:dyDescent="0.25">
      <c r="A249" t="s">
        <v>1696</v>
      </c>
      <c r="B249" t="s">
        <v>806</v>
      </c>
      <c r="C249" s="7">
        <f>Clients_Churn_Master[[#This Row],[Anciennete_Mois]]/12</f>
        <v>2.1666666666666665</v>
      </c>
      <c r="D249" t="s">
        <v>24</v>
      </c>
      <c r="E249">
        <v>26</v>
      </c>
      <c r="F249" t="str">
        <f>IF(Clients_Churn_Master[[#This Row],[Type_Forfait]]="Pro Monde","B2B","B2C")</f>
        <v>B2C</v>
      </c>
      <c r="G249" s="4">
        <f>Clients_Churn_Master[[#This Row],[Duree_Cumulee_Panne_Min]]/1440</f>
        <v>0.26250000000000001</v>
      </c>
      <c r="H249" t="s">
        <v>560</v>
      </c>
      <c r="I249">
        <v>378</v>
      </c>
      <c r="J249" s="10">
        <v>88.59</v>
      </c>
      <c r="K249">
        <v>4</v>
      </c>
      <c r="L2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9" s="9">
        <f>Clients_Churn_Master[[#This Row],[Remise]]*Clients_Churn_Master[[#This Row],[Facture_Mensuelle]]</f>
        <v>39.865500000000004</v>
      </c>
    </row>
    <row r="250" spans="1:13" x14ac:dyDescent="0.25">
      <c r="A250" t="s">
        <v>1696</v>
      </c>
      <c r="B250" t="s">
        <v>807</v>
      </c>
      <c r="C250" s="7">
        <f>Clients_Churn_Master[[#This Row],[Anciennete_Mois]]/12</f>
        <v>2.1666666666666665</v>
      </c>
      <c r="D250" t="s">
        <v>47</v>
      </c>
      <c r="E250">
        <v>26</v>
      </c>
      <c r="F250" t="str">
        <f>IF(Clients_Churn_Master[[#This Row],[Type_Forfait]]="Pro Monde","B2B","B2C")</f>
        <v>B2C</v>
      </c>
      <c r="G250" s="4">
        <f>Clients_Churn_Master[[#This Row],[Duree_Cumulee_Panne_Min]]/1440</f>
        <v>0.27152777777777776</v>
      </c>
      <c r="H250" t="s">
        <v>564</v>
      </c>
      <c r="I250">
        <v>391</v>
      </c>
      <c r="J250" s="10">
        <v>18.28</v>
      </c>
      <c r="K250">
        <v>3</v>
      </c>
      <c r="L2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0" s="9">
        <f>Clients_Churn_Master[[#This Row],[Remise]]*Clients_Churn_Master[[#This Row],[Facture_Mensuelle]]</f>
        <v>8.2260000000000009</v>
      </c>
    </row>
    <row r="251" spans="1:13" x14ac:dyDescent="0.25">
      <c r="A251" t="s">
        <v>1699</v>
      </c>
      <c r="B251" t="s">
        <v>808</v>
      </c>
      <c r="C251" s="7">
        <f>Clients_Churn_Master[[#This Row],[Anciennete_Mois]]/12</f>
        <v>8.6666666666666661</v>
      </c>
      <c r="D251" t="s">
        <v>93</v>
      </c>
      <c r="E251">
        <v>104</v>
      </c>
      <c r="F251" t="str">
        <f>IF(Clients_Churn_Master[[#This Row],[Type_Forfait]]="Pro Monde","B2B","B2C")</f>
        <v>B2B</v>
      </c>
      <c r="G251" s="4">
        <f>Clients_Churn_Master[[#This Row],[Duree_Cumulee_Panne_Min]]/1440</f>
        <v>0.29236111111111113</v>
      </c>
      <c r="H251" t="s">
        <v>558</v>
      </c>
      <c r="I251">
        <v>421</v>
      </c>
      <c r="J251" s="10">
        <v>26.24</v>
      </c>
      <c r="K251">
        <v>3</v>
      </c>
      <c r="L2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1" s="9">
        <f>Clients_Churn_Master[[#This Row],[Remise]]*Clients_Churn_Master[[#This Row],[Facture_Mensuelle]]</f>
        <v>11.808</v>
      </c>
    </row>
    <row r="252" spans="1:13" x14ac:dyDescent="0.25">
      <c r="A252" t="s">
        <v>1698</v>
      </c>
      <c r="B252" t="s">
        <v>809</v>
      </c>
      <c r="C252" s="7">
        <f>Clients_Churn_Master[[#This Row],[Anciennete_Mois]]/12</f>
        <v>9</v>
      </c>
      <c r="D252" t="s">
        <v>30</v>
      </c>
      <c r="E252">
        <v>108</v>
      </c>
      <c r="F252" t="str">
        <f>IF(Clients_Churn_Master[[#This Row],[Type_Forfait]]="Pro Monde","B2B","B2C")</f>
        <v>B2C</v>
      </c>
      <c r="G252" s="4">
        <f>Clients_Churn_Master[[#This Row],[Duree_Cumulee_Panne_Min]]/1440</f>
        <v>0.15972222222222221</v>
      </c>
      <c r="H252" t="s">
        <v>564</v>
      </c>
      <c r="I252">
        <v>230</v>
      </c>
      <c r="J252" s="10">
        <v>16.3</v>
      </c>
      <c r="K252">
        <v>5</v>
      </c>
      <c r="L2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52" s="9">
        <f>Clients_Churn_Master[[#This Row],[Remise]]*Clients_Churn_Master[[#This Row],[Facture_Mensuelle]]</f>
        <v>0</v>
      </c>
    </row>
    <row r="253" spans="1:13" x14ac:dyDescent="0.25">
      <c r="A253" t="s">
        <v>1690</v>
      </c>
      <c r="B253" t="s">
        <v>810</v>
      </c>
      <c r="C253" s="7">
        <f>Clients_Churn_Master[[#This Row],[Anciennete_Mois]]/12</f>
        <v>8.5833333333333339</v>
      </c>
      <c r="D253" t="s">
        <v>30</v>
      </c>
      <c r="E253">
        <v>103</v>
      </c>
      <c r="F253" t="str">
        <f>IF(Clients_Churn_Master[[#This Row],[Type_Forfait]]="Pro Monde","B2B","B2C")</f>
        <v>B2B</v>
      </c>
      <c r="G253" s="4">
        <f>Clients_Churn_Master[[#This Row],[Duree_Cumulee_Panne_Min]]/1440</f>
        <v>0.1875</v>
      </c>
      <c r="H253" t="s">
        <v>558</v>
      </c>
      <c r="I253">
        <v>270</v>
      </c>
      <c r="J253" s="10">
        <v>67.87</v>
      </c>
      <c r="K253">
        <v>3</v>
      </c>
      <c r="L2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3" s="9">
        <f>Clients_Churn_Master[[#This Row],[Remise]]*Clients_Churn_Master[[#This Row],[Facture_Mensuelle]]</f>
        <v>30.541500000000003</v>
      </c>
    </row>
    <row r="254" spans="1:13" x14ac:dyDescent="0.25">
      <c r="A254" t="s">
        <v>1693</v>
      </c>
      <c r="B254" t="s">
        <v>811</v>
      </c>
      <c r="C254" s="7">
        <f>Clients_Churn_Master[[#This Row],[Anciennete_Mois]]/12</f>
        <v>7.75</v>
      </c>
      <c r="D254" t="s">
        <v>27</v>
      </c>
      <c r="E254">
        <v>93</v>
      </c>
      <c r="F254" t="str">
        <f>IF(Clients_Churn_Master[[#This Row],[Type_Forfait]]="Pro Monde","B2B","B2C")</f>
        <v>B2B</v>
      </c>
      <c r="G254" s="4">
        <f>Clients_Churn_Master[[#This Row],[Duree_Cumulee_Panne_Min]]/1440</f>
        <v>3.888888888888889E-2</v>
      </c>
      <c r="H254" t="s">
        <v>558</v>
      </c>
      <c r="I254">
        <v>56</v>
      </c>
      <c r="J254" s="10">
        <v>96.31</v>
      </c>
      <c r="K254">
        <v>4</v>
      </c>
      <c r="L2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54" s="9">
        <f>Clients_Churn_Master[[#This Row],[Remise]]*Clients_Churn_Master[[#This Row],[Facture_Mensuelle]]</f>
        <v>9.6310000000000002</v>
      </c>
    </row>
    <row r="255" spans="1:13" x14ac:dyDescent="0.25">
      <c r="A255" t="s">
        <v>1699</v>
      </c>
      <c r="B255" t="s">
        <v>812</v>
      </c>
      <c r="C255" s="7">
        <f>Clients_Churn_Master[[#This Row],[Anciennete_Mois]]/12</f>
        <v>7.166666666666667</v>
      </c>
      <c r="D255" t="s">
        <v>62</v>
      </c>
      <c r="E255">
        <v>86</v>
      </c>
      <c r="F255" t="str">
        <f>IF(Clients_Churn_Master[[#This Row],[Type_Forfait]]="Pro Monde","B2B","B2C")</f>
        <v>B2C</v>
      </c>
      <c r="G255" s="4">
        <f>Clients_Churn_Master[[#This Row],[Duree_Cumulee_Panne_Min]]/1440</f>
        <v>0.31388888888888888</v>
      </c>
      <c r="H255" t="s">
        <v>564</v>
      </c>
      <c r="I255">
        <v>452</v>
      </c>
      <c r="J255" s="10">
        <v>75.680000000000007</v>
      </c>
      <c r="K255">
        <v>0</v>
      </c>
      <c r="L2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5" s="9">
        <f>Clients_Churn_Master[[#This Row],[Remise]]*Clients_Churn_Master[[#This Row],[Facture_Mensuelle]]</f>
        <v>34.056000000000004</v>
      </c>
    </row>
    <row r="256" spans="1:13" x14ac:dyDescent="0.25">
      <c r="A256" t="s">
        <v>1701</v>
      </c>
      <c r="B256" t="s">
        <v>813</v>
      </c>
      <c r="C256" s="7">
        <f>Clients_Churn_Master[[#This Row],[Anciennete_Mois]]/12</f>
        <v>3.9166666666666665</v>
      </c>
      <c r="D256" t="s">
        <v>76</v>
      </c>
      <c r="E256">
        <v>47</v>
      </c>
      <c r="F256" t="str">
        <f>IF(Clients_Churn_Master[[#This Row],[Type_Forfait]]="Pro Monde","B2B","B2C")</f>
        <v>B2C</v>
      </c>
      <c r="G256" s="4">
        <f>Clients_Churn_Master[[#This Row],[Duree_Cumulee_Panne_Min]]/1440</f>
        <v>0.2673611111111111</v>
      </c>
      <c r="H256" t="s">
        <v>560</v>
      </c>
      <c r="I256">
        <v>385</v>
      </c>
      <c r="J256" s="10">
        <v>41.33</v>
      </c>
      <c r="K256">
        <v>0</v>
      </c>
      <c r="L2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6" s="9">
        <f>Clients_Churn_Master[[#This Row],[Remise]]*Clients_Churn_Master[[#This Row],[Facture_Mensuelle]]</f>
        <v>18.598500000000001</v>
      </c>
    </row>
    <row r="257" spans="1:13" x14ac:dyDescent="0.25">
      <c r="A257" t="s">
        <v>1699</v>
      </c>
      <c r="B257" t="s">
        <v>814</v>
      </c>
      <c r="C257" s="7">
        <f>Clients_Churn_Master[[#This Row],[Anciennete_Mois]]/12</f>
        <v>6.916666666666667</v>
      </c>
      <c r="D257" t="s">
        <v>13</v>
      </c>
      <c r="E257">
        <v>83</v>
      </c>
      <c r="F257" t="str">
        <f>IF(Clients_Churn_Master[[#This Row],[Type_Forfait]]="Pro Monde","B2B","B2C")</f>
        <v>B2C</v>
      </c>
      <c r="G257" s="4">
        <f>Clients_Churn_Master[[#This Row],[Duree_Cumulee_Panne_Min]]/1440</f>
        <v>7.2916666666666671E-2</v>
      </c>
      <c r="H257" t="s">
        <v>564</v>
      </c>
      <c r="I257">
        <v>105</v>
      </c>
      <c r="J257" s="10">
        <v>20.46</v>
      </c>
      <c r="K257">
        <v>1</v>
      </c>
      <c r="L2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57" s="9">
        <f>Clients_Churn_Master[[#This Row],[Remise]]*Clients_Churn_Master[[#This Row],[Facture_Mensuelle]]</f>
        <v>0</v>
      </c>
    </row>
    <row r="258" spans="1:13" x14ac:dyDescent="0.25">
      <c r="A258" t="s">
        <v>1691</v>
      </c>
      <c r="B258" t="s">
        <v>815</v>
      </c>
      <c r="C258" s="7">
        <f>Clients_Churn_Master[[#This Row],[Anciennete_Mois]]/12</f>
        <v>7</v>
      </c>
      <c r="D258" t="s">
        <v>32</v>
      </c>
      <c r="E258">
        <v>84</v>
      </c>
      <c r="F258" t="str">
        <f>IF(Clients_Churn_Master[[#This Row],[Type_Forfait]]="Pro Monde","B2B","B2C")</f>
        <v>B2C</v>
      </c>
      <c r="G258" s="4">
        <f>Clients_Churn_Master[[#This Row],[Duree_Cumulee_Panne_Min]]/1440</f>
        <v>0.22013888888888888</v>
      </c>
      <c r="H258" t="s">
        <v>556</v>
      </c>
      <c r="I258">
        <v>317</v>
      </c>
      <c r="J258" s="10">
        <v>36.200000000000003</v>
      </c>
      <c r="K258">
        <v>3</v>
      </c>
      <c r="L2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8" s="9">
        <f>Clients_Churn_Master[[#This Row],[Remise]]*Clients_Churn_Master[[#This Row],[Facture_Mensuelle]]</f>
        <v>16.290000000000003</v>
      </c>
    </row>
    <row r="259" spans="1:13" x14ac:dyDescent="0.25">
      <c r="A259" t="s">
        <v>1697</v>
      </c>
      <c r="B259" t="s">
        <v>816</v>
      </c>
      <c r="C259" s="7">
        <f>Clients_Churn_Master[[#This Row],[Anciennete_Mois]]/12</f>
        <v>0.5</v>
      </c>
      <c r="D259" t="s">
        <v>21</v>
      </c>
      <c r="E259">
        <v>6</v>
      </c>
      <c r="F259" t="str">
        <f>IF(Clients_Churn_Master[[#This Row],[Type_Forfait]]="Pro Monde","B2B","B2C")</f>
        <v>B2C</v>
      </c>
      <c r="G259" s="4">
        <f>Clients_Churn_Master[[#This Row],[Duree_Cumulee_Panne_Min]]/1440</f>
        <v>0.14374999999999999</v>
      </c>
      <c r="H259" t="s">
        <v>564</v>
      </c>
      <c r="I259">
        <v>207</v>
      </c>
      <c r="J259" s="10">
        <v>61.55</v>
      </c>
      <c r="K259">
        <v>0</v>
      </c>
      <c r="L2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9" s="9">
        <f>Clients_Churn_Master[[#This Row],[Remise]]*Clients_Churn_Master[[#This Row],[Facture_Mensuelle]]</f>
        <v>27.697499999999998</v>
      </c>
    </row>
    <row r="260" spans="1:13" x14ac:dyDescent="0.25">
      <c r="A260" t="s">
        <v>1694</v>
      </c>
      <c r="B260" t="s">
        <v>817</v>
      </c>
      <c r="C260" s="7">
        <f>Clients_Churn_Master[[#This Row],[Anciennete_Mois]]/12</f>
        <v>3.3333333333333335</v>
      </c>
      <c r="D260" t="s">
        <v>62</v>
      </c>
      <c r="E260">
        <v>40</v>
      </c>
      <c r="F260" t="str">
        <f>IF(Clients_Churn_Master[[#This Row],[Type_Forfait]]="Pro Monde","B2B","B2C")</f>
        <v>B2C</v>
      </c>
      <c r="G260" s="4">
        <f>Clients_Churn_Master[[#This Row],[Duree_Cumulee_Panne_Min]]/1440</f>
        <v>7.0833333333333331E-2</v>
      </c>
      <c r="H260" t="s">
        <v>564</v>
      </c>
      <c r="I260">
        <v>102</v>
      </c>
      <c r="J260" s="10">
        <v>96.59</v>
      </c>
      <c r="K260">
        <v>5</v>
      </c>
      <c r="L2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60" s="9">
        <f>Clients_Churn_Master[[#This Row],[Remise]]*Clients_Churn_Master[[#This Row],[Facture_Mensuelle]]</f>
        <v>43.465500000000006</v>
      </c>
    </row>
    <row r="261" spans="1:13" x14ac:dyDescent="0.25">
      <c r="A261" t="s">
        <v>1691</v>
      </c>
      <c r="B261" t="s">
        <v>818</v>
      </c>
      <c r="C261" s="7">
        <f>Clients_Churn_Master[[#This Row],[Anciennete_Mois]]/12</f>
        <v>3.5</v>
      </c>
      <c r="D261" t="s">
        <v>137</v>
      </c>
      <c r="E261">
        <v>42</v>
      </c>
      <c r="F261" t="str">
        <f>IF(Clients_Churn_Master[[#This Row],[Type_Forfait]]="Pro Monde","B2B","B2C")</f>
        <v>B2C</v>
      </c>
      <c r="G261" s="4">
        <f>Clients_Churn_Master[[#This Row],[Duree_Cumulee_Panne_Min]]/1440</f>
        <v>0.12013888888888889</v>
      </c>
      <c r="H261" t="s">
        <v>560</v>
      </c>
      <c r="I261">
        <v>173</v>
      </c>
      <c r="J261" s="10">
        <v>69.19</v>
      </c>
      <c r="K261">
        <v>4</v>
      </c>
      <c r="L2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1" s="9">
        <f>Clients_Churn_Master[[#This Row],[Remise]]*Clients_Churn_Master[[#This Row],[Facture_Mensuelle]]</f>
        <v>0</v>
      </c>
    </row>
    <row r="262" spans="1:13" x14ac:dyDescent="0.25">
      <c r="A262" t="s">
        <v>1700</v>
      </c>
      <c r="B262" t="s">
        <v>819</v>
      </c>
      <c r="C262" s="7">
        <f>Clients_Churn_Master[[#This Row],[Anciennete_Mois]]/12</f>
        <v>4.25</v>
      </c>
      <c r="D262" t="s">
        <v>34</v>
      </c>
      <c r="E262">
        <v>51</v>
      </c>
      <c r="F262" t="str">
        <f>IF(Clients_Churn_Master[[#This Row],[Type_Forfait]]="Pro Monde","B2B","B2C")</f>
        <v>B2C</v>
      </c>
      <c r="G262" s="4">
        <f>Clients_Churn_Master[[#This Row],[Duree_Cumulee_Panne_Min]]/1440</f>
        <v>0.23402777777777778</v>
      </c>
      <c r="H262" t="s">
        <v>556</v>
      </c>
      <c r="I262">
        <v>337</v>
      </c>
      <c r="J262" s="10">
        <v>68.67</v>
      </c>
      <c r="K262">
        <v>5</v>
      </c>
      <c r="L2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62" s="9">
        <f>Clients_Churn_Master[[#This Row],[Remise]]*Clients_Churn_Master[[#This Row],[Facture_Mensuelle]]</f>
        <v>30.901500000000002</v>
      </c>
    </row>
    <row r="263" spans="1:13" x14ac:dyDescent="0.25">
      <c r="A263" t="s">
        <v>1692</v>
      </c>
      <c r="B263" t="s">
        <v>820</v>
      </c>
      <c r="C263" s="7">
        <f>Clients_Churn_Master[[#This Row],[Anciennete_Mois]]/12</f>
        <v>9</v>
      </c>
      <c r="D263" t="s">
        <v>13</v>
      </c>
      <c r="E263">
        <v>108</v>
      </c>
      <c r="F263" t="str">
        <f>IF(Clients_Churn_Master[[#This Row],[Type_Forfait]]="Pro Monde","B2B","B2C")</f>
        <v>B2C</v>
      </c>
      <c r="G263" s="4">
        <f>Clients_Churn_Master[[#This Row],[Duree_Cumulee_Panne_Min]]/1440</f>
        <v>8.5416666666666669E-2</v>
      </c>
      <c r="H263" t="s">
        <v>560</v>
      </c>
      <c r="I263">
        <v>123</v>
      </c>
      <c r="J263" s="10">
        <v>83.1</v>
      </c>
      <c r="K263">
        <v>1</v>
      </c>
      <c r="L2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3" s="9">
        <f>Clients_Churn_Master[[#This Row],[Remise]]*Clients_Churn_Master[[#This Row],[Facture_Mensuelle]]</f>
        <v>0</v>
      </c>
    </row>
    <row r="264" spans="1:13" x14ac:dyDescent="0.25">
      <c r="A264" t="s">
        <v>1690</v>
      </c>
      <c r="B264" t="s">
        <v>821</v>
      </c>
      <c r="C264" s="7">
        <f>Clients_Churn_Master[[#This Row],[Anciennete_Mois]]/12</f>
        <v>9.4166666666666661</v>
      </c>
      <c r="D264" t="s">
        <v>41</v>
      </c>
      <c r="E264">
        <v>113</v>
      </c>
      <c r="F264" t="str">
        <f>IF(Clients_Churn_Master[[#This Row],[Type_Forfait]]="Pro Monde","B2B","B2C")</f>
        <v>B2C</v>
      </c>
      <c r="G264" s="4">
        <f>Clients_Churn_Master[[#This Row],[Duree_Cumulee_Panne_Min]]/1440</f>
        <v>6.1805555555555558E-2</v>
      </c>
      <c r="H264" t="s">
        <v>564</v>
      </c>
      <c r="I264">
        <v>89</v>
      </c>
      <c r="J264" s="10">
        <v>54.28</v>
      </c>
      <c r="K264">
        <v>0</v>
      </c>
      <c r="L2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4" s="9">
        <f>Clients_Churn_Master[[#This Row],[Remise]]*Clients_Churn_Master[[#This Row],[Facture_Mensuelle]]</f>
        <v>0</v>
      </c>
    </row>
    <row r="265" spans="1:13" x14ac:dyDescent="0.25">
      <c r="A265" t="s">
        <v>1689</v>
      </c>
      <c r="B265" t="s">
        <v>822</v>
      </c>
      <c r="C265" s="7">
        <f>Clients_Churn_Master[[#This Row],[Anciennete_Mois]]/12</f>
        <v>8.4166666666666661</v>
      </c>
      <c r="D265" t="s">
        <v>30</v>
      </c>
      <c r="E265">
        <v>101</v>
      </c>
      <c r="F265" t="str">
        <f>IF(Clients_Churn_Master[[#This Row],[Type_Forfait]]="Pro Monde","B2B","B2C")</f>
        <v>B2C</v>
      </c>
      <c r="G265" s="4">
        <f>Clients_Churn_Master[[#This Row],[Duree_Cumulee_Panne_Min]]/1440</f>
        <v>0.28888888888888886</v>
      </c>
      <c r="H265" t="s">
        <v>556</v>
      </c>
      <c r="I265">
        <v>416</v>
      </c>
      <c r="J265" s="10">
        <v>83.49</v>
      </c>
      <c r="K265">
        <v>2</v>
      </c>
      <c r="L2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65" s="9">
        <f>Clients_Churn_Master[[#This Row],[Remise]]*Clients_Churn_Master[[#This Row],[Facture_Mensuelle]]</f>
        <v>37.570499999999996</v>
      </c>
    </row>
    <row r="266" spans="1:13" x14ac:dyDescent="0.25">
      <c r="A266" t="s">
        <v>1702</v>
      </c>
      <c r="B266" t="s">
        <v>823</v>
      </c>
      <c r="C266" s="7">
        <f>Clients_Churn_Master[[#This Row],[Anciennete_Mois]]/12</f>
        <v>6.166666666666667</v>
      </c>
      <c r="D266" t="s">
        <v>21</v>
      </c>
      <c r="E266">
        <v>74</v>
      </c>
      <c r="F266" t="str">
        <f>IF(Clients_Churn_Master[[#This Row],[Type_Forfait]]="Pro Monde","B2B","B2C")</f>
        <v>B2C</v>
      </c>
      <c r="G266" s="4">
        <f>Clients_Churn_Master[[#This Row],[Duree_Cumulee_Panne_Min]]/1440</f>
        <v>0.14444444444444443</v>
      </c>
      <c r="H266" t="s">
        <v>564</v>
      </c>
      <c r="I266">
        <v>208</v>
      </c>
      <c r="J266" s="10">
        <v>39.56</v>
      </c>
      <c r="K266">
        <v>0</v>
      </c>
      <c r="L2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6" s="9">
        <f>Clients_Churn_Master[[#This Row],[Remise]]*Clients_Churn_Master[[#This Row],[Facture_Mensuelle]]</f>
        <v>0</v>
      </c>
    </row>
    <row r="267" spans="1:13" x14ac:dyDescent="0.25">
      <c r="A267" t="s">
        <v>1694</v>
      </c>
      <c r="B267" t="s">
        <v>824</v>
      </c>
      <c r="C267" s="7">
        <f>Clients_Churn_Master[[#This Row],[Anciennete_Mois]]/12</f>
        <v>0.83333333333333337</v>
      </c>
      <c r="D267" t="s">
        <v>85</v>
      </c>
      <c r="E267">
        <v>10</v>
      </c>
      <c r="F267" t="str">
        <f>IF(Clients_Churn_Master[[#This Row],[Type_Forfait]]="Pro Monde","B2B","B2C")</f>
        <v>B2C</v>
      </c>
      <c r="G267" s="4">
        <f>Clients_Churn_Master[[#This Row],[Duree_Cumulee_Panne_Min]]/1440</f>
        <v>6.458333333333334E-2</v>
      </c>
      <c r="H267" t="s">
        <v>556</v>
      </c>
      <c r="I267">
        <v>93</v>
      </c>
      <c r="J267" s="10">
        <v>78.12</v>
      </c>
      <c r="K267">
        <v>4</v>
      </c>
      <c r="L2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7" s="9">
        <f>Clients_Churn_Master[[#This Row],[Remise]]*Clients_Churn_Master[[#This Row],[Facture_Mensuelle]]</f>
        <v>0</v>
      </c>
    </row>
    <row r="268" spans="1:13" x14ac:dyDescent="0.25">
      <c r="A268" t="s">
        <v>1690</v>
      </c>
      <c r="B268" t="s">
        <v>825</v>
      </c>
      <c r="C268" s="7">
        <f>Clients_Churn_Master[[#This Row],[Anciennete_Mois]]/12</f>
        <v>1.3333333333333333</v>
      </c>
      <c r="D268" t="s">
        <v>17</v>
      </c>
      <c r="E268">
        <v>16</v>
      </c>
      <c r="F268" t="str">
        <f>IF(Clients_Churn_Master[[#This Row],[Type_Forfait]]="Pro Monde","B2B","B2C")</f>
        <v>B2C</v>
      </c>
      <c r="G268" s="4">
        <f>Clients_Churn_Master[[#This Row],[Duree_Cumulee_Panne_Min]]/1440</f>
        <v>0.27152777777777776</v>
      </c>
      <c r="H268" t="s">
        <v>564</v>
      </c>
      <c r="I268">
        <v>391</v>
      </c>
      <c r="J268" s="10">
        <v>90.12</v>
      </c>
      <c r="K268">
        <v>5</v>
      </c>
      <c r="L2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68" s="9">
        <f>Clients_Churn_Master[[#This Row],[Remise]]*Clients_Churn_Master[[#This Row],[Facture_Mensuelle]]</f>
        <v>40.554000000000002</v>
      </c>
    </row>
    <row r="269" spans="1:13" x14ac:dyDescent="0.25">
      <c r="A269" t="s">
        <v>1701</v>
      </c>
      <c r="B269" t="s">
        <v>826</v>
      </c>
      <c r="C269" s="7">
        <f>Clients_Churn_Master[[#This Row],[Anciennete_Mois]]/12</f>
        <v>4.916666666666667</v>
      </c>
      <c r="D269" t="s">
        <v>9</v>
      </c>
      <c r="E269">
        <v>59</v>
      </c>
      <c r="F269" t="str">
        <f>IF(Clients_Churn_Master[[#This Row],[Type_Forfait]]="Pro Monde","B2B","B2C")</f>
        <v>B2B</v>
      </c>
      <c r="G269" s="4">
        <f>Clients_Churn_Master[[#This Row],[Duree_Cumulee_Panne_Min]]/1440</f>
        <v>0.05</v>
      </c>
      <c r="H269" t="s">
        <v>558</v>
      </c>
      <c r="I269">
        <v>72</v>
      </c>
      <c r="J269" s="10">
        <v>94.51</v>
      </c>
      <c r="K269">
        <v>2</v>
      </c>
      <c r="L2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69" s="9">
        <f>Clients_Churn_Master[[#This Row],[Remise]]*Clients_Churn_Master[[#This Row],[Facture_Mensuelle]]</f>
        <v>9.4510000000000005</v>
      </c>
    </row>
    <row r="270" spans="1:13" x14ac:dyDescent="0.25">
      <c r="A270" t="s">
        <v>1692</v>
      </c>
      <c r="B270" t="s">
        <v>827</v>
      </c>
      <c r="C270" s="7">
        <f>Clients_Churn_Master[[#This Row],[Anciennete_Mois]]/12</f>
        <v>3.4166666666666665</v>
      </c>
      <c r="D270" t="s">
        <v>24</v>
      </c>
      <c r="E270">
        <v>41</v>
      </c>
      <c r="F270" t="str">
        <f>IF(Clients_Churn_Master[[#This Row],[Type_Forfait]]="Pro Monde","B2B","B2C")</f>
        <v>B2B</v>
      </c>
      <c r="G270" s="4">
        <f>Clients_Churn_Master[[#This Row],[Duree_Cumulee_Panne_Min]]/1440</f>
        <v>0.32916666666666666</v>
      </c>
      <c r="H270" t="s">
        <v>558</v>
      </c>
      <c r="I270">
        <v>474</v>
      </c>
      <c r="J270" s="10">
        <v>54.03</v>
      </c>
      <c r="K270">
        <v>4</v>
      </c>
      <c r="L2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0" s="9">
        <f>Clients_Churn_Master[[#This Row],[Remise]]*Clients_Churn_Master[[#This Row],[Facture_Mensuelle]]</f>
        <v>24.313500000000001</v>
      </c>
    </row>
    <row r="271" spans="1:13" x14ac:dyDescent="0.25">
      <c r="A271" t="s">
        <v>1692</v>
      </c>
      <c r="B271" t="s">
        <v>828</v>
      </c>
      <c r="C271" s="7">
        <f>Clients_Churn_Master[[#This Row],[Anciennete_Mois]]/12</f>
        <v>0.41666666666666669</v>
      </c>
      <c r="D271" t="s">
        <v>34</v>
      </c>
      <c r="E271">
        <v>5</v>
      </c>
      <c r="F271" t="str">
        <f>IF(Clients_Churn_Master[[#This Row],[Type_Forfait]]="Pro Monde","B2B","B2C")</f>
        <v>B2C</v>
      </c>
      <c r="G271" s="4">
        <f>Clients_Churn_Master[[#This Row],[Duree_Cumulee_Panne_Min]]/1440</f>
        <v>0.23402777777777778</v>
      </c>
      <c r="H271" t="s">
        <v>560</v>
      </c>
      <c r="I271">
        <v>337</v>
      </c>
      <c r="J271" s="10">
        <v>21.07</v>
      </c>
      <c r="K271">
        <v>4</v>
      </c>
      <c r="L2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1" s="9">
        <f>Clients_Churn_Master[[#This Row],[Remise]]*Clients_Churn_Master[[#This Row],[Facture_Mensuelle]]</f>
        <v>9.4815000000000005</v>
      </c>
    </row>
    <row r="272" spans="1:13" x14ac:dyDescent="0.25">
      <c r="A272" t="s">
        <v>1691</v>
      </c>
      <c r="B272" t="s">
        <v>829</v>
      </c>
      <c r="C272" s="7">
        <f>Clients_Churn_Master[[#This Row],[Anciennete_Mois]]/12</f>
        <v>9.8333333333333339</v>
      </c>
      <c r="D272" t="s">
        <v>37</v>
      </c>
      <c r="E272">
        <v>118</v>
      </c>
      <c r="F272" t="str">
        <f>IF(Clients_Churn_Master[[#This Row],[Type_Forfait]]="Pro Monde","B2B","B2C")</f>
        <v>B2C</v>
      </c>
      <c r="G272" s="4">
        <f>Clients_Churn_Master[[#This Row],[Duree_Cumulee_Panne_Min]]/1440</f>
        <v>0.2986111111111111</v>
      </c>
      <c r="H272" t="s">
        <v>560</v>
      </c>
      <c r="I272">
        <v>430</v>
      </c>
      <c r="J272" s="10">
        <v>36.97</v>
      </c>
      <c r="K272">
        <v>2</v>
      </c>
      <c r="L2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2" s="9">
        <f>Clients_Churn_Master[[#This Row],[Remise]]*Clients_Churn_Master[[#This Row],[Facture_Mensuelle]]</f>
        <v>16.636500000000002</v>
      </c>
    </row>
    <row r="273" spans="1:13" x14ac:dyDescent="0.25">
      <c r="A273" t="s">
        <v>1701</v>
      </c>
      <c r="B273" t="s">
        <v>830</v>
      </c>
      <c r="C273" s="7">
        <f>Clients_Churn_Master[[#This Row],[Anciennete_Mois]]/12</f>
        <v>4.416666666666667</v>
      </c>
      <c r="D273" t="s">
        <v>13</v>
      </c>
      <c r="E273">
        <v>53</v>
      </c>
      <c r="F273" t="str">
        <f>IF(Clients_Churn_Master[[#This Row],[Type_Forfait]]="Pro Monde","B2B","B2C")</f>
        <v>B2C</v>
      </c>
      <c r="G273" s="4">
        <f>Clients_Churn_Master[[#This Row],[Duree_Cumulee_Panne_Min]]/1440</f>
        <v>0.16875000000000001</v>
      </c>
      <c r="H273" t="s">
        <v>564</v>
      </c>
      <c r="I273">
        <v>243</v>
      </c>
      <c r="J273" s="10">
        <v>55.19</v>
      </c>
      <c r="K273">
        <v>4</v>
      </c>
      <c r="L2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3" s="9">
        <f>Clients_Churn_Master[[#This Row],[Remise]]*Clients_Churn_Master[[#This Row],[Facture_Mensuelle]]</f>
        <v>24.8355</v>
      </c>
    </row>
    <row r="274" spans="1:13" x14ac:dyDescent="0.25">
      <c r="A274" t="s">
        <v>1691</v>
      </c>
      <c r="B274" t="s">
        <v>831</v>
      </c>
      <c r="C274" s="7">
        <f>Clients_Churn_Master[[#This Row],[Anciennete_Mois]]/12</f>
        <v>7.916666666666667</v>
      </c>
      <c r="D274" t="s">
        <v>27</v>
      </c>
      <c r="E274">
        <v>95</v>
      </c>
      <c r="F274" t="str">
        <f>IF(Clients_Churn_Master[[#This Row],[Type_Forfait]]="Pro Monde","B2B","B2C")</f>
        <v>B2B</v>
      </c>
      <c r="G274" s="4">
        <f>Clients_Churn_Master[[#This Row],[Duree_Cumulee_Panne_Min]]/1440</f>
        <v>6.5972222222222224E-2</v>
      </c>
      <c r="H274" t="s">
        <v>558</v>
      </c>
      <c r="I274">
        <v>95</v>
      </c>
      <c r="J274" s="10">
        <v>82.65</v>
      </c>
      <c r="K274">
        <v>2</v>
      </c>
      <c r="L2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74" s="9">
        <f>Clients_Churn_Master[[#This Row],[Remise]]*Clients_Churn_Master[[#This Row],[Facture_Mensuelle]]</f>
        <v>8.2650000000000006</v>
      </c>
    </row>
    <row r="275" spans="1:13" x14ac:dyDescent="0.25">
      <c r="A275" t="s">
        <v>1702</v>
      </c>
      <c r="B275" t="s">
        <v>832</v>
      </c>
      <c r="C275" s="7">
        <f>Clients_Churn_Master[[#This Row],[Anciennete_Mois]]/12</f>
        <v>6.916666666666667</v>
      </c>
      <c r="D275" t="s">
        <v>27</v>
      </c>
      <c r="E275">
        <v>83</v>
      </c>
      <c r="F275" t="str">
        <f>IF(Clients_Churn_Master[[#This Row],[Type_Forfait]]="Pro Monde","B2B","B2C")</f>
        <v>B2C</v>
      </c>
      <c r="G275" s="4">
        <f>Clients_Churn_Master[[#This Row],[Duree_Cumulee_Panne_Min]]/1440</f>
        <v>9.7222222222222224E-3</v>
      </c>
      <c r="H275" t="s">
        <v>560</v>
      </c>
      <c r="I275">
        <v>14</v>
      </c>
      <c r="J275" s="10">
        <v>58.07</v>
      </c>
      <c r="K275">
        <v>3</v>
      </c>
      <c r="L2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75" s="9">
        <f>Clients_Churn_Master[[#This Row],[Remise]]*Clients_Churn_Master[[#This Row],[Facture_Mensuelle]]</f>
        <v>0</v>
      </c>
    </row>
    <row r="276" spans="1:13" x14ac:dyDescent="0.25">
      <c r="A276" t="s">
        <v>1696</v>
      </c>
      <c r="B276" t="s">
        <v>833</v>
      </c>
      <c r="C276" s="7">
        <f>Clients_Churn_Master[[#This Row],[Anciennete_Mois]]/12</f>
        <v>0.33333333333333331</v>
      </c>
      <c r="D276" t="s">
        <v>34</v>
      </c>
      <c r="E276">
        <v>4</v>
      </c>
      <c r="F276" t="str">
        <f>IF(Clients_Churn_Master[[#This Row],[Type_Forfait]]="Pro Monde","B2B","B2C")</f>
        <v>B2C</v>
      </c>
      <c r="G276" s="4">
        <f>Clients_Churn_Master[[#This Row],[Duree_Cumulee_Panne_Min]]/1440</f>
        <v>1.4583333333333334E-2</v>
      </c>
      <c r="H276" t="s">
        <v>556</v>
      </c>
      <c r="I276">
        <v>21</v>
      </c>
      <c r="J276" s="10">
        <v>45.8</v>
      </c>
      <c r="K276">
        <v>1</v>
      </c>
      <c r="L2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76" s="9">
        <f>Clients_Churn_Master[[#This Row],[Remise]]*Clients_Churn_Master[[#This Row],[Facture_Mensuelle]]</f>
        <v>0</v>
      </c>
    </row>
    <row r="277" spans="1:13" x14ac:dyDescent="0.25">
      <c r="A277" t="s">
        <v>1695</v>
      </c>
      <c r="B277" t="s">
        <v>834</v>
      </c>
      <c r="C277" s="7">
        <f>Clients_Churn_Master[[#This Row],[Anciennete_Mois]]/12</f>
        <v>2.9166666666666665</v>
      </c>
      <c r="D277" t="s">
        <v>55</v>
      </c>
      <c r="E277">
        <v>35</v>
      </c>
      <c r="F277" t="str">
        <f>IF(Clients_Churn_Master[[#This Row],[Type_Forfait]]="Pro Monde","B2B","B2C")</f>
        <v>B2B</v>
      </c>
      <c r="G277" s="4">
        <f>Clients_Churn_Master[[#This Row],[Duree_Cumulee_Panne_Min]]/1440</f>
        <v>0.2076388888888889</v>
      </c>
      <c r="H277" t="s">
        <v>558</v>
      </c>
      <c r="I277">
        <v>299</v>
      </c>
      <c r="J277" s="10">
        <v>96.32</v>
      </c>
      <c r="K277">
        <v>4</v>
      </c>
      <c r="L2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7" s="9">
        <f>Clients_Churn_Master[[#This Row],[Remise]]*Clients_Churn_Master[[#This Row],[Facture_Mensuelle]]</f>
        <v>43.344000000000001</v>
      </c>
    </row>
    <row r="278" spans="1:13" x14ac:dyDescent="0.25">
      <c r="A278" t="s">
        <v>1698</v>
      </c>
      <c r="B278" t="s">
        <v>835</v>
      </c>
      <c r="C278" s="7">
        <f>Clients_Churn_Master[[#This Row],[Anciennete_Mois]]/12</f>
        <v>8.0833333333333339</v>
      </c>
      <c r="D278" t="s">
        <v>43</v>
      </c>
      <c r="E278">
        <v>97</v>
      </c>
      <c r="F278" t="str">
        <f>IF(Clients_Churn_Master[[#This Row],[Type_Forfait]]="Pro Monde","B2B","B2C")</f>
        <v>B2C</v>
      </c>
      <c r="G278" s="4">
        <f>Clients_Churn_Master[[#This Row],[Duree_Cumulee_Panne_Min]]/1440</f>
        <v>0.33611111111111114</v>
      </c>
      <c r="H278" t="s">
        <v>556</v>
      </c>
      <c r="I278">
        <v>484</v>
      </c>
      <c r="J278" s="10">
        <v>61.98</v>
      </c>
      <c r="K278">
        <v>1</v>
      </c>
      <c r="L2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8" s="9">
        <f>Clients_Churn_Master[[#This Row],[Remise]]*Clients_Churn_Master[[#This Row],[Facture_Mensuelle]]</f>
        <v>27.890999999999998</v>
      </c>
    </row>
    <row r="279" spans="1:13" x14ac:dyDescent="0.25">
      <c r="A279" t="s">
        <v>1694</v>
      </c>
      <c r="B279" t="s">
        <v>836</v>
      </c>
      <c r="C279" s="7">
        <f>Clients_Churn_Master[[#This Row],[Anciennete_Mois]]/12</f>
        <v>6.333333333333333</v>
      </c>
      <c r="D279" t="s">
        <v>76</v>
      </c>
      <c r="E279">
        <v>76</v>
      </c>
      <c r="F279" t="str">
        <f>IF(Clients_Churn_Master[[#This Row],[Type_Forfait]]="Pro Monde","B2B","B2C")</f>
        <v>B2C</v>
      </c>
      <c r="G279" s="4">
        <f>Clients_Churn_Master[[#This Row],[Duree_Cumulee_Panne_Min]]/1440</f>
        <v>0.26597222222222222</v>
      </c>
      <c r="H279" t="s">
        <v>560</v>
      </c>
      <c r="I279">
        <v>383</v>
      </c>
      <c r="J279" s="10">
        <v>53.73</v>
      </c>
      <c r="K279">
        <v>2</v>
      </c>
      <c r="L2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9" s="9">
        <f>Clients_Churn_Master[[#This Row],[Remise]]*Clients_Churn_Master[[#This Row],[Facture_Mensuelle]]</f>
        <v>24.1785</v>
      </c>
    </row>
    <row r="280" spans="1:13" x14ac:dyDescent="0.25">
      <c r="A280" t="s">
        <v>1689</v>
      </c>
      <c r="B280" t="s">
        <v>837</v>
      </c>
      <c r="C280" s="7">
        <f>Clients_Churn_Master[[#This Row],[Anciennete_Mois]]/12</f>
        <v>0.83333333333333337</v>
      </c>
      <c r="D280" t="s">
        <v>34</v>
      </c>
      <c r="E280">
        <v>10</v>
      </c>
      <c r="F280" t="str">
        <f>IF(Clients_Churn_Master[[#This Row],[Type_Forfait]]="Pro Monde","B2B","B2C")</f>
        <v>B2C</v>
      </c>
      <c r="G280" s="4">
        <f>Clients_Churn_Master[[#This Row],[Duree_Cumulee_Panne_Min]]/1440</f>
        <v>0.2951388888888889</v>
      </c>
      <c r="H280" t="s">
        <v>564</v>
      </c>
      <c r="I280">
        <v>425</v>
      </c>
      <c r="J280" s="10">
        <v>85.75</v>
      </c>
      <c r="K280">
        <v>0</v>
      </c>
      <c r="L2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0" s="9">
        <f>Clients_Churn_Master[[#This Row],[Remise]]*Clients_Churn_Master[[#This Row],[Facture_Mensuelle]]</f>
        <v>38.587499999999999</v>
      </c>
    </row>
    <row r="281" spans="1:13" x14ac:dyDescent="0.25">
      <c r="A281" t="s">
        <v>1690</v>
      </c>
      <c r="B281" t="s">
        <v>838</v>
      </c>
      <c r="C281" s="7">
        <f>Clients_Churn_Master[[#This Row],[Anciennete_Mois]]/12</f>
        <v>5.666666666666667</v>
      </c>
      <c r="D281" t="s">
        <v>32</v>
      </c>
      <c r="E281">
        <v>68</v>
      </c>
      <c r="F281" t="str">
        <f>IF(Clients_Churn_Master[[#This Row],[Type_Forfait]]="Pro Monde","B2B","B2C")</f>
        <v>B2B</v>
      </c>
      <c r="G281" s="4">
        <f>Clients_Churn_Master[[#This Row],[Duree_Cumulee_Panne_Min]]/1440</f>
        <v>0.32083333333333336</v>
      </c>
      <c r="H281" t="s">
        <v>558</v>
      </c>
      <c r="I281">
        <v>462</v>
      </c>
      <c r="J281" s="10">
        <v>41.91</v>
      </c>
      <c r="K281">
        <v>1</v>
      </c>
      <c r="L2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1" s="9">
        <f>Clients_Churn_Master[[#This Row],[Remise]]*Clients_Churn_Master[[#This Row],[Facture_Mensuelle]]</f>
        <v>18.859500000000001</v>
      </c>
    </row>
    <row r="282" spans="1:13" x14ac:dyDescent="0.25">
      <c r="A282" t="s">
        <v>1697</v>
      </c>
      <c r="B282" t="s">
        <v>839</v>
      </c>
      <c r="C282" s="7">
        <f>Clients_Churn_Master[[#This Row],[Anciennete_Mois]]/12</f>
        <v>1.3333333333333333</v>
      </c>
      <c r="D282" t="s">
        <v>62</v>
      </c>
      <c r="E282">
        <v>16</v>
      </c>
      <c r="F282" t="str">
        <f>IF(Clients_Churn_Master[[#This Row],[Type_Forfait]]="Pro Monde","B2B","B2C")</f>
        <v>B2C</v>
      </c>
      <c r="G282" s="4">
        <f>Clients_Churn_Master[[#This Row],[Duree_Cumulee_Panne_Min]]/1440</f>
        <v>2.9861111111111113E-2</v>
      </c>
      <c r="H282" t="s">
        <v>556</v>
      </c>
      <c r="I282">
        <v>43</v>
      </c>
      <c r="J282" s="10">
        <v>56.48</v>
      </c>
      <c r="K282">
        <v>0</v>
      </c>
      <c r="L2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2" s="9">
        <f>Clients_Churn_Master[[#This Row],[Remise]]*Clients_Churn_Master[[#This Row],[Facture_Mensuelle]]</f>
        <v>0</v>
      </c>
    </row>
    <row r="283" spans="1:13" x14ac:dyDescent="0.25">
      <c r="A283" t="s">
        <v>1692</v>
      </c>
      <c r="B283" t="s">
        <v>840</v>
      </c>
      <c r="C283" s="7">
        <f>Clients_Churn_Master[[#This Row],[Anciennete_Mois]]/12</f>
        <v>9.0833333333333339</v>
      </c>
      <c r="D283" t="s">
        <v>37</v>
      </c>
      <c r="E283">
        <v>109</v>
      </c>
      <c r="F283" t="str">
        <f>IF(Clients_Churn_Master[[#This Row],[Type_Forfait]]="Pro Monde","B2B","B2C")</f>
        <v>B2B</v>
      </c>
      <c r="G283" s="4">
        <f>Clients_Churn_Master[[#This Row],[Duree_Cumulee_Panne_Min]]/1440</f>
        <v>0.27569444444444446</v>
      </c>
      <c r="H283" t="s">
        <v>558</v>
      </c>
      <c r="I283">
        <v>397</v>
      </c>
      <c r="J283" s="10">
        <v>63.92</v>
      </c>
      <c r="K283">
        <v>1</v>
      </c>
      <c r="L2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3" s="9">
        <f>Clients_Churn_Master[[#This Row],[Remise]]*Clients_Churn_Master[[#This Row],[Facture_Mensuelle]]</f>
        <v>28.764000000000003</v>
      </c>
    </row>
    <row r="284" spans="1:13" x14ac:dyDescent="0.25">
      <c r="A284" t="s">
        <v>1701</v>
      </c>
      <c r="B284" t="s">
        <v>841</v>
      </c>
      <c r="C284" s="7">
        <f>Clients_Churn_Master[[#This Row],[Anciennete_Mois]]/12</f>
        <v>5.083333333333333</v>
      </c>
      <c r="D284" t="s">
        <v>76</v>
      </c>
      <c r="E284">
        <v>61</v>
      </c>
      <c r="F284" t="str">
        <f>IF(Clients_Churn_Master[[#This Row],[Type_Forfait]]="Pro Monde","B2B","B2C")</f>
        <v>B2C</v>
      </c>
      <c r="G284" s="4">
        <f>Clients_Churn_Master[[#This Row],[Duree_Cumulee_Panne_Min]]/1440</f>
        <v>9.7222222222222224E-2</v>
      </c>
      <c r="H284" t="s">
        <v>564</v>
      </c>
      <c r="I284">
        <v>140</v>
      </c>
      <c r="J284" s="10">
        <v>76.3</v>
      </c>
      <c r="K284">
        <v>4</v>
      </c>
      <c r="L2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4" s="9">
        <f>Clients_Churn_Master[[#This Row],[Remise]]*Clients_Churn_Master[[#This Row],[Facture_Mensuelle]]</f>
        <v>0</v>
      </c>
    </row>
    <row r="285" spans="1:13" x14ac:dyDescent="0.25">
      <c r="A285" t="s">
        <v>1696</v>
      </c>
      <c r="B285" t="s">
        <v>842</v>
      </c>
      <c r="C285" s="7">
        <f>Clients_Churn_Master[[#This Row],[Anciennete_Mois]]/12</f>
        <v>8</v>
      </c>
      <c r="D285" t="s">
        <v>37</v>
      </c>
      <c r="E285">
        <v>96</v>
      </c>
      <c r="F285" t="str">
        <f>IF(Clients_Churn_Master[[#This Row],[Type_Forfait]]="Pro Monde","B2B","B2C")</f>
        <v>B2B</v>
      </c>
      <c r="G285" s="4">
        <f>Clients_Churn_Master[[#This Row],[Duree_Cumulee_Panne_Min]]/1440</f>
        <v>0.19444444444444445</v>
      </c>
      <c r="H285" t="s">
        <v>558</v>
      </c>
      <c r="I285">
        <v>280</v>
      </c>
      <c r="J285" s="10">
        <v>80.36</v>
      </c>
      <c r="K285">
        <v>5</v>
      </c>
      <c r="L2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5" s="9">
        <f>Clients_Churn_Master[[#This Row],[Remise]]*Clients_Churn_Master[[#This Row],[Facture_Mensuelle]]</f>
        <v>36.161999999999999</v>
      </c>
    </row>
    <row r="286" spans="1:13" x14ac:dyDescent="0.25">
      <c r="A286" t="s">
        <v>1688</v>
      </c>
      <c r="B286" t="s">
        <v>843</v>
      </c>
      <c r="C286" s="7">
        <f>Clients_Churn_Master[[#This Row],[Anciennete_Mois]]/12</f>
        <v>2.0833333333333335</v>
      </c>
      <c r="D286" t="s">
        <v>37</v>
      </c>
      <c r="E286">
        <v>25</v>
      </c>
      <c r="F286" t="str">
        <f>IF(Clients_Churn_Master[[#This Row],[Type_Forfait]]="Pro Monde","B2B","B2C")</f>
        <v>B2C</v>
      </c>
      <c r="G286" s="4">
        <f>Clients_Churn_Master[[#This Row],[Duree_Cumulee_Panne_Min]]/1440</f>
        <v>2.2916666666666665E-2</v>
      </c>
      <c r="H286" t="s">
        <v>556</v>
      </c>
      <c r="I286">
        <v>33</v>
      </c>
      <c r="J286" s="10">
        <v>30.93</v>
      </c>
      <c r="K286">
        <v>1</v>
      </c>
      <c r="L2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6" s="9">
        <f>Clients_Churn_Master[[#This Row],[Remise]]*Clients_Churn_Master[[#This Row],[Facture_Mensuelle]]</f>
        <v>0</v>
      </c>
    </row>
    <row r="287" spans="1:13" x14ac:dyDescent="0.25">
      <c r="A287" t="s">
        <v>1694</v>
      </c>
      <c r="B287" t="s">
        <v>844</v>
      </c>
      <c r="C287" s="7">
        <f>Clients_Churn_Master[[#This Row],[Anciennete_Mois]]/12</f>
        <v>3.75</v>
      </c>
      <c r="D287" t="s">
        <v>133</v>
      </c>
      <c r="E287">
        <v>45</v>
      </c>
      <c r="F287" t="str">
        <f>IF(Clients_Churn_Master[[#This Row],[Type_Forfait]]="Pro Monde","B2B","B2C")</f>
        <v>B2C</v>
      </c>
      <c r="G287" s="4">
        <f>Clients_Churn_Master[[#This Row],[Duree_Cumulee_Panne_Min]]/1440</f>
        <v>2.9861111111111113E-2</v>
      </c>
      <c r="H287" t="s">
        <v>560</v>
      </c>
      <c r="I287">
        <v>43</v>
      </c>
      <c r="J287" s="10">
        <v>12.31</v>
      </c>
      <c r="K287">
        <v>0</v>
      </c>
      <c r="L2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7" s="9">
        <f>Clients_Churn_Master[[#This Row],[Remise]]*Clients_Churn_Master[[#This Row],[Facture_Mensuelle]]</f>
        <v>0</v>
      </c>
    </row>
    <row r="288" spans="1:13" x14ac:dyDescent="0.25">
      <c r="A288" t="s">
        <v>1701</v>
      </c>
      <c r="B288" t="s">
        <v>845</v>
      </c>
      <c r="C288" s="7">
        <f>Clients_Churn_Master[[#This Row],[Anciennete_Mois]]/12</f>
        <v>5.25</v>
      </c>
      <c r="D288" t="s">
        <v>34</v>
      </c>
      <c r="E288">
        <v>63</v>
      </c>
      <c r="F288" t="str">
        <f>IF(Clients_Churn_Master[[#This Row],[Type_Forfait]]="Pro Monde","B2B","B2C")</f>
        <v>B2C</v>
      </c>
      <c r="G288" s="4">
        <f>Clients_Churn_Master[[#This Row],[Duree_Cumulee_Panne_Min]]/1440</f>
        <v>7.5694444444444439E-2</v>
      </c>
      <c r="H288" t="s">
        <v>560</v>
      </c>
      <c r="I288">
        <v>109</v>
      </c>
      <c r="J288" s="10">
        <v>10.33</v>
      </c>
      <c r="K288">
        <v>3</v>
      </c>
      <c r="L2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8" s="9">
        <f>Clients_Churn_Master[[#This Row],[Remise]]*Clients_Churn_Master[[#This Row],[Facture_Mensuelle]]</f>
        <v>0</v>
      </c>
    </row>
    <row r="289" spans="1:13" x14ac:dyDescent="0.25">
      <c r="A289" t="s">
        <v>1693</v>
      </c>
      <c r="B289" t="s">
        <v>846</v>
      </c>
      <c r="C289" s="7">
        <f>Clients_Churn_Master[[#This Row],[Anciennete_Mois]]/12</f>
        <v>3.4166666666666665</v>
      </c>
      <c r="D289" t="s">
        <v>52</v>
      </c>
      <c r="E289">
        <v>41</v>
      </c>
      <c r="F289" t="str">
        <f>IF(Clients_Churn_Master[[#This Row],[Type_Forfait]]="Pro Monde","B2B","B2C")</f>
        <v>B2C</v>
      </c>
      <c r="G289" s="4">
        <f>Clients_Churn_Master[[#This Row],[Duree_Cumulee_Panne_Min]]/1440</f>
        <v>6.25E-2</v>
      </c>
      <c r="H289" t="s">
        <v>560</v>
      </c>
      <c r="I289">
        <v>90</v>
      </c>
      <c r="J289" s="10">
        <v>97.26</v>
      </c>
      <c r="K289">
        <v>1</v>
      </c>
      <c r="L2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9" s="9">
        <f>Clients_Churn_Master[[#This Row],[Remise]]*Clients_Churn_Master[[#This Row],[Facture_Mensuelle]]</f>
        <v>0</v>
      </c>
    </row>
    <row r="290" spans="1:13" x14ac:dyDescent="0.25">
      <c r="A290" t="s">
        <v>1698</v>
      </c>
      <c r="B290" t="s">
        <v>847</v>
      </c>
      <c r="C290" s="7">
        <f>Clients_Churn_Master[[#This Row],[Anciennete_Mois]]/12</f>
        <v>2.9166666666666665</v>
      </c>
      <c r="D290" t="s">
        <v>93</v>
      </c>
      <c r="E290">
        <v>35</v>
      </c>
      <c r="F290" t="str">
        <f>IF(Clients_Churn_Master[[#This Row],[Type_Forfait]]="Pro Monde","B2B","B2C")</f>
        <v>B2C</v>
      </c>
      <c r="G290" s="4">
        <f>Clients_Churn_Master[[#This Row],[Duree_Cumulee_Panne_Min]]/1440</f>
        <v>7.4305555555555555E-2</v>
      </c>
      <c r="H290" t="s">
        <v>560</v>
      </c>
      <c r="I290">
        <v>107</v>
      </c>
      <c r="J290" s="10">
        <v>66.69</v>
      </c>
      <c r="K290">
        <v>4</v>
      </c>
      <c r="L2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90" s="9">
        <f>Clients_Churn_Master[[#This Row],[Remise]]*Clients_Churn_Master[[#This Row],[Facture_Mensuelle]]</f>
        <v>0</v>
      </c>
    </row>
    <row r="291" spans="1:13" x14ac:dyDescent="0.25">
      <c r="A291" t="s">
        <v>1697</v>
      </c>
      <c r="B291" t="s">
        <v>848</v>
      </c>
      <c r="C291" s="7">
        <f>Clients_Churn_Master[[#This Row],[Anciennete_Mois]]/12</f>
        <v>8.8333333333333339</v>
      </c>
      <c r="D291" t="s">
        <v>47</v>
      </c>
      <c r="E291">
        <v>106</v>
      </c>
      <c r="F291" t="str">
        <f>IF(Clients_Churn_Master[[#This Row],[Type_Forfait]]="Pro Monde","B2B","B2C")</f>
        <v>B2C</v>
      </c>
      <c r="G291" s="4">
        <f>Clients_Churn_Master[[#This Row],[Duree_Cumulee_Panne_Min]]/1440</f>
        <v>0.27777777777777779</v>
      </c>
      <c r="H291" t="s">
        <v>556</v>
      </c>
      <c r="I291">
        <v>400</v>
      </c>
      <c r="J291" s="10">
        <v>70.02</v>
      </c>
      <c r="K291">
        <v>4</v>
      </c>
      <c r="L2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1" s="9">
        <f>Clients_Churn_Master[[#This Row],[Remise]]*Clients_Churn_Master[[#This Row],[Facture_Mensuelle]]</f>
        <v>31.509</v>
      </c>
    </row>
    <row r="292" spans="1:13" x14ac:dyDescent="0.25">
      <c r="A292" t="s">
        <v>1702</v>
      </c>
      <c r="B292" t="s">
        <v>849</v>
      </c>
      <c r="C292" s="7">
        <f>Clients_Churn_Master[[#This Row],[Anciennete_Mois]]/12</f>
        <v>1.3333333333333333</v>
      </c>
      <c r="D292" t="s">
        <v>34</v>
      </c>
      <c r="E292">
        <v>16</v>
      </c>
      <c r="F292" t="str">
        <f>IF(Clients_Churn_Master[[#This Row],[Type_Forfait]]="Pro Monde","B2B","B2C")</f>
        <v>B2C</v>
      </c>
      <c r="G292" s="4">
        <f>Clients_Churn_Master[[#This Row],[Duree_Cumulee_Panne_Min]]/1440</f>
        <v>0.27083333333333331</v>
      </c>
      <c r="H292" t="s">
        <v>556</v>
      </c>
      <c r="I292">
        <v>390</v>
      </c>
      <c r="J292" s="10">
        <v>98.17</v>
      </c>
      <c r="K292">
        <v>5</v>
      </c>
      <c r="L2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2" s="9">
        <f>Clients_Churn_Master[[#This Row],[Remise]]*Clients_Churn_Master[[#This Row],[Facture_Mensuelle]]</f>
        <v>44.176500000000004</v>
      </c>
    </row>
    <row r="293" spans="1:13" x14ac:dyDescent="0.25">
      <c r="A293" t="s">
        <v>1688</v>
      </c>
      <c r="B293" t="s">
        <v>850</v>
      </c>
      <c r="C293" s="7">
        <f>Clients_Churn_Master[[#This Row],[Anciennete_Mois]]/12</f>
        <v>7.666666666666667</v>
      </c>
      <c r="D293" t="s">
        <v>49</v>
      </c>
      <c r="E293">
        <v>92</v>
      </c>
      <c r="F293" t="str">
        <f>IF(Clients_Churn_Master[[#This Row],[Type_Forfait]]="Pro Monde","B2B","B2C")</f>
        <v>B2C</v>
      </c>
      <c r="G293" s="4">
        <f>Clients_Churn_Master[[#This Row],[Duree_Cumulee_Panne_Min]]/1440</f>
        <v>0.32777777777777778</v>
      </c>
      <c r="H293" t="s">
        <v>556</v>
      </c>
      <c r="I293">
        <v>472</v>
      </c>
      <c r="J293" s="10">
        <v>78.44</v>
      </c>
      <c r="K293">
        <v>1</v>
      </c>
      <c r="L2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3" s="9">
        <f>Clients_Churn_Master[[#This Row],[Remise]]*Clients_Churn_Master[[#This Row],[Facture_Mensuelle]]</f>
        <v>35.298000000000002</v>
      </c>
    </row>
    <row r="294" spans="1:13" x14ac:dyDescent="0.25">
      <c r="A294" t="s">
        <v>1698</v>
      </c>
      <c r="B294" t="s">
        <v>851</v>
      </c>
      <c r="C294" s="7">
        <f>Clients_Churn_Master[[#This Row],[Anciennete_Mois]]/12</f>
        <v>9.5833333333333339</v>
      </c>
      <c r="D294" t="s">
        <v>93</v>
      </c>
      <c r="E294">
        <v>115</v>
      </c>
      <c r="F294" t="str">
        <f>IF(Clients_Churn_Master[[#This Row],[Type_Forfait]]="Pro Monde","B2B","B2C")</f>
        <v>B2C</v>
      </c>
      <c r="G294" s="4">
        <f>Clients_Churn_Master[[#This Row],[Duree_Cumulee_Panne_Min]]/1440</f>
        <v>0.16388888888888889</v>
      </c>
      <c r="H294" t="s">
        <v>556</v>
      </c>
      <c r="I294">
        <v>236</v>
      </c>
      <c r="J294" s="10">
        <v>50.64</v>
      </c>
      <c r="K294">
        <v>1</v>
      </c>
      <c r="L2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94" s="9">
        <f>Clients_Churn_Master[[#This Row],[Remise]]*Clients_Churn_Master[[#This Row],[Facture_Mensuelle]]</f>
        <v>0</v>
      </c>
    </row>
    <row r="295" spans="1:13" x14ac:dyDescent="0.25">
      <c r="A295" t="s">
        <v>1694</v>
      </c>
      <c r="B295" t="s">
        <v>852</v>
      </c>
      <c r="C295" s="7">
        <f>Clients_Churn_Master[[#This Row],[Anciennete_Mois]]/12</f>
        <v>5.25</v>
      </c>
      <c r="D295" t="s">
        <v>82</v>
      </c>
      <c r="E295">
        <v>63</v>
      </c>
      <c r="F295" t="str">
        <f>IF(Clients_Churn_Master[[#This Row],[Type_Forfait]]="Pro Monde","B2B","B2C")</f>
        <v>B2C</v>
      </c>
      <c r="G295" s="4">
        <f>Clients_Churn_Master[[#This Row],[Duree_Cumulee_Panne_Min]]/1440</f>
        <v>6.5972222222222224E-2</v>
      </c>
      <c r="H295" t="s">
        <v>560</v>
      </c>
      <c r="I295">
        <v>95</v>
      </c>
      <c r="J295" s="10">
        <v>56.81</v>
      </c>
      <c r="K295">
        <v>0</v>
      </c>
      <c r="L2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95" s="9">
        <f>Clients_Churn_Master[[#This Row],[Remise]]*Clients_Churn_Master[[#This Row],[Facture_Mensuelle]]</f>
        <v>0</v>
      </c>
    </row>
    <row r="296" spans="1:13" x14ac:dyDescent="0.25">
      <c r="A296" t="s">
        <v>1696</v>
      </c>
      <c r="B296" t="s">
        <v>853</v>
      </c>
      <c r="C296" s="7">
        <f>Clients_Churn_Master[[#This Row],[Anciennete_Mois]]/12</f>
        <v>9.9166666666666661</v>
      </c>
      <c r="D296" t="s">
        <v>96</v>
      </c>
      <c r="E296">
        <v>119</v>
      </c>
      <c r="F296" t="str">
        <f>IF(Clients_Churn_Master[[#This Row],[Type_Forfait]]="Pro Monde","B2B","B2C")</f>
        <v>B2C</v>
      </c>
      <c r="G296" s="4">
        <f>Clients_Churn_Master[[#This Row],[Duree_Cumulee_Panne_Min]]/1440</f>
        <v>9.2361111111111116E-2</v>
      </c>
      <c r="H296" t="s">
        <v>556</v>
      </c>
      <c r="I296">
        <v>133</v>
      </c>
      <c r="J296" s="10">
        <v>30.27</v>
      </c>
      <c r="K296">
        <v>5</v>
      </c>
      <c r="L2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96" s="9">
        <f>Clients_Churn_Master[[#This Row],[Remise]]*Clients_Churn_Master[[#This Row],[Facture_Mensuelle]]</f>
        <v>0</v>
      </c>
    </row>
    <row r="297" spans="1:13" x14ac:dyDescent="0.25">
      <c r="A297" t="s">
        <v>1689</v>
      </c>
      <c r="B297" t="s">
        <v>854</v>
      </c>
      <c r="C297" s="7">
        <f>Clients_Churn_Master[[#This Row],[Anciennete_Mois]]/12</f>
        <v>1.1666666666666667</v>
      </c>
      <c r="D297" t="s">
        <v>27</v>
      </c>
      <c r="E297">
        <v>14</v>
      </c>
      <c r="F297" t="str">
        <f>IF(Clients_Churn_Master[[#This Row],[Type_Forfait]]="Pro Monde","B2B","B2C")</f>
        <v>B2C</v>
      </c>
      <c r="G297" s="4">
        <f>Clients_Churn_Master[[#This Row],[Duree_Cumulee_Panne_Min]]/1440</f>
        <v>0.21111111111111111</v>
      </c>
      <c r="H297" t="s">
        <v>560</v>
      </c>
      <c r="I297">
        <v>304</v>
      </c>
      <c r="J297" s="10">
        <v>48.13</v>
      </c>
      <c r="K297">
        <v>2</v>
      </c>
      <c r="L2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7" s="9">
        <f>Clients_Churn_Master[[#This Row],[Remise]]*Clients_Churn_Master[[#This Row],[Facture_Mensuelle]]</f>
        <v>21.6585</v>
      </c>
    </row>
    <row r="298" spans="1:13" x14ac:dyDescent="0.25">
      <c r="A298" t="s">
        <v>1696</v>
      </c>
      <c r="B298" t="s">
        <v>855</v>
      </c>
      <c r="C298" s="7">
        <f>Clients_Churn_Master[[#This Row],[Anciennete_Mois]]/12</f>
        <v>1.5</v>
      </c>
      <c r="D298" t="s">
        <v>96</v>
      </c>
      <c r="E298">
        <v>18</v>
      </c>
      <c r="F298" t="str">
        <f>IF(Clients_Churn_Master[[#This Row],[Type_Forfait]]="Pro Monde","B2B","B2C")</f>
        <v>B2C</v>
      </c>
      <c r="G298" s="4">
        <f>Clients_Churn_Master[[#This Row],[Duree_Cumulee_Panne_Min]]/1440</f>
        <v>0.3215277777777778</v>
      </c>
      <c r="H298" t="s">
        <v>556</v>
      </c>
      <c r="I298">
        <v>463</v>
      </c>
      <c r="J298" s="10">
        <v>41.66</v>
      </c>
      <c r="K298">
        <v>4</v>
      </c>
      <c r="L2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8" s="9">
        <f>Clients_Churn_Master[[#This Row],[Remise]]*Clients_Churn_Master[[#This Row],[Facture_Mensuelle]]</f>
        <v>18.747</v>
      </c>
    </row>
    <row r="299" spans="1:13" x14ac:dyDescent="0.25">
      <c r="A299" t="s">
        <v>1692</v>
      </c>
      <c r="B299" t="s">
        <v>856</v>
      </c>
      <c r="C299" s="7">
        <f>Clients_Churn_Master[[#This Row],[Anciennete_Mois]]/12</f>
        <v>6.333333333333333</v>
      </c>
      <c r="D299" t="s">
        <v>82</v>
      </c>
      <c r="E299">
        <v>76</v>
      </c>
      <c r="F299" t="str">
        <f>IF(Clients_Churn_Master[[#This Row],[Type_Forfait]]="Pro Monde","B2B","B2C")</f>
        <v>B2C</v>
      </c>
      <c r="G299" s="4">
        <f>Clients_Churn_Master[[#This Row],[Duree_Cumulee_Panne_Min]]/1440</f>
        <v>0.23055555555555557</v>
      </c>
      <c r="H299" t="s">
        <v>560</v>
      </c>
      <c r="I299">
        <v>332</v>
      </c>
      <c r="J299" s="10">
        <v>68.010000000000005</v>
      </c>
      <c r="K299">
        <v>4</v>
      </c>
      <c r="L2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9" s="9">
        <f>Clients_Churn_Master[[#This Row],[Remise]]*Clients_Churn_Master[[#This Row],[Facture_Mensuelle]]</f>
        <v>30.604500000000002</v>
      </c>
    </row>
    <row r="300" spans="1:13" x14ac:dyDescent="0.25">
      <c r="A300" t="s">
        <v>1698</v>
      </c>
      <c r="B300" t="s">
        <v>857</v>
      </c>
      <c r="C300" s="7">
        <f>Clients_Churn_Master[[#This Row],[Anciennete_Mois]]/12</f>
        <v>4</v>
      </c>
      <c r="D300" t="s">
        <v>43</v>
      </c>
      <c r="E300">
        <v>48</v>
      </c>
      <c r="F300" t="str">
        <f>IF(Clients_Churn_Master[[#This Row],[Type_Forfait]]="Pro Monde","B2B","B2C")</f>
        <v>B2C</v>
      </c>
      <c r="G300" s="4">
        <f>Clients_Churn_Master[[#This Row],[Duree_Cumulee_Panne_Min]]/1440</f>
        <v>0.30277777777777776</v>
      </c>
      <c r="H300" t="s">
        <v>556</v>
      </c>
      <c r="I300">
        <v>436</v>
      </c>
      <c r="J300" s="10">
        <v>15.17</v>
      </c>
      <c r="K300">
        <v>0</v>
      </c>
      <c r="L3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0" s="9">
        <f>Clients_Churn_Master[[#This Row],[Remise]]*Clients_Churn_Master[[#This Row],[Facture_Mensuelle]]</f>
        <v>6.8265000000000002</v>
      </c>
    </row>
    <row r="301" spans="1:13" x14ac:dyDescent="0.25">
      <c r="A301" t="s">
        <v>1697</v>
      </c>
      <c r="B301" t="s">
        <v>858</v>
      </c>
      <c r="C301" s="7">
        <f>Clients_Churn_Master[[#This Row],[Anciennete_Mois]]/12</f>
        <v>2.8333333333333335</v>
      </c>
      <c r="D301" t="s">
        <v>137</v>
      </c>
      <c r="E301">
        <v>34</v>
      </c>
      <c r="F301" t="str">
        <f>IF(Clients_Churn_Master[[#This Row],[Type_Forfait]]="Pro Monde","B2B","B2C")</f>
        <v>B2B</v>
      </c>
      <c r="G301" s="4">
        <f>Clients_Churn_Master[[#This Row],[Duree_Cumulee_Panne_Min]]/1440</f>
        <v>0.31458333333333333</v>
      </c>
      <c r="H301" t="s">
        <v>558</v>
      </c>
      <c r="I301">
        <v>453</v>
      </c>
      <c r="J301" s="10">
        <v>56.84</v>
      </c>
      <c r="K301">
        <v>0</v>
      </c>
      <c r="L3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1" s="9">
        <f>Clients_Churn_Master[[#This Row],[Remise]]*Clients_Churn_Master[[#This Row],[Facture_Mensuelle]]</f>
        <v>25.578000000000003</v>
      </c>
    </row>
    <row r="302" spans="1:13" x14ac:dyDescent="0.25">
      <c r="A302" t="s">
        <v>1698</v>
      </c>
      <c r="B302" t="s">
        <v>859</v>
      </c>
      <c r="C302" s="7">
        <f>Clients_Churn_Master[[#This Row],[Anciennete_Mois]]/12</f>
        <v>2.5833333333333335</v>
      </c>
      <c r="D302" t="s">
        <v>76</v>
      </c>
      <c r="E302">
        <v>31</v>
      </c>
      <c r="F302" t="str">
        <f>IF(Clients_Churn_Master[[#This Row],[Type_Forfait]]="Pro Monde","B2B","B2C")</f>
        <v>B2C</v>
      </c>
      <c r="G302" s="4">
        <f>Clients_Churn_Master[[#This Row],[Duree_Cumulee_Panne_Min]]/1440</f>
        <v>0.1111111111111111</v>
      </c>
      <c r="H302" t="s">
        <v>556</v>
      </c>
      <c r="I302">
        <v>160</v>
      </c>
      <c r="J302" s="10">
        <v>59.76</v>
      </c>
      <c r="K302">
        <v>4</v>
      </c>
      <c r="L3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2" s="9">
        <f>Clients_Churn_Master[[#This Row],[Remise]]*Clients_Churn_Master[[#This Row],[Facture_Mensuelle]]</f>
        <v>0</v>
      </c>
    </row>
    <row r="303" spans="1:13" x14ac:dyDescent="0.25">
      <c r="A303" t="s">
        <v>1702</v>
      </c>
      <c r="B303" t="s">
        <v>860</v>
      </c>
      <c r="C303" s="7">
        <f>Clients_Churn_Master[[#This Row],[Anciennete_Mois]]/12</f>
        <v>6.166666666666667</v>
      </c>
      <c r="D303" t="s">
        <v>62</v>
      </c>
      <c r="E303">
        <v>74</v>
      </c>
      <c r="F303" t="str">
        <f>IF(Clients_Churn_Master[[#This Row],[Type_Forfait]]="Pro Monde","B2B","B2C")</f>
        <v>B2C</v>
      </c>
      <c r="G303" s="4">
        <f>Clients_Churn_Master[[#This Row],[Duree_Cumulee_Panne_Min]]/1440</f>
        <v>6.2500000000000003E-3</v>
      </c>
      <c r="H303" t="s">
        <v>560</v>
      </c>
      <c r="I303">
        <v>9</v>
      </c>
      <c r="J303" s="10">
        <v>99.89</v>
      </c>
      <c r="K303">
        <v>0</v>
      </c>
      <c r="L3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3" s="9">
        <f>Clients_Churn_Master[[#This Row],[Remise]]*Clients_Churn_Master[[#This Row],[Facture_Mensuelle]]</f>
        <v>0</v>
      </c>
    </row>
    <row r="304" spans="1:13" x14ac:dyDescent="0.25">
      <c r="A304" t="s">
        <v>1691</v>
      </c>
      <c r="B304" t="s">
        <v>861</v>
      </c>
      <c r="C304" s="7">
        <f>Clients_Churn_Master[[#This Row],[Anciennete_Mois]]/12</f>
        <v>7.333333333333333</v>
      </c>
      <c r="D304" t="s">
        <v>55</v>
      </c>
      <c r="E304">
        <v>88</v>
      </c>
      <c r="F304" t="str">
        <f>IF(Clients_Churn_Master[[#This Row],[Type_Forfait]]="Pro Monde","B2B","B2C")</f>
        <v>B2C</v>
      </c>
      <c r="G304" s="4">
        <f>Clients_Churn_Master[[#This Row],[Duree_Cumulee_Panne_Min]]/1440</f>
        <v>0.22152777777777777</v>
      </c>
      <c r="H304" t="s">
        <v>560</v>
      </c>
      <c r="I304">
        <v>319</v>
      </c>
      <c r="J304" s="10">
        <v>56.18</v>
      </c>
      <c r="K304">
        <v>0</v>
      </c>
      <c r="L3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4" s="9">
        <f>Clients_Churn_Master[[#This Row],[Remise]]*Clients_Churn_Master[[#This Row],[Facture_Mensuelle]]</f>
        <v>25.280999999999999</v>
      </c>
    </row>
    <row r="305" spans="1:13" x14ac:dyDescent="0.25">
      <c r="A305" t="s">
        <v>1700</v>
      </c>
      <c r="B305" t="s">
        <v>862</v>
      </c>
      <c r="C305" s="7">
        <f>Clients_Churn_Master[[#This Row],[Anciennete_Mois]]/12</f>
        <v>6.75</v>
      </c>
      <c r="D305" t="s">
        <v>52</v>
      </c>
      <c r="E305">
        <v>81</v>
      </c>
      <c r="F305" t="str">
        <f>IF(Clients_Churn_Master[[#This Row],[Type_Forfait]]="Pro Monde","B2B","B2C")</f>
        <v>B2C</v>
      </c>
      <c r="G305" s="4">
        <f>Clients_Churn_Master[[#This Row],[Duree_Cumulee_Panne_Min]]/1440</f>
        <v>4.4444444444444446E-2</v>
      </c>
      <c r="H305" t="s">
        <v>560</v>
      </c>
      <c r="I305">
        <v>64</v>
      </c>
      <c r="J305" s="10">
        <v>43.45</v>
      </c>
      <c r="K305">
        <v>2</v>
      </c>
      <c r="L3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5" s="9">
        <f>Clients_Churn_Master[[#This Row],[Remise]]*Clients_Churn_Master[[#This Row],[Facture_Mensuelle]]</f>
        <v>0</v>
      </c>
    </row>
    <row r="306" spans="1:13" x14ac:dyDescent="0.25">
      <c r="A306" t="s">
        <v>1700</v>
      </c>
      <c r="B306" t="s">
        <v>863</v>
      </c>
      <c r="C306" s="7">
        <f>Clients_Churn_Master[[#This Row],[Anciennete_Mois]]/12</f>
        <v>6.166666666666667</v>
      </c>
      <c r="D306" t="s">
        <v>41</v>
      </c>
      <c r="E306">
        <v>74</v>
      </c>
      <c r="F306" t="str">
        <f>IF(Clients_Churn_Master[[#This Row],[Type_Forfait]]="Pro Monde","B2B","B2C")</f>
        <v>B2C</v>
      </c>
      <c r="G306" s="4">
        <f>Clients_Churn_Master[[#This Row],[Duree_Cumulee_Panne_Min]]/1440</f>
        <v>1.1111111111111112E-2</v>
      </c>
      <c r="H306" t="s">
        <v>560</v>
      </c>
      <c r="I306">
        <v>16</v>
      </c>
      <c r="J306" s="10">
        <v>93.01</v>
      </c>
      <c r="K306">
        <v>3</v>
      </c>
      <c r="L3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6" s="9">
        <f>Clients_Churn_Master[[#This Row],[Remise]]*Clients_Churn_Master[[#This Row],[Facture_Mensuelle]]</f>
        <v>0</v>
      </c>
    </row>
    <row r="307" spans="1:13" x14ac:dyDescent="0.25">
      <c r="A307" t="s">
        <v>1700</v>
      </c>
      <c r="B307" t="s">
        <v>864</v>
      </c>
      <c r="C307" s="7">
        <f>Clients_Churn_Master[[#This Row],[Anciennete_Mois]]/12</f>
        <v>9</v>
      </c>
      <c r="D307" t="s">
        <v>85</v>
      </c>
      <c r="E307">
        <v>108</v>
      </c>
      <c r="F307" t="str">
        <f>IF(Clients_Churn_Master[[#This Row],[Type_Forfait]]="Pro Monde","B2B","B2C")</f>
        <v>B2C</v>
      </c>
      <c r="G307" s="4">
        <f>Clients_Churn_Master[[#This Row],[Duree_Cumulee_Panne_Min]]/1440</f>
        <v>0.31944444444444442</v>
      </c>
      <c r="H307" t="s">
        <v>556</v>
      </c>
      <c r="I307">
        <v>460</v>
      </c>
      <c r="J307" s="10">
        <v>88.95</v>
      </c>
      <c r="K307">
        <v>3</v>
      </c>
      <c r="L3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7" s="9">
        <f>Clients_Churn_Master[[#This Row],[Remise]]*Clients_Churn_Master[[#This Row],[Facture_Mensuelle]]</f>
        <v>40.027500000000003</v>
      </c>
    </row>
    <row r="308" spans="1:13" x14ac:dyDescent="0.25">
      <c r="A308" t="s">
        <v>1694</v>
      </c>
      <c r="B308" t="s">
        <v>865</v>
      </c>
      <c r="C308" s="7">
        <f>Clients_Churn_Master[[#This Row],[Anciennete_Mois]]/12</f>
        <v>7.583333333333333</v>
      </c>
      <c r="D308" t="s">
        <v>133</v>
      </c>
      <c r="E308">
        <v>91</v>
      </c>
      <c r="F308" t="str">
        <f>IF(Clients_Churn_Master[[#This Row],[Type_Forfait]]="Pro Monde","B2B","B2C")</f>
        <v>B2C</v>
      </c>
      <c r="G308" s="4">
        <f>Clients_Churn_Master[[#This Row],[Duree_Cumulee_Panne_Min]]/1440</f>
        <v>4.3749999999999997E-2</v>
      </c>
      <c r="H308" t="s">
        <v>560</v>
      </c>
      <c r="I308">
        <v>63</v>
      </c>
      <c r="J308" s="10">
        <v>57.76</v>
      </c>
      <c r="K308">
        <v>5</v>
      </c>
      <c r="L3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8" s="9">
        <f>Clients_Churn_Master[[#This Row],[Remise]]*Clients_Churn_Master[[#This Row],[Facture_Mensuelle]]</f>
        <v>0</v>
      </c>
    </row>
    <row r="309" spans="1:13" x14ac:dyDescent="0.25">
      <c r="A309" t="s">
        <v>1699</v>
      </c>
      <c r="B309" t="s">
        <v>866</v>
      </c>
      <c r="C309" s="7">
        <f>Clients_Churn_Master[[#This Row],[Anciennete_Mois]]/12</f>
        <v>0.58333333333333337</v>
      </c>
      <c r="D309" t="s">
        <v>45</v>
      </c>
      <c r="E309">
        <v>7</v>
      </c>
      <c r="F309" t="str">
        <f>IF(Clients_Churn_Master[[#This Row],[Type_Forfait]]="Pro Monde","B2B","B2C")</f>
        <v>B2C</v>
      </c>
      <c r="G309" s="4">
        <f>Clients_Churn_Master[[#This Row],[Duree_Cumulee_Panne_Min]]/1440</f>
        <v>6.5277777777777782E-2</v>
      </c>
      <c r="H309" t="s">
        <v>560</v>
      </c>
      <c r="I309">
        <v>94</v>
      </c>
      <c r="J309" s="10">
        <v>68.38</v>
      </c>
      <c r="K309">
        <v>3</v>
      </c>
      <c r="L3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9" s="9">
        <f>Clients_Churn_Master[[#This Row],[Remise]]*Clients_Churn_Master[[#This Row],[Facture_Mensuelle]]</f>
        <v>0</v>
      </c>
    </row>
    <row r="310" spans="1:13" x14ac:dyDescent="0.25">
      <c r="A310" t="s">
        <v>1692</v>
      </c>
      <c r="B310" t="s">
        <v>867</v>
      </c>
      <c r="C310" s="7">
        <f>Clients_Churn_Master[[#This Row],[Anciennete_Mois]]/12</f>
        <v>3.9166666666666665</v>
      </c>
      <c r="D310" t="s">
        <v>37</v>
      </c>
      <c r="E310">
        <v>47</v>
      </c>
      <c r="F310" t="str">
        <f>IF(Clients_Churn_Master[[#This Row],[Type_Forfait]]="Pro Monde","B2B","B2C")</f>
        <v>B2C</v>
      </c>
      <c r="G310" s="4">
        <f>Clients_Churn_Master[[#This Row],[Duree_Cumulee_Panne_Min]]/1440</f>
        <v>3.4027777777777775E-2</v>
      </c>
      <c r="H310" t="s">
        <v>564</v>
      </c>
      <c r="I310">
        <v>49</v>
      </c>
      <c r="J310" s="10">
        <v>55.88</v>
      </c>
      <c r="K310">
        <v>3</v>
      </c>
      <c r="L3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0" s="9">
        <f>Clients_Churn_Master[[#This Row],[Remise]]*Clients_Churn_Master[[#This Row],[Facture_Mensuelle]]</f>
        <v>25.146000000000001</v>
      </c>
    </row>
    <row r="311" spans="1:13" x14ac:dyDescent="0.25">
      <c r="A311" t="s">
        <v>1696</v>
      </c>
      <c r="B311" t="s">
        <v>868</v>
      </c>
      <c r="C311" s="7">
        <f>Clients_Churn_Master[[#This Row],[Anciennete_Mois]]/12</f>
        <v>4.5</v>
      </c>
      <c r="D311" t="s">
        <v>34</v>
      </c>
      <c r="E311">
        <v>54</v>
      </c>
      <c r="F311" t="str">
        <f>IF(Clients_Churn_Master[[#This Row],[Type_Forfait]]="Pro Monde","B2B","B2C")</f>
        <v>B2C</v>
      </c>
      <c r="G311" s="4">
        <f>Clients_Churn_Master[[#This Row],[Duree_Cumulee_Panne_Min]]/1440</f>
        <v>0.14930555555555555</v>
      </c>
      <c r="H311" t="s">
        <v>560</v>
      </c>
      <c r="I311">
        <v>215</v>
      </c>
      <c r="J311" s="10">
        <v>54.69</v>
      </c>
      <c r="K311">
        <v>0</v>
      </c>
      <c r="L3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11" s="9">
        <f>Clients_Churn_Master[[#This Row],[Remise]]*Clients_Churn_Master[[#This Row],[Facture_Mensuelle]]</f>
        <v>0</v>
      </c>
    </row>
    <row r="312" spans="1:13" x14ac:dyDescent="0.25">
      <c r="A312" t="s">
        <v>1701</v>
      </c>
      <c r="B312" t="s">
        <v>869</v>
      </c>
      <c r="C312" s="7">
        <f>Clients_Churn_Master[[#This Row],[Anciennete_Mois]]/12</f>
        <v>6.666666666666667</v>
      </c>
      <c r="D312" t="s">
        <v>137</v>
      </c>
      <c r="E312">
        <v>80</v>
      </c>
      <c r="F312" t="str">
        <f>IF(Clients_Churn_Master[[#This Row],[Type_Forfait]]="Pro Monde","B2B","B2C")</f>
        <v>B2B</v>
      </c>
      <c r="G312" s="4">
        <f>Clients_Churn_Master[[#This Row],[Duree_Cumulee_Panne_Min]]/1440</f>
        <v>0.31805555555555554</v>
      </c>
      <c r="H312" t="s">
        <v>558</v>
      </c>
      <c r="I312">
        <v>458</v>
      </c>
      <c r="J312" s="10">
        <v>98.11</v>
      </c>
      <c r="K312">
        <v>0</v>
      </c>
      <c r="L3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2" s="9">
        <f>Clients_Churn_Master[[#This Row],[Remise]]*Clients_Churn_Master[[#This Row],[Facture_Mensuelle]]</f>
        <v>44.149500000000003</v>
      </c>
    </row>
    <row r="313" spans="1:13" x14ac:dyDescent="0.25">
      <c r="A313" t="s">
        <v>1690</v>
      </c>
      <c r="B313" t="s">
        <v>870</v>
      </c>
      <c r="C313" s="7">
        <f>Clients_Churn_Master[[#This Row],[Anciennete_Mois]]/12</f>
        <v>9.5833333333333339</v>
      </c>
      <c r="D313" t="s">
        <v>45</v>
      </c>
      <c r="E313">
        <v>115</v>
      </c>
      <c r="F313" t="str">
        <f>IF(Clients_Churn_Master[[#This Row],[Type_Forfait]]="Pro Monde","B2B","B2C")</f>
        <v>B2C</v>
      </c>
      <c r="G313" s="4">
        <f>Clients_Churn_Master[[#This Row],[Duree_Cumulee_Panne_Min]]/1440</f>
        <v>0.32430555555555557</v>
      </c>
      <c r="H313" t="s">
        <v>560</v>
      </c>
      <c r="I313">
        <v>467</v>
      </c>
      <c r="J313" s="10">
        <v>24.57</v>
      </c>
      <c r="K313">
        <v>3</v>
      </c>
      <c r="L3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3" s="9">
        <f>Clients_Churn_Master[[#This Row],[Remise]]*Clients_Churn_Master[[#This Row],[Facture_Mensuelle]]</f>
        <v>11.0565</v>
      </c>
    </row>
    <row r="314" spans="1:13" x14ac:dyDescent="0.25">
      <c r="A314" t="s">
        <v>1693</v>
      </c>
      <c r="B314" t="s">
        <v>871</v>
      </c>
      <c r="C314" s="7">
        <f>Clients_Churn_Master[[#This Row],[Anciennete_Mois]]/12</f>
        <v>8.6666666666666661</v>
      </c>
      <c r="D314" t="s">
        <v>34</v>
      </c>
      <c r="E314">
        <v>104</v>
      </c>
      <c r="F314" t="str">
        <f>IF(Clients_Churn_Master[[#This Row],[Type_Forfait]]="Pro Monde","B2B","B2C")</f>
        <v>B2C</v>
      </c>
      <c r="G314" s="4">
        <f>Clients_Churn_Master[[#This Row],[Duree_Cumulee_Panne_Min]]/1440</f>
        <v>3.4722222222222224E-2</v>
      </c>
      <c r="H314" t="s">
        <v>560</v>
      </c>
      <c r="I314">
        <v>50</v>
      </c>
      <c r="J314" s="10">
        <v>90.99</v>
      </c>
      <c r="K314">
        <v>4</v>
      </c>
      <c r="L3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14" s="9">
        <f>Clients_Churn_Master[[#This Row],[Remise]]*Clients_Churn_Master[[#This Row],[Facture_Mensuelle]]</f>
        <v>0</v>
      </c>
    </row>
    <row r="315" spans="1:13" x14ac:dyDescent="0.25">
      <c r="A315" t="s">
        <v>1700</v>
      </c>
      <c r="B315" t="s">
        <v>872</v>
      </c>
      <c r="C315" s="7">
        <f>Clients_Churn_Master[[#This Row],[Anciennete_Mois]]/12</f>
        <v>8.5833333333333339</v>
      </c>
      <c r="D315" t="s">
        <v>55</v>
      </c>
      <c r="E315">
        <v>103</v>
      </c>
      <c r="F315" t="str">
        <f>IF(Clients_Churn_Master[[#This Row],[Type_Forfait]]="Pro Monde","B2B","B2C")</f>
        <v>B2C</v>
      </c>
      <c r="G315" s="4">
        <f>Clients_Churn_Master[[#This Row],[Duree_Cumulee_Panne_Min]]/1440</f>
        <v>0.21527777777777779</v>
      </c>
      <c r="H315" t="s">
        <v>564</v>
      </c>
      <c r="I315">
        <v>310</v>
      </c>
      <c r="J315" s="10">
        <v>49.25</v>
      </c>
      <c r="K315">
        <v>2</v>
      </c>
      <c r="L3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5" s="9">
        <f>Clients_Churn_Master[[#This Row],[Remise]]*Clients_Churn_Master[[#This Row],[Facture_Mensuelle]]</f>
        <v>22.162500000000001</v>
      </c>
    </row>
    <row r="316" spans="1:13" x14ac:dyDescent="0.25">
      <c r="A316" t="s">
        <v>1694</v>
      </c>
      <c r="B316" t="s">
        <v>873</v>
      </c>
      <c r="C316" s="7">
        <f>Clients_Churn_Master[[#This Row],[Anciennete_Mois]]/12</f>
        <v>2.6666666666666665</v>
      </c>
      <c r="D316" t="s">
        <v>32</v>
      </c>
      <c r="E316">
        <v>32</v>
      </c>
      <c r="F316" t="str">
        <f>IF(Clients_Churn_Master[[#This Row],[Type_Forfait]]="Pro Monde","B2B","B2C")</f>
        <v>B2B</v>
      </c>
      <c r="G316" s="4">
        <f>Clients_Churn_Master[[#This Row],[Duree_Cumulee_Panne_Min]]/1440</f>
        <v>2.7777777777777779E-3</v>
      </c>
      <c r="H316" t="s">
        <v>558</v>
      </c>
      <c r="I316">
        <v>4</v>
      </c>
      <c r="J316" s="10">
        <v>39</v>
      </c>
      <c r="K316">
        <v>0</v>
      </c>
      <c r="L3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16" s="9">
        <f>Clients_Churn_Master[[#This Row],[Remise]]*Clients_Churn_Master[[#This Row],[Facture_Mensuelle]]</f>
        <v>3.9000000000000004</v>
      </c>
    </row>
    <row r="317" spans="1:13" x14ac:dyDescent="0.25">
      <c r="A317" t="s">
        <v>1699</v>
      </c>
      <c r="B317" t="s">
        <v>874</v>
      </c>
      <c r="C317" s="7">
        <f>Clients_Churn_Master[[#This Row],[Anciennete_Mois]]/12</f>
        <v>4.5</v>
      </c>
      <c r="D317" t="s">
        <v>85</v>
      </c>
      <c r="E317">
        <v>54</v>
      </c>
      <c r="F317" t="str">
        <f>IF(Clients_Churn_Master[[#This Row],[Type_Forfait]]="Pro Monde","B2B","B2C")</f>
        <v>B2C</v>
      </c>
      <c r="G317" s="4">
        <f>Clients_Churn_Master[[#This Row],[Duree_Cumulee_Panne_Min]]/1440</f>
        <v>0.3125</v>
      </c>
      <c r="H317" t="s">
        <v>556</v>
      </c>
      <c r="I317">
        <v>450</v>
      </c>
      <c r="J317" s="10">
        <v>90.85</v>
      </c>
      <c r="K317">
        <v>1</v>
      </c>
      <c r="L3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7" s="9">
        <f>Clients_Churn_Master[[#This Row],[Remise]]*Clients_Churn_Master[[#This Row],[Facture_Mensuelle]]</f>
        <v>40.8825</v>
      </c>
    </row>
    <row r="318" spans="1:13" x14ac:dyDescent="0.25">
      <c r="A318" t="s">
        <v>1697</v>
      </c>
      <c r="B318" t="s">
        <v>875</v>
      </c>
      <c r="C318" s="7">
        <f>Clients_Churn_Master[[#This Row],[Anciennete_Mois]]/12</f>
        <v>5.25</v>
      </c>
      <c r="D318" t="s">
        <v>30</v>
      </c>
      <c r="E318">
        <v>63</v>
      </c>
      <c r="F318" t="str">
        <f>IF(Clients_Churn_Master[[#This Row],[Type_Forfait]]="Pro Monde","B2B","B2C")</f>
        <v>B2B</v>
      </c>
      <c r="G318" s="4">
        <f>Clients_Churn_Master[[#This Row],[Duree_Cumulee_Panne_Min]]/1440</f>
        <v>0.1423611111111111</v>
      </c>
      <c r="H318" t="s">
        <v>558</v>
      </c>
      <c r="I318">
        <v>205</v>
      </c>
      <c r="J318" s="10">
        <v>89.19</v>
      </c>
      <c r="K318">
        <v>0</v>
      </c>
      <c r="L3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18" s="9">
        <f>Clients_Churn_Master[[#This Row],[Remise]]*Clients_Churn_Master[[#This Row],[Facture_Mensuelle]]</f>
        <v>8.9190000000000005</v>
      </c>
    </row>
    <row r="319" spans="1:13" x14ac:dyDescent="0.25">
      <c r="A319" t="s">
        <v>1700</v>
      </c>
      <c r="B319" t="s">
        <v>876</v>
      </c>
      <c r="C319" s="7">
        <f>Clients_Churn_Master[[#This Row],[Anciennete_Mois]]/12</f>
        <v>1.3333333333333333</v>
      </c>
      <c r="D319" t="s">
        <v>85</v>
      </c>
      <c r="E319">
        <v>16</v>
      </c>
      <c r="F319" t="str">
        <f>IF(Clients_Churn_Master[[#This Row],[Type_Forfait]]="Pro Monde","B2B","B2C")</f>
        <v>B2C</v>
      </c>
      <c r="G319" s="4">
        <f>Clients_Churn_Master[[#This Row],[Duree_Cumulee_Panne_Min]]/1440</f>
        <v>0.19027777777777777</v>
      </c>
      <c r="H319" t="s">
        <v>564</v>
      </c>
      <c r="I319">
        <v>274</v>
      </c>
      <c r="J319" s="10">
        <v>27.97</v>
      </c>
      <c r="K319">
        <v>4</v>
      </c>
      <c r="L3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9" s="9">
        <f>Clients_Churn_Master[[#This Row],[Remise]]*Clients_Churn_Master[[#This Row],[Facture_Mensuelle]]</f>
        <v>12.586499999999999</v>
      </c>
    </row>
    <row r="320" spans="1:13" x14ac:dyDescent="0.25">
      <c r="A320" t="s">
        <v>1696</v>
      </c>
      <c r="B320" t="s">
        <v>877</v>
      </c>
      <c r="C320" s="7">
        <f>Clients_Churn_Master[[#This Row],[Anciennete_Mois]]/12</f>
        <v>7.916666666666667</v>
      </c>
      <c r="D320" t="s">
        <v>67</v>
      </c>
      <c r="E320">
        <v>95</v>
      </c>
      <c r="F320" t="str">
        <f>IF(Clients_Churn_Master[[#This Row],[Type_Forfait]]="Pro Monde","B2B","B2C")</f>
        <v>B2C</v>
      </c>
      <c r="G320" s="4">
        <f>Clients_Churn_Master[[#This Row],[Duree_Cumulee_Panne_Min]]/1440</f>
        <v>0.21736111111111112</v>
      </c>
      <c r="H320" t="s">
        <v>564</v>
      </c>
      <c r="I320">
        <v>313</v>
      </c>
      <c r="J320" s="10">
        <v>32.49</v>
      </c>
      <c r="K320">
        <v>1</v>
      </c>
      <c r="L3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0" s="9">
        <f>Clients_Churn_Master[[#This Row],[Remise]]*Clients_Churn_Master[[#This Row],[Facture_Mensuelle]]</f>
        <v>14.620500000000002</v>
      </c>
    </row>
    <row r="321" spans="1:13" x14ac:dyDescent="0.25">
      <c r="A321" t="s">
        <v>1698</v>
      </c>
      <c r="B321" t="s">
        <v>878</v>
      </c>
      <c r="C321" s="7">
        <f>Clients_Churn_Master[[#This Row],[Anciennete_Mois]]/12</f>
        <v>4</v>
      </c>
      <c r="D321" t="s">
        <v>17</v>
      </c>
      <c r="E321">
        <v>48</v>
      </c>
      <c r="F321" t="str">
        <f>IF(Clients_Churn_Master[[#This Row],[Type_Forfait]]="Pro Monde","B2B","B2C")</f>
        <v>B2B</v>
      </c>
      <c r="G321" s="4">
        <f>Clients_Churn_Master[[#This Row],[Duree_Cumulee_Panne_Min]]/1440</f>
        <v>5.2777777777777778E-2</v>
      </c>
      <c r="H321" t="s">
        <v>558</v>
      </c>
      <c r="I321">
        <v>76</v>
      </c>
      <c r="J321" s="10">
        <v>39.35</v>
      </c>
      <c r="K321">
        <v>2</v>
      </c>
      <c r="L3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21" s="9">
        <f>Clients_Churn_Master[[#This Row],[Remise]]*Clients_Churn_Master[[#This Row],[Facture_Mensuelle]]</f>
        <v>3.9350000000000005</v>
      </c>
    </row>
    <row r="322" spans="1:13" x14ac:dyDescent="0.25">
      <c r="A322" t="s">
        <v>1702</v>
      </c>
      <c r="B322" t="s">
        <v>879</v>
      </c>
      <c r="C322" s="7">
        <f>Clients_Churn_Master[[#This Row],[Anciennete_Mois]]/12</f>
        <v>6.916666666666667</v>
      </c>
      <c r="D322" t="s">
        <v>85</v>
      </c>
      <c r="E322">
        <v>83</v>
      </c>
      <c r="F322" t="str">
        <f>IF(Clients_Churn_Master[[#This Row],[Type_Forfait]]="Pro Monde","B2B","B2C")</f>
        <v>B2C</v>
      </c>
      <c r="G322" s="4">
        <f>Clients_Churn_Master[[#This Row],[Duree_Cumulee_Panne_Min]]/1440</f>
        <v>8.7499999999999994E-2</v>
      </c>
      <c r="H322" t="s">
        <v>556</v>
      </c>
      <c r="I322">
        <v>126</v>
      </c>
      <c r="J322" s="10">
        <v>67.17</v>
      </c>
      <c r="K322">
        <v>1</v>
      </c>
      <c r="L3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22" s="9">
        <f>Clients_Churn_Master[[#This Row],[Remise]]*Clients_Churn_Master[[#This Row],[Facture_Mensuelle]]</f>
        <v>0</v>
      </c>
    </row>
    <row r="323" spans="1:13" x14ac:dyDescent="0.25">
      <c r="A323" t="s">
        <v>1699</v>
      </c>
      <c r="B323" t="s">
        <v>880</v>
      </c>
      <c r="C323" s="7">
        <f>Clients_Churn_Master[[#This Row],[Anciennete_Mois]]/12</f>
        <v>8</v>
      </c>
      <c r="D323" t="s">
        <v>137</v>
      </c>
      <c r="E323">
        <v>96</v>
      </c>
      <c r="F323" t="str">
        <f>IF(Clients_Churn_Master[[#This Row],[Type_Forfait]]="Pro Monde","B2B","B2C")</f>
        <v>B2C</v>
      </c>
      <c r="G323" s="4">
        <f>Clients_Churn_Master[[#This Row],[Duree_Cumulee_Panne_Min]]/1440</f>
        <v>0.1076388888888889</v>
      </c>
      <c r="H323" t="s">
        <v>560</v>
      </c>
      <c r="I323">
        <v>155</v>
      </c>
      <c r="J323" s="10">
        <v>69.16</v>
      </c>
      <c r="K323">
        <v>4</v>
      </c>
      <c r="L3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23" s="9">
        <f>Clients_Churn_Master[[#This Row],[Remise]]*Clients_Churn_Master[[#This Row],[Facture_Mensuelle]]</f>
        <v>0</v>
      </c>
    </row>
    <row r="324" spans="1:13" x14ac:dyDescent="0.25">
      <c r="A324" t="s">
        <v>1699</v>
      </c>
      <c r="B324" t="s">
        <v>881</v>
      </c>
      <c r="C324" s="7">
        <f>Clients_Churn_Master[[#This Row],[Anciennete_Mois]]/12</f>
        <v>1.0833333333333333</v>
      </c>
      <c r="D324" t="s">
        <v>34</v>
      </c>
      <c r="E324">
        <v>13</v>
      </c>
      <c r="F324" t="str">
        <f>IF(Clients_Churn_Master[[#This Row],[Type_Forfait]]="Pro Monde","B2B","B2C")</f>
        <v>B2C</v>
      </c>
      <c r="G324" s="4">
        <f>Clients_Churn_Master[[#This Row],[Duree_Cumulee_Panne_Min]]/1440</f>
        <v>0.3347222222222222</v>
      </c>
      <c r="H324" t="s">
        <v>560</v>
      </c>
      <c r="I324">
        <v>482</v>
      </c>
      <c r="J324" s="10">
        <v>50.15</v>
      </c>
      <c r="K324">
        <v>0</v>
      </c>
      <c r="L3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4" s="9">
        <f>Clients_Churn_Master[[#This Row],[Remise]]*Clients_Churn_Master[[#This Row],[Facture_Mensuelle]]</f>
        <v>22.567499999999999</v>
      </c>
    </row>
    <row r="325" spans="1:13" x14ac:dyDescent="0.25">
      <c r="A325" t="s">
        <v>1691</v>
      </c>
      <c r="B325" t="s">
        <v>882</v>
      </c>
      <c r="C325" s="7">
        <f>Clients_Churn_Master[[#This Row],[Anciennete_Mois]]/12</f>
        <v>0.33333333333333331</v>
      </c>
      <c r="D325" t="s">
        <v>30</v>
      </c>
      <c r="E325">
        <v>4</v>
      </c>
      <c r="F325" t="str">
        <f>IF(Clients_Churn_Master[[#This Row],[Type_Forfait]]="Pro Monde","B2B","B2C")</f>
        <v>B2C</v>
      </c>
      <c r="G325" s="4">
        <f>Clients_Churn_Master[[#This Row],[Duree_Cumulee_Panne_Min]]/1440</f>
        <v>0.15763888888888888</v>
      </c>
      <c r="H325" t="s">
        <v>556</v>
      </c>
      <c r="I325">
        <v>227</v>
      </c>
      <c r="J325" s="10">
        <v>83.32</v>
      </c>
      <c r="K325">
        <v>2</v>
      </c>
      <c r="L3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25" s="9">
        <f>Clients_Churn_Master[[#This Row],[Remise]]*Clients_Churn_Master[[#This Row],[Facture_Mensuelle]]</f>
        <v>0</v>
      </c>
    </row>
    <row r="326" spans="1:13" x14ac:dyDescent="0.25">
      <c r="A326" t="s">
        <v>1688</v>
      </c>
      <c r="B326" t="s">
        <v>883</v>
      </c>
      <c r="C326" s="7">
        <f>Clients_Churn_Master[[#This Row],[Anciennete_Mois]]/12</f>
        <v>4.083333333333333</v>
      </c>
      <c r="D326" t="s">
        <v>9</v>
      </c>
      <c r="E326">
        <v>49</v>
      </c>
      <c r="F326" t="str">
        <f>IF(Clients_Churn_Master[[#This Row],[Type_Forfait]]="Pro Monde","B2B","B2C")</f>
        <v>B2C</v>
      </c>
      <c r="G326" s="4">
        <f>Clients_Churn_Master[[#This Row],[Duree_Cumulee_Panne_Min]]/1440</f>
        <v>4.1666666666666666E-3</v>
      </c>
      <c r="H326" t="s">
        <v>560</v>
      </c>
      <c r="I326">
        <v>6</v>
      </c>
      <c r="J326" s="10">
        <v>44.41</v>
      </c>
      <c r="K326">
        <v>3</v>
      </c>
      <c r="L3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26" s="9">
        <f>Clients_Churn_Master[[#This Row],[Remise]]*Clients_Churn_Master[[#This Row],[Facture_Mensuelle]]</f>
        <v>0</v>
      </c>
    </row>
    <row r="327" spans="1:13" x14ac:dyDescent="0.25">
      <c r="A327" t="s">
        <v>1695</v>
      </c>
      <c r="B327" t="s">
        <v>884</v>
      </c>
      <c r="C327" s="7">
        <f>Clients_Churn_Master[[#This Row],[Anciennete_Mois]]/12</f>
        <v>3.0833333333333335</v>
      </c>
      <c r="D327" t="s">
        <v>62</v>
      </c>
      <c r="E327">
        <v>37</v>
      </c>
      <c r="F327" t="str">
        <f>IF(Clients_Churn_Master[[#This Row],[Type_Forfait]]="Pro Monde","B2B","B2C")</f>
        <v>B2C</v>
      </c>
      <c r="G327" s="4">
        <f>Clients_Churn_Master[[#This Row],[Duree_Cumulee_Panne_Min]]/1440</f>
        <v>0.29166666666666669</v>
      </c>
      <c r="H327" t="s">
        <v>564</v>
      </c>
      <c r="I327">
        <v>420</v>
      </c>
      <c r="J327" s="10">
        <v>67.260000000000005</v>
      </c>
      <c r="K327">
        <v>4</v>
      </c>
      <c r="L3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7" s="9">
        <f>Clients_Churn_Master[[#This Row],[Remise]]*Clients_Churn_Master[[#This Row],[Facture_Mensuelle]]</f>
        <v>30.267000000000003</v>
      </c>
    </row>
    <row r="328" spans="1:13" x14ac:dyDescent="0.25">
      <c r="A328" t="s">
        <v>1701</v>
      </c>
      <c r="B328" t="s">
        <v>885</v>
      </c>
      <c r="C328" s="7">
        <f>Clients_Churn_Master[[#This Row],[Anciennete_Mois]]/12</f>
        <v>7.333333333333333</v>
      </c>
      <c r="D328" t="s">
        <v>55</v>
      </c>
      <c r="E328">
        <v>88</v>
      </c>
      <c r="F328" t="str">
        <f>IF(Clients_Churn_Master[[#This Row],[Type_Forfait]]="Pro Monde","B2B","B2C")</f>
        <v>B2C</v>
      </c>
      <c r="G328" s="4">
        <f>Clients_Churn_Master[[#This Row],[Duree_Cumulee_Panne_Min]]/1440</f>
        <v>0.17083333333333334</v>
      </c>
      <c r="H328" t="s">
        <v>556</v>
      </c>
      <c r="I328">
        <v>246</v>
      </c>
      <c r="J328" s="10">
        <v>90.7</v>
      </c>
      <c r="K328">
        <v>3</v>
      </c>
      <c r="L3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8" s="9">
        <f>Clients_Churn_Master[[#This Row],[Remise]]*Clients_Churn_Master[[#This Row],[Facture_Mensuelle]]</f>
        <v>40.815000000000005</v>
      </c>
    </row>
    <row r="329" spans="1:13" x14ac:dyDescent="0.25">
      <c r="A329" t="s">
        <v>1696</v>
      </c>
      <c r="B329" t="s">
        <v>886</v>
      </c>
      <c r="C329" s="7">
        <f>Clients_Churn_Master[[#This Row],[Anciennete_Mois]]/12</f>
        <v>2.1666666666666665</v>
      </c>
      <c r="D329" t="s">
        <v>52</v>
      </c>
      <c r="E329">
        <v>26</v>
      </c>
      <c r="F329" t="str">
        <f>IF(Clients_Churn_Master[[#This Row],[Type_Forfait]]="Pro Monde","B2B","B2C")</f>
        <v>B2C</v>
      </c>
      <c r="G329" s="4">
        <f>Clients_Churn_Master[[#This Row],[Duree_Cumulee_Panne_Min]]/1440</f>
        <v>0.28680555555555554</v>
      </c>
      <c r="H329" t="s">
        <v>556</v>
      </c>
      <c r="I329">
        <v>413</v>
      </c>
      <c r="J329" s="10">
        <v>10.9</v>
      </c>
      <c r="K329">
        <v>5</v>
      </c>
      <c r="L3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9" s="9">
        <f>Clients_Churn_Master[[#This Row],[Remise]]*Clients_Churn_Master[[#This Row],[Facture_Mensuelle]]</f>
        <v>4.9050000000000002</v>
      </c>
    </row>
    <row r="330" spans="1:13" x14ac:dyDescent="0.25">
      <c r="A330" t="s">
        <v>1695</v>
      </c>
      <c r="B330" t="s">
        <v>887</v>
      </c>
      <c r="C330" s="7">
        <f>Clients_Churn_Master[[#This Row],[Anciennete_Mois]]/12</f>
        <v>7.166666666666667</v>
      </c>
      <c r="D330" t="s">
        <v>85</v>
      </c>
      <c r="E330">
        <v>86</v>
      </c>
      <c r="F330" t="str">
        <f>IF(Clients_Churn_Master[[#This Row],[Type_Forfait]]="Pro Monde","B2B","B2C")</f>
        <v>B2B</v>
      </c>
      <c r="G330" s="4">
        <f>Clients_Churn_Master[[#This Row],[Duree_Cumulee_Panne_Min]]/1440</f>
        <v>0.24513888888888888</v>
      </c>
      <c r="H330" t="s">
        <v>558</v>
      </c>
      <c r="I330">
        <v>353</v>
      </c>
      <c r="J330" s="10">
        <v>25.37</v>
      </c>
      <c r="K330">
        <v>1</v>
      </c>
      <c r="L3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30" s="9">
        <f>Clients_Churn_Master[[#This Row],[Remise]]*Clients_Churn_Master[[#This Row],[Facture_Mensuelle]]</f>
        <v>11.416500000000001</v>
      </c>
    </row>
    <row r="331" spans="1:13" x14ac:dyDescent="0.25">
      <c r="A331" t="s">
        <v>1693</v>
      </c>
      <c r="B331" t="s">
        <v>888</v>
      </c>
      <c r="C331" s="7">
        <f>Clients_Churn_Master[[#This Row],[Anciennete_Mois]]/12</f>
        <v>8.4166666666666661</v>
      </c>
      <c r="D331" t="s">
        <v>24</v>
      </c>
      <c r="E331">
        <v>101</v>
      </c>
      <c r="F331" t="str">
        <f>IF(Clients_Churn_Master[[#This Row],[Type_Forfait]]="Pro Monde","B2B","B2C")</f>
        <v>B2B</v>
      </c>
      <c r="G331" s="4">
        <f>Clients_Churn_Master[[#This Row],[Duree_Cumulee_Panne_Min]]/1440</f>
        <v>7.4999999999999997E-2</v>
      </c>
      <c r="H331" t="s">
        <v>558</v>
      </c>
      <c r="I331">
        <v>108</v>
      </c>
      <c r="J331" s="10">
        <v>76.05</v>
      </c>
      <c r="K331">
        <v>3</v>
      </c>
      <c r="L3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31" s="9">
        <f>Clients_Churn_Master[[#This Row],[Remise]]*Clients_Churn_Master[[#This Row],[Facture_Mensuelle]]</f>
        <v>7.6050000000000004</v>
      </c>
    </row>
    <row r="332" spans="1:13" x14ac:dyDescent="0.25">
      <c r="A332" t="s">
        <v>1692</v>
      </c>
      <c r="B332" t="s">
        <v>889</v>
      </c>
      <c r="C332" s="7">
        <f>Clients_Churn_Master[[#This Row],[Anciennete_Mois]]/12</f>
        <v>8.75</v>
      </c>
      <c r="D332" t="s">
        <v>52</v>
      </c>
      <c r="E332">
        <v>105</v>
      </c>
      <c r="F332" t="str">
        <f>IF(Clients_Churn_Master[[#This Row],[Type_Forfait]]="Pro Monde","B2B","B2C")</f>
        <v>B2C</v>
      </c>
      <c r="G332" s="4">
        <f>Clients_Churn_Master[[#This Row],[Duree_Cumulee_Panne_Min]]/1440</f>
        <v>1.1805555555555555E-2</v>
      </c>
      <c r="H332" t="s">
        <v>564</v>
      </c>
      <c r="I332">
        <v>17</v>
      </c>
      <c r="J332" s="10">
        <v>60.05</v>
      </c>
      <c r="K332">
        <v>4</v>
      </c>
      <c r="L3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2" s="9">
        <f>Clients_Churn_Master[[#This Row],[Remise]]*Clients_Churn_Master[[#This Row],[Facture_Mensuelle]]</f>
        <v>0</v>
      </c>
    </row>
    <row r="333" spans="1:13" x14ac:dyDescent="0.25">
      <c r="A333" t="s">
        <v>1688</v>
      </c>
      <c r="B333" t="s">
        <v>890</v>
      </c>
      <c r="C333" s="7">
        <f>Clients_Churn_Master[[#This Row],[Anciennete_Mois]]/12</f>
        <v>5.083333333333333</v>
      </c>
      <c r="D333" t="s">
        <v>96</v>
      </c>
      <c r="E333">
        <v>61</v>
      </c>
      <c r="F333" t="str">
        <f>IF(Clients_Churn_Master[[#This Row],[Type_Forfait]]="Pro Monde","B2B","B2C")</f>
        <v>B2C</v>
      </c>
      <c r="G333" s="4">
        <f>Clients_Churn_Master[[#This Row],[Duree_Cumulee_Panne_Min]]/1440</f>
        <v>6.0416666666666667E-2</v>
      </c>
      <c r="H333" t="s">
        <v>560</v>
      </c>
      <c r="I333">
        <v>87</v>
      </c>
      <c r="J333" s="10">
        <v>68.319999999999993</v>
      </c>
      <c r="K333">
        <v>2</v>
      </c>
      <c r="L3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3" s="9">
        <f>Clients_Churn_Master[[#This Row],[Remise]]*Clients_Churn_Master[[#This Row],[Facture_Mensuelle]]</f>
        <v>0</v>
      </c>
    </row>
    <row r="334" spans="1:13" x14ac:dyDescent="0.25">
      <c r="A334" t="s">
        <v>1689</v>
      </c>
      <c r="B334" t="s">
        <v>891</v>
      </c>
      <c r="C334" s="7">
        <f>Clients_Churn_Master[[#This Row],[Anciennete_Mois]]/12</f>
        <v>7.833333333333333</v>
      </c>
      <c r="D334" t="s">
        <v>21</v>
      </c>
      <c r="E334">
        <v>94</v>
      </c>
      <c r="F334" t="str">
        <f>IF(Clients_Churn_Master[[#This Row],[Type_Forfait]]="Pro Monde","B2B","B2C")</f>
        <v>B2C</v>
      </c>
      <c r="G334" s="4">
        <f>Clients_Churn_Master[[#This Row],[Duree_Cumulee_Panne_Min]]/1440</f>
        <v>4.1666666666666666E-3</v>
      </c>
      <c r="H334" t="s">
        <v>560</v>
      </c>
      <c r="I334">
        <v>6</v>
      </c>
      <c r="J334" s="10">
        <v>67.459999999999994</v>
      </c>
      <c r="K334">
        <v>5</v>
      </c>
      <c r="L3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4" s="9">
        <f>Clients_Churn_Master[[#This Row],[Remise]]*Clients_Churn_Master[[#This Row],[Facture_Mensuelle]]</f>
        <v>0</v>
      </c>
    </row>
    <row r="335" spans="1:13" x14ac:dyDescent="0.25">
      <c r="A335" t="s">
        <v>1688</v>
      </c>
      <c r="B335" t="s">
        <v>892</v>
      </c>
      <c r="C335" s="7">
        <f>Clients_Churn_Master[[#This Row],[Anciennete_Mois]]/12</f>
        <v>0.5</v>
      </c>
      <c r="D335" t="s">
        <v>43</v>
      </c>
      <c r="E335">
        <v>6</v>
      </c>
      <c r="F335" t="str">
        <f>IF(Clients_Churn_Master[[#This Row],[Type_Forfait]]="Pro Monde","B2B","B2C")</f>
        <v>B2B</v>
      </c>
      <c r="G335" s="4">
        <f>Clients_Churn_Master[[#This Row],[Duree_Cumulee_Panne_Min]]/1440</f>
        <v>7.5694444444444439E-2</v>
      </c>
      <c r="H335" t="s">
        <v>558</v>
      </c>
      <c r="I335">
        <v>109</v>
      </c>
      <c r="J335" s="10">
        <v>39.880000000000003</v>
      </c>
      <c r="K335">
        <v>4</v>
      </c>
      <c r="L3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35" s="9">
        <f>Clients_Churn_Master[[#This Row],[Remise]]*Clients_Churn_Master[[#This Row],[Facture_Mensuelle]]</f>
        <v>3.9880000000000004</v>
      </c>
    </row>
    <row r="336" spans="1:13" x14ac:dyDescent="0.25">
      <c r="A336" t="s">
        <v>1694</v>
      </c>
      <c r="B336" t="s">
        <v>893</v>
      </c>
      <c r="C336" s="7">
        <f>Clients_Churn_Master[[#This Row],[Anciennete_Mois]]/12</f>
        <v>5.166666666666667</v>
      </c>
      <c r="D336" t="s">
        <v>27</v>
      </c>
      <c r="E336">
        <v>62</v>
      </c>
      <c r="F336" t="str">
        <f>IF(Clients_Churn_Master[[#This Row],[Type_Forfait]]="Pro Monde","B2B","B2C")</f>
        <v>B2C</v>
      </c>
      <c r="G336" s="4">
        <f>Clients_Churn_Master[[#This Row],[Duree_Cumulee_Panne_Min]]/1440</f>
        <v>9.4444444444444442E-2</v>
      </c>
      <c r="H336" t="s">
        <v>560</v>
      </c>
      <c r="I336">
        <v>136</v>
      </c>
      <c r="J336" s="10">
        <v>88.61</v>
      </c>
      <c r="K336">
        <v>2</v>
      </c>
      <c r="L3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6" s="9">
        <f>Clients_Churn_Master[[#This Row],[Remise]]*Clients_Churn_Master[[#This Row],[Facture_Mensuelle]]</f>
        <v>0</v>
      </c>
    </row>
    <row r="337" spans="1:13" x14ac:dyDescent="0.25">
      <c r="A337" t="s">
        <v>1693</v>
      </c>
      <c r="B337" t="s">
        <v>894</v>
      </c>
      <c r="C337" s="7">
        <f>Clients_Churn_Master[[#This Row],[Anciennete_Mois]]/12</f>
        <v>2.8333333333333335</v>
      </c>
      <c r="D337" t="s">
        <v>133</v>
      </c>
      <c r="E337">
        <v>34</v>
      </c>
      <c r="F337" t="str">
        <f>IF(Clients_Churn_Master[[#This Row],[Type_Forfait]]="Pro Monde","B2B","B2C")</f>
        <v>B2C</v>
      </c>
      <c r="G337" s="4">
        <f>Clients_Churn_Master[[#This Row],[Duree_Cumulee_Panne_Min]]/1440</f>
        <v>0.12569444444444444</v>
      </c>
      <c r="H337" t="s">
        <v>560</v>
      </c>
      <c r="I337">
        <v>181</v>
      </c>
      <c r="J337" s="10">
        <v>35.92</v>
      </c>
      <c r="K337">
        <v>2</v>
      </c>
      <c r="L3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7" s="9">
        <f>Clients_Churn_Master[[#This Row],[Remise]]*Clients_Churn_Master[[#This Row],[Facture_Mensuelle]]</f>
        <v>0</v>
      </c>
    </row>
    <row r="338" spans="1:13" x14ac:dyDescent="0.25">
      <c r="A338" t="s">
        <v>1699</v>
      </c>
      <c r="B338" t="s">
        <v>895</v>
      </c>
      <c r="C338" s="7">
        <f>Clients_Churn_Master[[#This Row],[Anciennete_Mois]]/12</f>
        <v>8.25</v>
      </c>
      <c r="D338" t="s">
        <v>137</v>
      </c>
      <c r="E338">
        <v>99</v>
      </c>
      <c r="F338" t="str">
        <f>IF(Clients_Churn_Master[[#This Row],[Type_Forfait]]="Pro Monde","B2B","B2C")</f>
        <v>B2B</v>
      </c>
      <c r="G338" s="4">
        <f>Clients_Churn_Master[[#This Row],[Duree_Cumulee_Panne_Min]]/1440</f>
        <v>9.583333333333334E-2</v>
      </c>
      <c r="H338" t="s">
        <v>558</v>
      </c>
      <c r="I338">
        <v>138</v>
      </c>
      <c r="J338" s="10">
        <v>54.64</v>
      </c>
      <c r="K338">
        <v>5</v>
      </c>
      <c r="L3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38" s="9">
        <f>Clients_Churn_Master[[#This Row],[Remise]]*Clients_Churn_Master[[#This Row],[Facture_Mensuelle]]</f>
        <v>5.4640000000000004</v>
      </c>
    </row>
    <row r="339" spans="1:13" x14ac:dyDescent="0.25">
      <c r="A339" t="s">
        <v>1692</v>
      </c>
      <c r="B339" t="s">
        <v>896</v>
      </c>
      <c r="C339" s="7">
        <f>Clients_Churn_Master[[#This Row],[Anciennete_Mois]]/12</f>
        <v>4.916666666666667</v>
      </c>
      <c r="D339" t="s">
        <v>96</v>
      </c>
      <c r="E339">
        <v>59</v>
      </c>
      <c r="F339" t="str">
        <f>IF(Clients_Churn_Master[[#This Row],[Type_Forfait]]="Pro Monde","B2B","B2C")</f>
        <v>B2C</v>
      </c>
      <c r="G339" s="4">
        <f>Clients_Churn_Master[[#This Row],[Duree_Cumulee_Panne_Min]]/1440</f>
        <v>0.24444444444444444</v>
      </c>
      <c r="H339" t="s">
        <v>564</v>
      </c>
      <c r="I339">
        <v>352</v>
      </c>
      <c r="J339" s="10">
        <v>74.239999999999995</v>
      </c>
      <c r="K339">
        <v>0</v>
      </c>
      <c r="L3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39" s="9">
        <f>Clients_Churn_Master[[#This Row],[Remise]]*Clients_Churn_Master[[#This Row],[Facture_Mensuelle]]</f>
        <v>33.408000000000001</v>
      </c>
    </row>
    <row r="340" spans="1:13" x14ac:dyDescent="0.25">
      <c r="A340" t="s">
        <v>1689</v>
      </c>
      <c r="B340" t="s">
        <v>897</v>
      </c>
      <c r="C340" s="7">
        <f>Clients_Churn_Master[[#This Row],[Anciennete_Mois]]/12</f>
        <v>1.5833333333333333</v>
      </c>
      <c r="D340" t="s">
        <v>13</v>
      </c>
      <c r="E340">
        <v>19</v>
      </c>
      <c r="F340" t="str">
        <f>IF(Clients_Churn_Master[[#This Row],[Type_Forfait]]="Pro Monde","B2B","B2C")</f>
        <v>B2C</v>
      </c>
      <c r="G340" s="4">
        <f>Clients_Churn_Master[[#This Row],[Duree_Cumulee_Panne_Min]]/1440</f>
        <v>4.9305555555555554E-2</v>
      </c>
      <c r="H340" t="s">
        <v>556</v>
      </c>
      <c r="I340">
        <v>71</v>
      </c>
      <c r="J340" s="10">
        <v>68.2</v>
      </c>
      <c r="K340">
        <v>0</v>
      </c>
      <c r="L3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40" s="9">
        <f>Clients_Churn_Master[[#This Row],[Remise]]*Clients_Churn_Master[[#This Row],[Facture_Mensuelle]]</f>
        <v>0</v>
      </c>
    </row>
    <row r="341" spans="1:13" x14ac:dyDescent="0.25">
      <c r="A341" t="s">
        <v>1694</v>
      </c>
      <c r="B341" t="s">
        <v>898</v>
      </c>
      <c r="C341" s="7">
        <f>Clients_Churn_Master[[#This Row],[Anciennete_Mois]]/12</f>
        <v>4.666666666666667</v>
      </c>
      <c r="D341" t="s">
        <v>49</v>
      </c>
      <c r="E341">
        <v>56</v>
      </c>
      <c r="F341" t="str">
        <f>IF(Clients_Churn_Master[[#This Row],[Type_Forfait]]="Pro Monde","B2B","B2C")</f>
        <v>B2B</v>
      </c>
      <c r="G341" s="4">
        <f>Clients_Churn_Master[[#This Row],[Duree_Cumulee_Panne_Min]]/1440</f>
        <v>3.8194444444444448E-2</v>
      </c>
      <c r="H341" t="s">
        <v>558</v>
      </c>
      <c r="I341">
        <v>55</v>
      </c>
      <c r="J341" s="10">
        <v>82.56</v>
      </c>
      <c r="K341">
        <v>2</v>
      </c>
      <c r="L3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1" s="9">
        <f>Clients_Churn_Master[[#This Row],[Remise]]*Clients_Churn_Master[[#This Row],[Facture_Mensuelle]]</f>
        <v>8.2560000000000002</v>
      </c>
    </row>
    <row r="342" spans="1:13" x14ac:dyDescent="0.25">
      <c r="A342" t="s">
        <v>1700</v>
      </c>
      <c r="B342" t="s">
        <v>899</v>
      </c>
      <c r="C342" s="7">
        <f>Clients_Churn_Master[[#This Row],[Anciennete_Mois]]/12</f>
        <v>7.833333333333333</v>
      </c>
      <c r="D342" t="s">
        <v>17</v>
      </c>
      <c r="E342">
        <v>94</v>
      </c>
      <c r="F342" t="str">
        <f>IF(Clients_Churn_Master[[#This Row],[Type_Forfait]]="Pro Monde","B2B","B2C")</f>
        <v>B2B</v>
      </c>
      <c r="G342" s="4">
        <f>Clients_Churn_Master[[#This Row],[Duree_Cumulee_Panne_Min]]/1440</f>
        <v>0.17152777777777778</v>
      </c>
      <c r="H342" t="s">
        <v>558</v>
      </c>
      <c r="I342">
        <v>247</v>
      </c>
      <c r="J342" s="10">
        <v>96.57</v>
      </c>
      <c r="K342">
        <v>0</v>
      </c>
      <c r="L3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42" s="9">
        <f>Clients_Churn_Master[[#This Row],[Remise]]*Clients_Churn_Master[[#This Row],[Facture_Mensuelle]]</f>
        <v>43.456499999999998</v>
      </c>
    </row>
    <row r="343" spans="1:13" x14ac:dyDescent="0.25">
      <c r="A343" t="s">
        <v>1693</v>
      </c>
      <c r="B343" t="s">
        <v>900</v>
      </c>
      <c r="C343" s="7">
        <f>Clients_Churn_Master[[#This Row],[Anciennete_Mois]]/12</f>
        <v>1.1666666666666667</v>
      </c>
      <c r="D343" t="s">
        <v>27</v>
      </c>
      <c r="E343">
        <v>14</v>
      </c>
      <c r="F343" t="str">
        <f>IF(Clients_Churn_Master[[#This Row],[Type_Forfait]]="Pro Monde","B2B","B2C")</f>
        <v>B2B</v>
      </c>
      <c r="G343" s="4">
        <f>Clients_Churn_Master[[#This Row],[Duree_Cumulee_Panne_Min]]/1440</f>
        <v>0.16388888888888889</v>
      </c>
      <c r="H343" t="s">
        <v>558</v>
      </c>
      <c r="I343">
        <v>236</v>
      </c>
      <c r="J343" s="10">
        <v>54.43</v>
      </c>
      <c r="K343">
        <v>3</v>
      </c>
      <c r="L3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3" s="9">
        <f>Clients_Churn_Master[[#This Row],[Remise]]*Clients_Churn_Master[[#This Row],[Facture_Mensuelle]]</f>
        <v>5.4430000000000005</v>
      </c>
    </row>
    <row r="344" spans="1:13" x14ac:dyDescent="0.25">
      <c r="A344" t="s">
        <v>1699</v>
      </c>
      <c r="B344" t="s">
        <v>901</v>
      </c>
      <c r="C344" s="7">
        <f>Clients_Churn_Master[[#This Row],[Anciennete_Mois]]/12</f>
        <v>5.25</v>
      </c>
      <c r="D344" t="s">
        <v>27</v>
      </c>
      <c r="E344">
        <v>63</v>
      </c>
      <c r="F344" t="str">
        <f>IF(Clients_Churn_Master[[#This Row],[Type_Forfait]]="Pro Monde","B2B","B2C")</f>
        <v>B2B</v>
      </c>
      <c r="G344" s="4">
        <f>Clients_Churn_Master[[#This Row],[Duree_Cumulee_Panne_Min]]/1440</f>
        <v>8.4027777777777785E-2</v>
      </c>
      <c r="H344" t="s">
        <v>558</v>
      </c>
      <c r="I344">
        <v>121</v>
      </c>
      <c r="J344" s="10">
        <v>39.18</v>
      </c>
      <c r="K344">
        <v>2</v>
      </c>
      <c r="L3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4" s="9">
        <f>Clients_Churn_Master[[#This Row],[Remise]]*Clients_Churn_Master[[#This Row],[Facture_Mensuelle]]</f>
        <v>3.9180000000000001</v>
      </c>
    </row>
    <row r="345" spans="1:13" x14ac:dyDescent="0.25">
      <c r="A345" t="s">
        <v>1690</v>
      </c>
      <c r="B345" t="s">
        <v>902</v>
      </c>
      <c r="C345" s="7">
        <f>Clients_Churn_Master[[#This Row],[Anciennete_Mois]]/12</f>
        <v>9.25</v>
      </c>
      <c r="D345" t="s">
        <v>62</v>
      </c>
      <c r="E345">
        <v>111</v>
      </c>
      <c r="F345" t="str">
        <f>IF(Clients_Churn_Master[[#This Row],[Type_Forfait]]="Pro Monde","B2B","B2C")</f>
        <v>B2C</v>
      </c>
      <c r="G345" s="4">
        <f>Clients_Churn_Master[[#This Row],[Duree_Cumulee_Panne_Min]]/1440</f>
        <v>0.13472222222222222</v>
      </c>
      <c r="H345" t="s">
        <v>556</v>
      </c>
      <c r="I345">
        <v>194</v>
      </c>
      <c r="J345" s="10">
        <v>48.55</v>
      </c>
      <c r="K345">
        <v>2</v>
      </c>
      <c r="L3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45" s="9">
        <f>Clients_Churn_Master[[#This Row],[Remise]]*Clients_Churn_Master[[#This Row],[Facture_Mensuelle]]</f>
        <v>0</v>
      </c>
    </row>
    <row r="346" spans="1:13" x14ac:dyDescent="0.25">
      <c r="A346" t="s">
        <v>1696</v>
      </c>
      <c r="B346" t="s">
        <v>903</v>
      </c>
      <c r="C346" s="7">
        <f>Clients_Churn_Master[[#This Row],[Anciennete_Mois]]/12</f>
        <v>2.0833333333333335</v>
      </c>
      <c r="D346" t="s">
        <v>13</v>
      </c>
      <c r="E346">
        <v>25</v>
      </c>
      <c r="F346" t="str">
        <f>IF(Clients_Churn_Master[[#This Row],[Type_Forfait]]="Pro Monde","B2B","B2C")</f>
        <v>B2B</v>
      </c>
      <c r="G346" s="4">
        <f>Clients_Churn_Master[[#This Row],[Duree_Cumulee_Panne_Min]]/1440</f>
        <v>4.583333333333333E-2</v>
      </c>
      <c r="H346" t="s">
        <v>558</v>
      </c>
      <c r="I346">
        <v>66</v>
      </c>
      <c r="J346" s="10">
        <v>90.14</v>
      </c>
      <c r="K346">
        <v>5</v>
      </c>
      <c r="L3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6" s="9">
        <f>Clients_Churn_Master[[#This Row],[Remise]]*Clients_Churn_Master[[#This Row],[Facture_Mensuelle]]</f>
        <v>9.0140000000000011</v>
      </c>
    </row>
    <row r="347" spans="1:13" x14ac:dyDescent="0.25">
      <c r="A347" t="s">
        <v>1692</v>
      </c>
      <c r="B347" t="s">
        <v>904</v>
      </c>
      <c r="C347" s="7">
        <f>Clients_Churn_Master[[#This Row],[Anciennete_Mois]]/12</f>
        <v>3.0833333333333335</v>
      </c>
      <c r="D347" t="s">
        <v>37</v>
      </c>
      <c r="E347">
        <v>37</v>
      </c>
      <c r="F347" t="str">
        <f>IF(Clients_Churn_Master[[#This Row],[Type_Forfait]]="Pro Monde","B2B","B2C")</f>
        <v>B2B</v>
      </c>
      <c r="G347" s="4">
        <f>Clients_Churn_Master[[#This Row],[Duree_Cumulee_Panne_Min]]/1440</f>
        <v>6.1111111111111109E-2</v>
      </c>
      <c r="H347" t="s">
        <v>558</v>
      </c>
      <c r="I347">
        <v>88</v>
      </c>
      <c r="J347" s="10">
        <v>77.77</v>
      </c>
      <c r="K347">
        <v>1</v>
      </c>
      <c r="L3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7" s="9">
        <f>Clients_Churn_Master[[#This Row],[Remise]]*Clients_Churn_Master[[#This Row],[Facture_Mensuelle]]</f>
        <v>7.7770000000000001</v>
      </c>
    </row>
    <row r="348" spans="1:13" x14ac:dyDescent="0.25">
      <c r="A348" t="s">
        <v>1696</v>
      </c>
      <c r="B348" t="s">
        <v>905</v>
      </c>
      <c r="C348" s="7">
        <f>Clients_Churn_Master[[#This Row],[Anciennete_Mois]]/12</f>
        <v>2.4166666666666665</v>
      </c>
      <c r="D348" t="s">
        <v>55</v>
      </c>
      <c r="E348">
        <v>29</v>
      </c>
      <c r="F348" t="str">
        <f>IF(Clients_Churn_Master[[#This Row],[Type_Forfait]]="Pro Monde","B2B","B2C")</f>
        <v>B2C</v>
      </c>
      <c r="G348" s="4">
        <f>Clients_Churn_Master[[#This Row],[Duree_Cumulee_Panne_Min]]/1440</f>
        <v>0.21249999999999999</v>
      </c>
      <c r="H348" t="s">
        <v>556</v>
      </c>
      <c r="I348">
        <v>306</v>
      </c>
      <c r="J348" s="10">
        <v>82.16</v>
      </c>
      <c r="K348">
        <v>1</v>
      </c>
      <c r="L3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48" s="9">
        <f>Clients_Churn_Master[[#This Row],[Remise]]*Clients_Churn_Master[[#This Row],[Facture_Mensuelle]]</f>
        <v>36.972000000000001</v>
      </c>
    </row>
    <row r="349" spans="1:13" x14ac:dyDescent="0.25">
      <c r="A349" t="s">
        <v>1699</v>
      </c>
      <c r="B349" t="s">
        <v>906</v>
      </c>
      <c r="C349" s="7">
        <f>Clients_Churn_Master[[#This Row],[Anciennete_Mois]]/12</f>
        <v>1.0833333333333333</v>
      </c>
      <c r="D349" t="s">
        <v>45</v>
      </c>
      <c r="E349">
        <v>13</v>
      </c>
      <c r="F349" t="str">
        <f>IF(Clients_Churn_Master[[#This Row],[Type_Forfait]]="Pro Monde","B2B","B2C")</f>
        <v>B2B</v>
      </c>
      <c r="G349" s="4">
        <f>Clients_Churn_Master[[#This Row],[Duree_Cumulee_Panne_Min]]/1440</f>
        <v>6.0416666666666667E-2</v>
      </c>
      <c r="H349" t="s">
        <v>558</v>
      </c>
      <c r="I349">
        <v>87</v>
      </c>
      <c r="J349" s="10">
        <v>66.36</v>
      </c>
      <c r="K349">
        <v>0</v>
      </c>
      <c r="L3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9" s="9">
        <f>Clients_Churn_Master[[#This Row],[Remise]]*Clients_Churn_Master[[#This Row],[Facture_Mensuelle]]</f>
        <v>6.6360000000000001</v>
      </c>
    </row>
    <row r="350" spans="1:13" x14ac:dyDescent="0.25">
      <c r="A350" t="s">
        <v>1698</v>
      </c>
      <c r="B350" t="s">
        <v>907</v>
      </c>
      <c r="C350" s="7">
        <f>Clients_Churn_Master[[#This Row],[Anciennete_Mois]]/12</f>
        <v>2.25</v>
      </c>
      <c r="D350" t="s">
        <v>24</v>
      </c>
      <c r="E350">
        <v>27</v>
      </c>
      <c r="F350" t="str">
        <f>IF(Clients_Churn_Master[[#This Row],[Type_Forfait]]="Pro Monde","B2B","B2C")</f>
        <v>B2C</v>
      </c>
      <c r="G350" s="4">
        <f>Clients_Churn_Master[[#This Row],[Duree_Cumulee_Panne_Min]]/1440</f>
        <v>0.25624999999999998</v>
      </c>
      <c r="H350" t="s">
        <v>564</v>
      </c>
      <c r="I350">
        <v>369</v>
      </c>
      <c r="J350" s="10">
        <v>19.78</v>
      </c>
      <c r="K350">
        <v>1</v>
      </c>
      <c r="L3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0" s="9">
        <f>Clients_Churn_Master[[#This Row],[Remise]]*Clients_Churn_Master[[#This Row],[Facture_Mensuelle]]</f>
        <v>8.9010000000000016</v>
      </c>
    </row>
    <row r="351" spans="1:13" x14ac:dyDescent="0.25">
      <c r="A351" t="s">
        <v>1695</v>
      </c>
      <c r="B351" t="s">
        <v>908</v>
      </c>
      <c r="C351" s="7">
        <f>Clients_Churn_Master[[#This Row],[Anciennete_Mois]]/12</f>
        <v>9.1666666666666661</v>
      </c>
      <c r="D351" t="s">
        <v>9</v>
      </c>
      <c r="E351">
        <v>110</v>
      </c>
      <c r="F351" t="str">
        <f>IF(Clients_Churn_Master[[#This Row],[Type_Forfait]]="Pro Monde","B2B","B2C")</f>
        <v>B2C</v>
      </c>
      <c r="G351" s="4">
        <f>Clients_Churn_Master[[#This Row],[Duree_Cumulee_Panne_Min]]/1440</f>
        <v>0.20069444444444445</v>
      </c>
      <c r="H351" t="s">
        <v>564</v>
      </c>
      <c r="I351">
        <v>289</v>
      </c>
      <c r="J351" s="10">
        <v>83.67</v>
      </c>
      <c r="K351">
        <v>4</v>
      </c>
      <c r="L3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1" s="9">
        <f>Clients_Churn_Master[[#This Row],[Remise]]*Clients_Churn_Master[[#This Row],[Facture_Mensuelle]]</f>
        <v>37.651499999999999</v>
      </c>
    </row>
    <row r="352" spans="1:13" x14ac:dyDescent="0.25">
      <c r="A352" t="s">
        <v>1696</v>
      </c>
      <c r="B352" t="s">
        <v>909</v>
      </c>
      <c r="C352" s="7">
        <f>Clients_Churn_Master[[#This Row],[Anciennete_Mois]]/12</f>
        <v>6.833333333333333</v>
      </c>
      <c r="D352" t="s">
        <v>93</v>
      </c>
      <c r="E352">
        <v>82</v>
      </c>
      <c r="F352" t="str">
        <f>IF(Clients_Churn_Master[[#This Row],[Type_Forfait]]="Pro Monde","B2B","B2C")</f>
        <v>B2B</v>
      </c>
      <c r="G352" s="4">
        <f>Clients_Churn_Master[[#This Row],[Duree_Cumulee_Panne_Min]]/1440</f>
        <v>0.21666666666666667</v>
      </c>
      <c r="H352" t="s">
        <v>558</v>
      </c>
      <c r="I352">
        <v>312</v>
      </c>
      <c r="J352" s="10">
        <v>40.880000000000003</v>
      </c>
      <c r="K352">
        <v>0</v>
      </c>
      <c r="L3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2" s="9">
        <f>Clients_Churn_Master[[#This Row],[Remise]]*Clients_Churn_Master[[#This Row],[Facture_Mensuelle]]</f>
        <v>18.396000000000001</v>
      </c>
    </row>
    <row r="353" spans="1:13" x14ac:dyDescent="0.25">
      <c r="A353" t="s">
        <v>1695</v>
      </c>
      <c r="B353" t="s">
        <v>910</v>
      </c>
      <c r="C353" s="7">
        <f>Clients_Churn_Master[[#This Row],[Anciennete_Mois]]/12</f>
        <v>8.3333333333333329E-2</v>
      </c>
      <c r="D353" t="s">
        <v>37</v>
      </c>
      <c r="E353">
        <v>1</v>
      </c>
      <c r="F353" t="str">
        <f>IF(Clients_Churn_Master[[#This Row],[Type_Forfait]]="Pro Monde","B2B","B2C")</f>
        <v>B2B</v>
      </c>
      <c r="G353" s="4">
        <f>Clients_Churn_Master[[#This Row],[Duree_Cumulee_Panne_Min]]/1440</f>
        <v>0.29444444444444445</v>
      </c>
      <c r="H353" t="s">
        <v>558</v>
      </c>
      <c r="I353">
        <v>424</v>
      </c>
      <c r="J353" s="10">
        <v>59.2</v>
      </c>
      <c r="K353">
        <v>2</v>
      </c>
      <c r="L3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3" s="9">
        <f>Clients_Churn_Master[[#This Row],[Remise]]*Clients_Churn_Master[[#This Row],[Facture_Mensuelle]]</f>
        <v>26.64</v>
      </c>
    </row>
    <row r="354" spans="1:13" x14ac:dyDescent="0.25">
      <c r="A354" t="s">
        <v>1691</v>
      </c>
      <c r="B354" t="s">
        <v>911</v>
      </c>
      <c r="C354" s="7">
        <f>Clients_Churn_Master[[#This Row],[Anciennete_Mois]]/12</f>
        <v>6</v>
      </c>
      <c r="D354" t="s">
        <v>41</v>
      </c>
      <c r="E354">
        <v>72</v>
      </c>
      <c r="F354" t="str">
        <f>IF(Clients_Churn_Master[[#This Row],[Type_Forfait]]="Pro Monde","B2B","B2C")</f>
        <v>B2C</v>
      </c>
      <c r="G354" s="4">
        <f>Clients_Churn_Master[[#This Row],[Duree_Cumulee_Panne_Min]]/1440</f>
        <v>3.472222222222222E-3</v>
      </c>
      <c r="H354" t="s">
        <v>564</v>
      </c>
      <c r="I354">
        <v>5</v>
      </c>
      <c r="J354" s="10">
        <v>68.650000000000006</v>
      </c>
      <c r="K354">
        <v>0</v>
      </c>
      <c r="L3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54" s="9">
        <f>Clients_Churn_Master[[#This Row],[Remise]]*Clients_Churn_Master[[#This Row],[Facture_Mensuelle]]</f>
        <v>0</v>
      </c>
    </row>
    <row r="355" spans="1:13" x14ac:dyDescent="0.25">
      <c r="A355" t="s">
        <v>1691</v>
      </c>
      <c r="B355" t="s">
        <v>912</v>
      </c>
      <c r="C355" s="7">
        <f>Clients_Churn_Master[[#This Row],[Anciennete_Mois]]/12</f>
        <v>0.58333333333333337</v>
      </c>
      <c r="D355" t="s">
        <v>27</v>
      </c>
      <c r="E355">
        <v>7</v>
      </c>
      <c r="F355" t="str">
        <f>IF(Clients_Churn_Master[[#This Row],[Type_Forfait]]="Pro Monde","B2B","B2C")</f>
        <v>B2C</v>
      </c>
      <c r="G355" s="4">
        <f>Clients_Churn_Master[[#This Row],[Duree_Cumulee_Panne_Min]]/1440</f>
        <v>0.22013888888888888</v>
      </c>
      <c r="H355" t="s">
        <v>564</v>
      </c>
      <c r="I355">
        <v>317</v>
      </c>
      <c r="J355" s="10">
        <v>97.32</v>
      </c>
      <c r="K355">
        <v>1</v>
      </c>
      <c r="L3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5" s="9">
        <f>Clients_Churn_Master[[#This Row],[Remise]]*Clients_Churn_Master[[#This Row],[Facture_Mensuelle]]</f>
        <v>43.793999999999997</v>
      </c>
    </row>
    <row r="356" spans="1:13" x14ac:dyDescent="0.25">
      <c r="A356" t="s">
        <v>1701</v>
      </c>
      <c r="B356" t="s">
        <v>913</v>
      </c>
      <c r="C356" s="7">
        <f>Clients_Churn_Master[[#This Row],[Anciennete_Mois]]/12</f>
        <v>5.416666666666667</v>
      </c>
      <c r="D356" t="s">
        <v>9</v>
      </c>
      <c r="E356">
        <v>65</v>
      </c>
      <c r="F356" t="str">
        <f>IF(Clients_Churn_Master[[#This Row],[Type_Forfait]]="Pro Monde","B2B","B2C")</f>
        <v>B2B</v>
      </c>
      <c r="G356" s="4">
        <f>Clients_Churn_Master[[#This Row],[Duree_Cumulee_Panne_Min]]/1440</f>
        <v>0.19027777777777777</v>
      </c>
      <c r="H356" t="s">
        <v>558</v>
      </c>
      <c r="I356">
        <v>274</v>
      </c>
      <c r="J356" s="10">
        <v>88.1</v>
      </c>
      <c r="K356">
        <v>4</v>
      </c>
      <c r="L3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6" s="9">
        <f>Clients_Churn_Master[[#This Row],[Remise]]*Clients_Churn_Master[[#This Row],[Facture_Mensuelle]]</f>
        <v>39.644999999999996</v>
      </c>
    </row>
    <row r="357" spans="1:13" x14ac:dyDescent="0.25">
      <c r="A357" t="s">
        <v>1693</v>
      </c>
      <c r="B357" t="s">
        <v>914</v>
      </c>
      <c r="C357" s="7">
        <f>Clients_Churn_Master[[#This Row],[Anciennete_Mois]]/12</f>
        <v>1.3333333333333333</v>
      </c>
      <c r="D357" t="s">
        <v>13</v>
      </c>
      <c r="E357">
        <v>16</v>
      </c>
      <c r="F357" t="str">
        <f>IF(Clients_Churn_Master[[#This Row],[Type_Forfait]]="Pro Monde","B2B","B2C")</f>
        <v>B2C</v>
      </c>
      <c r="G357" s="4">
        <f>Clients_Churn_Master[[#This Row],[Duree_Cumulee_Panne_Min]]/1440</f>
        <v>6.6666666666666666E-2</v>
      </c>
      <c r="H357" t="s">
        <v>564</v>
      </c>
      <c r="I357">
        <v>96</v>
      </c>
      <c r="J357" s="10">
        <v>86.78</v>
      </c>
      <c r="K357">
        <v>1</v>
      </c>
      <c r="L3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7" s="9">
        <f>Clients_Churn_Master[[#This Row],[Remise]]*Clients_Churn_Master[[#This Row],[Facture_Mensuelle]]</f>
        <v>39.051000000000002</v>
      </c>
    </row>
    <row r="358" spans="1:13" x14ac:dyDescent="0.25">
      <c r="A358" t="s">
        <v>1700</v>
      </c>
      <c r="B358" t="s">
        <v>915</v>
      </c>
      <c r="C358" s="7">
        <f>Clients_Churn_Master[[#This Row],[Anciennete_Mois]]/12</f>
        <v>6.166666666666667</v>
      </c>
      <c r="D358" t="s">
        <v>30</v>
      </c>
      <c r="E358">
        <v>74</v>
      </c>
      <c r="F358" t="str">
        <f>IF(Clients_Churn_Master[[#This Row],[Type_Forfait]]="Pro Monde","B2B","B2C")</f>
        <v>B2C</v>
      </c>
      <c r="G358" s="4">
        <f>Clients_Churn_Master[[#This Row],[Duree_Cumulee_Panne_Min]]/1440</f>
        <v>0.18402777777777779</v>
      </c>
      <c r="H358" t="s">
        <v>556</v>
      </c>
      <c r="I358">
        <v>265</v>
      </c>
      <c r="J358" s="10">
        <v>90.81</v>
      </c>
      <c r="K358">
        <v>3</v>
      </c>
      <c r="L3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8" s="9">
        <f>Clients_Churn_Master[[#This Row],[Remise]]*Clients_Churn_Master[[#This Row],[Facture_Mensuelle]]</f>
        <v>40.8645</v>
      </c>
    </row>
    <row r="359" spans="1:13" x14ac:dyDescent="0.25">
      <c r="A359" t="s">
        <v>1688</v>
      </c>
      <c r="B359" t="s">
        <v>916</v>
      </c>
      <c r="C359" s="7">
        <f>Clients_Churn_Master[[#This Row],[Anciennete_Mois]]/12</f>
        <v>8.8333333333333339</v>
      </c>
      <c r="D359" t="s">
        <v>67</v>
      </c>
      <c r="E359">
        <v>106</v>
      </c>
      <c r="F359" t="str">
        <f>IF(Clients_Churn_Master[[#This Row],[Type_Forfait]]="Pro Monde","B2B","B2C")</f>
        <v>B2C</v>
      </c>
      <c r="G359" s="4">
        <f>Clients_Churn_Master[[#This Row],[Duree_Cumulee_Panne_Min]]/1440</f>
        <v>8.8888888888888892E-2</v>
      </c>
      <c r="H359" t="s">
        <v>560</v>
      </c>
      <c r="I359">
        <v>128</v>
      </c>
      <c r="J359" s="10">
        <v>35.96</v>
      </c>
      <c r="K359">
        <v>2</v>
      </c>
      <c r="L3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59" s="9">
        <f>Clients_Churn_Master[[#This Row],[Remise]]*Clients_Churn_Master[[#This Row],[Facture_Mensuelle]]</f>
        <v>0</v>
      </c>
    </row>
    <row r="360" spans="1:13" x14ac:dyDescent="0.25">
      <c r="A360" t="s">
        <v>1689</v>
      </c>
      <c r="B360" t="s">
        <v>917</v>
      </c>
      <c r="C360" s="7">
        <f>Clients_Churn_Master[[#This Row],[Anciennete_Mois]]/12</f>
        <v>4.166666666666667</v>
      </c>
      <c r="D360" t="s">
        <v>96</v>
      </c>
      <c r="E360">
        <v>50</v>
      </c>
      <c r="F360" t="str">
        <f>IF(Clients_Churn_Master[[#This Row],[Type_Forfait]]="Pro Monde","B2B","B2C")</f>
        <v>B2C</v>
      </c>
      <c r="G360" s="4">
        <f>Clients_Churn_Master[[#This Row],[Duree_Cumulee_Panne_Min]]/1440</f>
        <v>0.24791666666666667</v>
      </c>
      <c r="H360" t="s">
        <v>560</v>
      </c>
      <c r="I360">
        <v>357</v>
      </c>
      <c r="J360" s="10">
        <v>17</v>
      </c>
      <c r="K360">
        <v>3</v>
      </c>
      <c r="L3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60" s="9">
        <f>Clients_Churn_Master[[#This Row],[Remise]]*Clients_Churn_Master[[#This Row],[Facture_Mensuelle]]</f>
        <v>7.65</v>
      </c>
    </row>
    <row r="361" spans="1:13" x14ac:dyDescent="0.25">
      <c r="A361" t="s">
        <v>1695</v>
      </c>
      <c r="B361" t="s">
        <v>918</v>
      </c>
      <c r="C361" s="7">
        <f>Clients_Churn_Master[[#This Row],[Anciennete_Mois]]/12</f>
        <v>3.0833333333333335</v>
      </c>
      <c r="D361" t="s">
        <v>47</v>
      </c>
      <c r="E361">
        <v>37</v>
      </c>
      <c r="F361" t="str">
        <f>IF(Clients_Churn_Master[[#This Row],[Type_Forfait]]="Pro Monde","B2B","B2C")</f>
        <v>B2C</v>
      </c>
      <c r="G361" s="4">
        <f>Clients_Churn_Master[[#This Row],[Duree_Cumulee_Panne_Min]]/1440</f>
        <v>2.0833333333333333E-3</v>
      </c>
      <c r="H361" t="s">
        <v>560</v>
      </c>
      <c r="I361">
        <v>3</v>
      </c>
      <c r="J361" s="10">
        <v>20.89</v>
      </c>
      <c r="K361">
        <v>5</v>
      </c>
      <c r="L3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1" s="9">
        <f>Clients_Churn_Master[[#This Row],[Remise]]*Clients_Churn_Master[[#This Row],[Facture_Mensuelle]]</f>
        <v>0</v>
      </c>
    </row>
    <row r="362" spans="1:13" x14ac:dyDescent="0.25">
      <c r="A362" t="s">
        <v>1699</v>
      </c>
      <c r="B362" t="s">
        <v>919</v>
      </c>
      <c r="C362" s="7">
        <f>Clients_Churn_Master[[#This Row],[Anciennete_Mois]]/12</f>
        <v>5.916666666666667</v>
      </c>
      <c r="D362" t="s">
        <v>17</v>
      </c>
      <c r="E362">
        <v>71</v>
      </c>
      <c r="F362" t="str">
        <f>IF(Clients_Churn_Master[[#This Row],[Type_Forfait]]="Pro Monde","B2B","B2C")</f>
        <v>B2C</v>
      </c>
      <c r="G362" s="4">
        <f>Clients_Churn_Master[[#This Row],[Duree_Cumulee_Panne_Min]]/1440</f>
        <v>4.7222222222222221E-2</v>
      </c>
      <c r="H362" t="s">
        <v>560</v>
      </c>
      <c r="I362">
        <v>68</v>
      </c>
      <c r="J362" s="10">
        <v>53.11</v>
      </c>
      <c r="K362">
        <v>2</v>
      </c>
      <c r="L3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2" s="9">
        <f>Clients_Churn_Master[[#This Row],[Remise]]*Clients_Churn_Master[[#This Row],[Facture_Mensuelle]]</f>
        <v>0</v>
      </c>
    </row>
    <row r="363" spans="1:13" x14ac:dyDescent="0.25">
      <c r="A363" t="s">
        <v>1697</v>
      </c>
      <c r="B363" t="s">
        <v>920</v>
      </c>
      <c r="C363" s="7">
        <f>Clients_Churn_Master[[#This Row],[Anciennete_Mois]]/12</f>
        <v>9.9166666666666661</v>
      </c>
      <c r="D363" t="s">
        <v>13</v>
      </c>
      <c r="E363">
        <v>119</v>
      </c>
      <c r="F363" t="str">
        <f>IF(Clients_Churn_Master[[#This Row],[Type_Forfait]]="Pro Monde","B2B","B2C")</f>
        <v>B2C</v>
      </c>
      <c r="G363" s="4">
        <f>Clients_Churn_Master[[#This Row],[Duree_Cumulee_Panne_Min]]/1440</f>
        <v>0.15833333333333333</v>
      </c>
      <c r="H363" t="s">
        <v>560</v>
      </c>
      <c r="I363">
        <v>228</v>
      </c>
      <c r="J363" s="10">
        <v>94.72</v>
      </c>
      <c r="K363">
        <v>3</v>
      </c>
      <c r="L3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3" s="9">
        <f>Clients_Churn_Master[[#This Row],[Remise]]*Clients_Churn_Master[[#This Row],[Facture_Mensuelle]]</f>
        <v>0</v>
      </c>
    </row>
    <row r="364" spans="1:13" x14ac:dyDescent="0.25">
      <c r="A364" t="s">
        <v>1695</v>
      </c>
      <c r="B364" t="s">
        <v>921</v>
      </c>
      <c r="C364" s="7">
        <f>Clients_Churn_Master[[#This Row],[Anciennete_Mois]]/12</f>
        <v>1.6666666666666667</v>
      </c>
      <c r="D364" t="s">
        <v>82</v>
      </c>
      <c r="E364">
        <v>20</v>
      </c>
      <c r="F364" t="str">
        <f>IF(Clients_Churn_Master[[#This Row],[Type_Forfait]]="Pro Monde","B2B","B2C")</f>
        <v>B2C</v>
      </c>
      <c r="G364" s="4">
        <f>Clients_Churn_Master[[#This Row],[Duree_Cumulee_Panne_Min]]/1440</f>
        <v>0.20624999999999999</v>
      </c>
      <c r="H364" t="s">
        <v>556</v>
      </c>
      <c r="I364">
        <v>297</v>
      </c>
      <c r="J364" s="10">
        <v>14.77</v>
      </c>
      <c r="K364">
        <v>0</v>
      </c>
      <c r="L3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64" s="9">
        <f>Clients_Churn_Master[[#This Row],[Remise]]*Clients_Churn_Master[[#This Row],[Facture_Mensuelle]]</f>
        <v>6.6464999999999996</v>
      </c>
    </row>
    <row r="365" spans="1:13" x14ac:dyDescent="0.25">
      <c r="A365" t="s">
        <v>1696</v>
      </c>
      <c r="B365" t="s">
        <v>922</v>
      </c>
      <c r="C365" s="7">
        <f>Clients_Churn_Master[[#This Row],[Anciennete_Mois]]/12</f>
        <v>9.0833333333333339</v>
      </c>
      <c r="D365" t="s">
        <v>47</v>
      </c>
      <c r="E365">
        <v>109</v>
      </c>
      <c r="F365" t="str">
        <f>IF(Clients_Churn_Master[[#This Row],[Type_Forfait]]="Pro Monde","B2B","B2C")</f>
        <v>B2C</v>
      </c>
      <c r="G365" s="4">
        <f>Clients_Churn_Master[[#This Row],[Duree_Cumulee_Panne_Min]]/1440</f>
        <v>7.2222222222222215E-2</v>
      </c>
      <c r="H365" t="s">
        <v>560</v>
      </c>
      <c r="I365">
        <v>104</v>
      </c>
      <c r="J365" s="10">
        <v>12.37</v>
      </c>
      <c r="K365">
        <v>5</v>
      </c>
      <c r="L3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5" s="9">
        <f>Clients_Churn_Master[[#This Row],[Remise]]*Clients_Churn_Master[[#This Row],[Facture_Mensuelle]]</f>
        <v>0</v>
      </c>
    </row>
    <row r="366" spans="1:13" x14ac:dyDescent="0.25">
      <c r="A366" t="s">
        <v>1696</v>
      </c>
      <c r="B366" t="s">
        <v>923</v>
      </c>
      <c r="C366" s="7">
        <f>Clients_Churn_Master[[#This Row],[Anciennete_Mois]]/12</f>
        <v>6.5</v>
      </c>
      <c r="D366" t="s">
        <v>21</v>
      </c>
      <c r="E366">
        <v>78</v>
      </c>
      <c r="F366" t="str">
        <f>IF(Clients_Churn_Master[[#This Row],[Type_Forfait]]="Pro Monde","B2B","B2C")</f>
        <v>B2C</v>
      </c>
      <c r="G366" s="4">
        <f>Clients_Churn_Master[[#This Row],[Duree_Cumulee_Panne_Min]]/1440</f>
        <v>0.26874999999999999</v>
      </c>
      <c r="H366" t="s">
        <v>564</v>
      </c>
      <c r="I366">
        <v>387</v>
      </c>
      <c r="J366" s="10">
        <v>11.63</v>
      </c>
      <c r="K366">
        <v>2</v>
      </c>
      <c r="L3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66" s="9">
        <f>Clients_Churn_Master[[#This Row],[Remise]]*Clients_Churn_Master[[#This Row],[Facture_Mensuelle]]</f>
        <v>5.2335000000000003</v>
      </c>
    </row>
    <row r="367" spans="1:13" x14ac:dyDescent="0.25">
      <c r="A367" t="s">
        <v>1701</v>
      </c>
      <c r="B367" t="s">
        <v>924</v>
      </c>
      <c r="C367" s="7">
        <f>Clients_Churn_Master[[#This Row],[Anciennete_Mois]]/12</f>
        <v>0.91666666666666663</v>
      </c>
      <c r="D367" t="s">
        <v>96</v>
      </c>
      <c r="E367">
        <v>11</v>
      </c>
      <c r="F367" t="str">
        <f>IF(Clients_Churn_Master[[#This Row],[Type_Forfait]]="Pro Monde","B2B","B2C")</f>
        <v>B2B</v>
      </c>
      <c r="G367" s="4">
        <f>Clients_Churn_Master[[#This Row],[Duree_Cumulee_Panne_Min]]/1440</f>
        <v>0.14861111111111111</v>
      </c>
      <c r="H367" t="s">
        <v>558</v>
      </c>
      <c r="I367">
        <v>214</v>
      </c>
      <c r="J367" s="10">
        <v>11.46</v>
      </c>
      <c r="K367">
        <v>5</v>
      </c>
      <c r="L3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67" s="9">
        <f>Clients_Churn_Master[[#This Row],[Remise]]*Clients_Churn_Master[[#This Row],[Facture_Mensuelle]]</f>
        <v>1.1460000000000001</v>
      </c>
    </row>
    <row r="368" spans="1:13" x14ac:dyDescent="0.25">
      <c r="A368" t="s">
        <v>1702</v>
      </c>
      <c r="B368" t="s">
        <v>925</v>
      </c>
      <c r="C368" s="7">
        <f>Clients_Churn_Master[[#This Row],[Anciennete_Mois]]/12</f>
        <v>6.666666666666667</v>
      </c>
      <c r="D368" t="s">
        <v>67</v>
      </c>
      <c r="E368">
        <v>80</v>
      </c>
      <c r="F368" t="str">
        <f>IF(Clients_Churn_Master[[#This Row],[Type_Forfait]]="Pro Monde","B2B","B2C")</f>
        <v>B2C</v>
      </c>
      <c r="G368" s="4">
        <f>Clients_Churn_Master[[#This Row],[Duree_Cumulee_Panne_Min]]/1440</f>
        <v>0.1076388888888889</v>
      </c>
      <c r="H368" t="s">
        <v>560</v>
      </c>
      <c r="I368">
        <v>155</v>
      </c>
      <c r="J368" s="10">
        <v>28.96</v>
      </c>
      <c r="K368">
        <v>2</v>
      </c>
      <c r="L3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8" s="9">
        <f>Clients_Churn_Master[[#This Row],[Remise]]*Clients_Churn_Master[[#This Row],[Facture_Mensuelle]]</f>
        <v>0</v>
      </c>
    </row>
    <row r="369" spans="1:13" x14ac:dyDescent="0.25">
      <c r="A369" t="s">
        <v>1701</v>
      </c>
      <c r="B369" t="s">
        <v>926</v>
      </c>
      <c r="C369" s="7">
        <f>Clients_Churn_Master[[#This Row],[Anciennete_Mois]]/12</f>
        <v>9.1666666666666661</v>
      </c>
      <c r="D369" t="s">
        <v>37</v>
      </c>
      <c r="E369">
        <v>110</v>
      </c>
      <c r="F369" t="str">
        <f>IF(Clients_Churn_Master[[#This Row],[Type_Forfait]]="Pro Monde","B2B","B2C")</f>
        <v>B2C</v>
      </c>
      <c r="G369" s="4">
        <f>Clients_Churn_Master[[#This Row],[Duree_Cumulee_Panne_Min]]/1440</f>
        <v>3.2638888888888891E-2</v>
      </c>
      <c r="H369" t="s">
        <v>560</v>
      </c>
      <c r="I369">
        <v>47</v>
      </c>
      <c r="J369" s="10">
        <v>29.68</v>
      </c>
      <c r="K369">
        <v>0</v>
      </c>
      <c r="L3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9" s="9">
        <f>Clients_Churn_Master[[#This Row],[Remise]]*Clients_Churn_Master[[#This Row],[Facture_Mensuelle]]</f>
        <v>0</v>
      </c>
    </row>
    <row r="370" spans="1:13" x14ac:dyDescent="0.25">
      <c r="A370" t="s">
        <v>1698</v>
      </c>
      <c r="B370" t="s">
        <v>927</v>
      </c>
      <c r="C370" s="7">
        <f>Clients_Churn_Master[[#This Row],[Anciennete_Mois]]/12</f>
        <v>0.41666666666666669</v>
      </c>
      <c r="D370" t="s">
        <v>76</v>
      </c>
      <c r="E370">
        <v>5</v>
      </c>
      <c r="F370" t="str">
        <f>IF(Clients_Churn_Master[[#This Row],[Type_Forfait]]="Pro Monde","B2B","B2C")</f>
        <v>B2C</v>
      </c>
      <c r="G370" s="4">
        <f>Clients_Churn_Master[[#This Row],[Duree_Cumulee_Panne_Min]]/1440</f>
        <v>0.16597222222222222</v>
      </c>
      <c r="H370" t="s">
        <v>556</v>
      </c>
      <c r="I370">
        <v>239</v>
      </c>
      <c r="J370" s="10">
        <v>26.95</v>
      </c>
      <c r="K370">
        <v>2</v>
      </c>
      <c r="L3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70" s="9">
        <f>Clients_Churn_Master[[#This Row],[Remise]]*Clients_Churn_Master[[#This Row],[Facture_Mensuelle]]</f>
        <v>0</v>
      </c>
    </row>
    <row r="371" spans="1:13" x14ac:dyDescent="0.25">
      <c r="A371" t="s">
        <v>1690</v>
      </c>
      <c r="B371" t="s">
        <v>928</v>
      </c>
      <c r="C371" s="7">
        <f>Clients_Churn_Master[[#This Row],[Anciennete_Mois]]/12</f>
        <v>7.5</v>
      </c>
      <c r="D371" t="s">
        <v>24</v>
      </c>
      <c r="E371">
        <v>90</v>
      </c>
      <c r="F371" t="str">
        <f>IF(Clients_Churn_Master[[#This Row],[Type_Forfait]]="Pro Monde","B2B","B2C")</f>
        <v>B2C</v>
      </c>
      <c r="G371" s="4">
        <f>Clients_Churn_Master[[#This Row],[Duree_Cumulee_Panne_Min]]/1440</f>
        <v>0.15</v>
      </c>
      <c r="H371" t="s">
        <v>556</v>
      </c>
      <c r="I371">
        <v>216</v>
      </c>
      <c r="J371" s="10">
        <v>45.58</v>
      </c>
      <c r="K371">
        <v>0</v>
      </c>
      <c r="L3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71" s="9">
        <f>Clients_Churn_Master[[#This Row],[Remise]]*Clients_Churn_Master[[#This Row],[Facture_Mensuelle]]</f>
        <v>0</v>
      </c>
    </row>
    <row r="372" spans="1:13" x14ac:dyDescent="0.25">
      <c r="A372" t="s">
        <v>1694</v>
      </c>
      <c r="B372" t="s">
        <v>929</v>
      </c>
      <c r="C372" s="7">
        <f>Clients_Churn_Master[[#This Row],[Anciennete_Mois]]/12</f>
        <v>8.75</v>
      </c>
      <c r="D372" t="s">
        <v>82</v>
      </c>
      <c r="E372">
        <v>105</v>
      </c>
      <c r="F372" t="str">
        <f>IF(Clients_Churn_Master[[#This Row],[Type_Forfait]]="Pro Monde","B2B","B2C")</f>
        <v>B2C</v>
      </c>
      <c r="G372" s="4">
        <f>Clients_Churn_Master[[#This Row],[Duree_Cumulee_Panne_Min]]/1440</f>
        <v>2.0833333333333333E-3</v>
      </c>
      <c r="H372" t="s">
        <v>560</v>
      </c>
      <c r="I372">
        <v>3</v>
      </c>
      <c r="J372" s="10">
        <v>71.010000000000005</v>
      </c>
      <c r="K372">
        <v>1</v>
      </c>
      <c r="L3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72" s="9">
        <f>Clients_Churn_Master[[#This Row],[Remise]]*Clients_Churn_Master[[#This Row],[Facture_Mensuelle]]</f>
        <v>0</v>
      </c>
    </row>
    <row r="373" spans="1:13" x14ac:dyDescent="0.25">
      <c r="A373" t="s">
        <v>1699</v>
      </c>
      <c r="B373" t="s">
        <v>930</v>
      </c>
      <c r="C373" s="7">
        <f>Clients_Churn_Master[[#This Row],[Anciennete_Mois]]/12</f>
        <v>3.25</v>
      </c>
      <c r="D373" t="s">
        <v>96</v>
      </c>
      <c r="E373">
        <v>39</v>
      </c>
      <c r="F373" t="str">
        <f>IF(Clients_Churn_Master[[#This Row],[Type_Forfait]]="Pro Monde","B2B","B2C")</f>
        <v>B2C</v>
      </c>
      <c r="G373" s="4">
        <f>Clients_Churn_Master[[#This Row],[Duree_Cumulee_Panne_Min]]/1440</f>
        <v>0.22708333333333333</v>
      </c>
      <c r="H373" t="s">
        <v>560</v>
      </c>
      <c r="I373">
        <v>327</v>
      </c>
      <c r="J373" s="10">
        <v>87.24</v>
      </c>
      <c r="K373">
        <v>4</v>
      </c>
      <c r="L3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3" s="9">
        <f>Clients_Churn_Master[[#This Row],[Remise]]*Clients_Churn_Master[[#This Row],[Facture_Mensuelle]]</f>
        <v>39.257999999999996</v>
      </c>
    </row>
    <row r="374" spans="1:13" x14ac:dyDescent="0.25">
      <c r="A374" t="s">
        <v>1700</v>
      </c>
      <c r="B374" t="s">
        <v>931</v>
      </c>
      <c r="C374" s="7">
        <f>Clients_Churn_Master[[#This Row],[Anciennete_Mois]]/12</f>
        <v>1.75</v>
      </c>
      <c r="D374" t="s">
        <v>85</v>
      </c>
      <c r="E374">
        <v>21</v>
      </c>
      <c r="F374" t="str">
        <f>IF(Clients_Churn_Master[[#This Row],[Type_Forfait]]="Pro Monde","B2B","B2C")</f>
        <v>B2C</v>
      </c>
      <c r="G374" s="4">
        <f>Clients_Churn_Master[[#This Row],[Duree_Cumulee_Panne_Min]]/1440</f>
        <v>0.18541666666666667</v>
      </c>
      <c r="H374" t="s">
        <v>556</v>
      </c>
      <c r="I374">
        <v>267</v>
      </c>
      <c r="J374" s="10">
        <v>74.989999999999995</v>
      </c>
      <c r="K374">
        <v>1</v>
      </c>
      <c r="L3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4" s="9">
        <f>Clients_Churn_Master[[#This Row],[Remise]]*Clients_Churn_Master[[#This Row],[Facture_Mensuelle]]</f>
        <v>33.7455</v>
      </c>
    </row>
    <row r="375" spans="1:13" x14ac:dyDescent="0.25">
      <c r="A375" t="s">
        <v>1696</v>
      </c>
      <c r="B375" t="s">
        <v>932</v>
      </c>
      <c r="C375" s="7">
        <f>Clients_Churn_Master[[#This Row],[Anciennete_Mois]]/12</f>
        <v>0.75</v>
      </c>
      <c r="D375" t="s">
        <v>137</v>
      </c>
      <c r="E375">
        <v>9</v>
      </c>
      <c r="F375" t="str">
        <f>IF(Clients_Churn_Master[[#This Row],[Type_Forfait]]="Pro Monde","B2B","B2C")</f>
        <v>B2C</v>
      </c>
      <c r="G375" s="4">
        <f>Clients_Churn_Master[[#This Row],[Duree_Cumulee_Panne_Min]]/1440</f>
        <v>7.0833333333333331E-2</v>
      </c>
      <c r="H375" t="s">
        <v>560</v>
      </c>
      <c r="I375">
        <v>102</v>
      </c>
      <c r="J375" s="10">
        <v>41.52</v>
      </c>
      <c r="K375">
        <v>0</v>
      </c>
      <c r="L3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75" s="9">
        <f>Clients_Churn_Master[[#This Row],[Remise]]*Clients_Churn_Master[[#This Row],[Facture_Mensuelle]]</f>
        <v>0</v>
      </c>
    </row>
    <row r="376" spans="1:13" x14ac:dyDescent="0.25">
      <c r="A376" t="s">
        <v>1702</v>
      </c>
      <c r="B376" t="s">
        <v>933</v>
      </c>
      <c r="C376" s="7">
        <f>Clients_Churn_Master[[#This Row],[Anciennete_Mois]]/12</f>
        <v>4.416666666666667</v>
      </c>
      <c r="D376" t="s">
        <v>85</v>
      </c>
      <c r="E376">
        <v>53</v>
      </c>
      <c r="F376" t="str">
        <f>IF(Clients_Churn_Master[[#This Row],[Type_Forfait]]="Pro Monde","B2B","B2C")</f>
        <v>B2B</v>
      </c>
      <c r="G376" s="4">
        <f>Clients_Churn_Master[[#This Row],[Duree_Cumulee_Panne_Min]]/1440</f>
        <v>0.2673611111111111</v>
      </c>
      <c r="H376" t="s">
        <v>558</v>
      </c>
      <c r="I376">
        <v>385</v>
      </c>
      <c r="J376" s="10">
        <v>68.78</v>
      </c>
      <c r="K376">
        <v>3</v>
      </c>
      <c r="L3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6" s="9">
        <f>Clients_Churn_Master[[#This Row],[Remise]]*Clients_Churn_Master[[#This Row],[Facture_Mensuelle]]</f>
        <v>30.951000000000001</v>
      </c>
    </row>
    <row r="377" spans="1:13" x14ac:dyDescent="0.25">
      <c r="A377" t="s">
        <v>1689</v>
      </c>
      <c r="B377" t="s">
        <v>934</v>
      </c>
      <c r="C377" s="7">
        <f>Clients_Churn_Master[[#This Row],[Anciennete_Mois]]/12</f>
        <v>5.333333333333333</v>
      </c>
      <c r="D377" t="s">
        <v>52</v>
      </c>
      <c r="E377">
        <v>64</v>
      </c>
      <c r="F377" t="str">
        <f>IF(Clients_Churn_Master[[#This Row],[Type_Forfait]]="Pro Monde","B2B","B2C")</f>
        <v>B2B</v>
      </c>
      <c r="G377" s="4">
        <f>Clients_Churn_Master[[#This Row],[Duree_Cumulee_Panne_Min]]/1440</f>
        <v>1.0416666666666666E-2</v>
      </c>
      <c r="H377" t="s">
        <v>558</v>
      </c>
      <c r="I377">
        <v>15</v>
      </c>
      <c r="J377" s="10">
        <v>56.94</v>
      </c>
      <c r="K377">
        <v>4</v>
      </c>
      <c r="L3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77" s="9">
        <f>Clients_Churn_Master[[#This Row],[Remise]]*Clients_Churn_Master[[#This Row],[Facture_Mensuelle]]</f>
        <v>5.694</v>
      </c>
    </row>
    <row r="378" spans="1:13" x14ac:dyDescent="0.25">
      <c r="A378" t="s">
        <v>1690</v>
      </c>
      <c r="B378" t="s">
        <v>935</v>
      </c>
      <c r="C378" s="7">
        <f>Clients_Churn_Master[[#This Row],[Anciennete_Mois]]/12</f>
        <v>3.75</v>
      </c>
      <c r="D378" t="s">
        <v>96</v>
      </c>
      <c r="E378">
        <v>45</v>
      </c>
      <c r="F378" t="str">
        <f>IF(Clients_Churn_Master[[#This Row],[Type_Forfait]]="Pro Monde","B2B","B2C")</f>
        <v>B2C</v>
      </c>
      <c r="G378" s="4">
        <f>Clients_Churn_Master[[#This Row],[Duree_Cumulee_Panne_Min]]/1440</f>
        <v>0.30486111111111114</v>
      </c>
      <c r="H378" t="s">
        <v>556</v>
      </c>
      <c r="I378">
        <v>439</v>
      </c>
      <c r="J378" s="10">
        <v>13.62</v>
      </c>
      <c r="K378">
        <v>4</v>
      </c>
      <c r="L3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8" s="9">
        <f>Clients_Churn_Master[[#This Row],[Remise]]*Clients_Churn_Master[[#This Row],[Facture_Mensuelle]]</f>
        <v>6.1289999999999996</v>
      </c>
    </row>
    <row r="379" spans="1:13" x14ac:dyDescent="0.25">
      <c r="A379" t="s">
        <v>1702</v>
      </c>
      <c r="B379" t="s">
        <v>936</v>
      </c>
      <c r="C379" s="7">
        <f>Clients_Churn_Master[[#This Row],[Anciennete_Mois]]/12</f>
        <v>7.166666666666667</v>
      </c>
      <c r="D379" t="s">
        <v>93</v>
      </c>
      <c r="E379">
        <v>86</v>
      </c>
      <c r="F379" t="str">
        <f>IF(Clients_Churn_Master[[#This Row],[Type_Forfait]]="Pro Monde","B2B","B2C")</f>
        <v>B2C</v>
      </c>
      <c r="G379" s="4">
        <f>Clients_Churn_Master[[#This Row],[Duree_Cumulee_Panne_Min]]/1440</f>
        <v>0.31944444444444442</v>
      </c>
      <c r="H379" t="s">
        <v>556</v>
      </c>
      <c r="I379">
        <v>460</v>
      </c>
      <c r="J379" s="10">
        <v>22.81</v>
      </c>
      <c r="K379">
        <v>4</v>
      </c>
      <c r="L3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9" s="9">
        <f>Clients_Churn_Master[[#This Row],[Remise]]*Clients_Churn_Master[[#This Row],[Facture_Mensuelle]]</f>
        <v>10.2645</v>
      </c>
    </row>
    <row r="380" spans="1:13" x14ac:dyDescent="0.25">
      <c r="A380" t="s">
        <v>1690</v>
      </c>
      <c r="B380" t="s">
        <v>937</v>
      </c>
      <c r="C380" s="7">
        <f>Clients_Churn_Master[[#This Row],[Anciennete_Mois]]/12</f>
        <v>3.75</v>
      </c>
      <c r="D380" t="s">
        <v>76</v>
      </c>
      <c r="E380">
        <v>45</v>
      </c>
      <c r="F380" t="str">
        <f>IF(Clients_Churn_Master[[#This Row],[Type_Forfait]]="Pro Monde","B2B","B2C")</f>
        <v>B2C</v>
      </c>
      <c r="G380" s="4">
        <f>Clients_Churn_Master[[#This Row],[Duree_Cumulee_Panne_Min]]/1440</f>
        <v>1.8055555555555554E-2</v>
      </c>
      <c r="H380" t="s">
        <v>560</v>
      </c>
      <c r="I380">
        <v>26</v>
      </c>
      <c r="J380" s="10">
        <v>30.35</v>
      </c>
      <c r="K380">
        <v>1</v>
      </c>
      <c r="L3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0" s="9">
        <f>Clients_Churn_Master[[#This Row],[Remise]]*Clients_Churn_Master[[#This Row],[Facture_Mensuelle]]</f>
        <v>0</v>
      </c>
    </row>
    <row r="381" spans="1:13" x14ac:dyDescent="0.25">
      <c r="A381" t="s">
        <v>1690</v>
      </c>
      <c r="B381" t="s">
        <v>938</v>
      </c>
      <c r="C381" s="7">
        <f>Clients_Churn_Master[[#This Row],[Anciennete_Mois]]/12</f>
        <v>8.4166666666666661</v>
      </c>
      <c r="D381" t="s">
        <v>45</v>
      </c>
      <c r="E381">
        <v>101</v>
      </c>
      <c r="F381" t="str">
        <f>IF(Clients_Churn_Master[[#This Row],[Type_Forfait]]="Pro Monde","B2B","B2C")</f>
        <v>B2C</v>
      </c>
      <c r="G381" s="4">
        <f>Clients_Churn_Master[[#This Row],[Duree_Cumulee_Panne_Min]]/1440</f>
        <v>0.33055555555555555</v>
      </c>
      <c r="H381" t="s">
        <v>564</v>
      </c>
      <c r="I381">
        <v>476</v>
      </c>
      <c r="J381" s="10">
        <v>41.85</v>
      </c>
      <c r="K381">
        <v>4</v>
      </c>
      <c r="L3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1" s="9">
        <f>Clients_Churn_Master[[#This Row],[Remise]]*Clients_Churn_Master[[#This Row],[Facture_Mensuelle]]</f>
        <v>18.8325</v>
      </c>
    </row>
    <row r="382" spans="1:13" x14ac:dyDescent="0.25">
      <c r="A382" t="s">
        <v>1698</v>
      </c>
      <c r="B382" t="s">
        <v>939</v>
      </c>
      <c r="C382" s="7">
        <f>Clients_Churn_Master[[#This Row],[Anciennete_Mois]]/12</f>
        <v>1.75</v>
      </c>
      <c r="D382" t="s">
        <v>55</v>
      </c>
      <c r="E382">
        <v>21</v>
      </c>
      <c r="F382" t="str">
        <f>IF(Clients_Churn_Master[[#This Row],[Type_Forfait]]="Pro Monde","B2B","B2C")</f>
        <v>B2C</v>
      </c>
      <c r="G382" s="4">
        <f>Clients_Churn_Master[[#This Row],[Duree_Cumulee_Panne_Min]]/1440</f>
        <v>7.4305555555555555E-2</v>
      </c>
      <c r="H382" t="s">
        <v>560</v>
      </c>
      <c r="I382">
        <v>107</v>
      </c>
      <c r="J382" s="10">
        <v>30.97</v>
      </c>
      <c r="K382">
        <v>4</v>
      </c>
      <c r="L3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2" s="9">
        <f>Clients_Churn_Master[[#This Row],[Remise]]*Clients_Churn_Master[[#This Row],[Facture_Mensuelle]]</f>
        <v>0</v>
      </c>
    </row>
    <row r="383" spans="1:13" x14ac:dyDescent="0.25">
      <c r="A383" t="s">
        <v>1696</v>
      </c>
      <c r="B383" t="s">
        <v>940</v>
      </c>
      <c r="C383" s="7">
        <f>Clients_Churn_Master[[#This Row],[Anciennete_Mois]]/12</f>
        <v>4.666666666666667</v>
      </c>
      <c r="D383" t="s">
        <v>67</v>
      </c>
      <c r="E383">
        <v>56</v>
      </c>
      <c r="F383" t="str">
        <f>IF(Clients_Churn_Master[[#This Row],[Type_Forfait]]="Pro Monde","B2B","B2C")</f>
        <v>B2C</v>
      </c>
      <c r="G383" s="4">
        <f>Clients_Churn_Master[[#This Row],[Duree_Cumulee_Panne_Min]]/1440</f>
        <v>2.8472222222222222E-2</v>
      </c>
      <c r="H383" t="s">
        <v>560</v>
      </c>
      <c r="I383">
        <v>41</v>
      </c>
      <c r="J383" s="10">
        <v>15.1</v>
      </c>
      <c r="K383">
        <v>5</v>
      </c>
      <c r="L3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3" s="9">
        <f>Clients_Churn_Master[[#This Row],[Remise]]*Clients_Churn_Master[[#This Row],[Facture_Mensuelle]]</f>
        <v>0</v>
      </c>
    </row>
    <row r="384" spans="1:13" x14ac:dyDescent="0.25">
      <c r="A384" t="s">
        <v>1689</v>
      </c>
      <c r="B384" t="s">
        <v>941</v>
      </c>
      <c r="C384" s="7">
        <f>Clients_Churn_Master[[#This Row],[Anciennete_Mois]]/12</f>
        <v>4.583333333333333</v>
      </c>
      <c r="D384" t="s">
        <v>49</v>
      </c>
      <c r="E384">
        <v>55</v>
      </c>
      <c r="F384" t="str">
        <f>IF(Clients_Churn_Master[[#This Row],[Type_Forfait]]="Pro Monde","B2B","B2C")</f>
        <v>B2C</v>
      </c>
      <c r="G384" s="4">
        <f>Clients_Churn_Master[[#This Row],[Duree_Cumulee_Panne_Min]]/1440</f>
        <v>0.34305555555555556</v>
      </c>
      <c r="H384" t="s">
        <v>560</v>
      </c>
      <c r="I384">
        <v>494</v>
      </c>
      <c r="J384" s="10">
        <v>77.599999999999994</v>
      </c>
      <c r="K384">
        <v>4</v>
      </c>
      <c r="L3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4" s="9">
        <f>Clients_Churn_Master[[#This Row],[Remise]]*Clients_Churn_Master[[#This Row],[Facture_Mensuelle]]</f>
        <v>34.92</v>
      </c>
    </row>
    <row r="385" spans="1:13" x14ac:dyDescent="0.25">
      <c r="A385" t="s">
        <v>1700</v>
      </c>
      <c r="B385" t="s">
        <v>942</v>
      </c>
      <c r="C385" s="7">
        <f>Clients_Churn_Master[[#This Row],[Anciennete_Mois]]/12</f>
        <v>0.16666666666666666</v>
      </c>
      <c r="D385" t="s">
        <v>62</v>
      </c>
      <c r="E385">
        <v>2</v>
      </c>
      <c r="F385" t="str">
        <f>IF(Clients_Churn_Master[[#This Row],[Type_Forfait]]="Pro Monde","B2B","B2C")</f>
        <v>B2B</v>
      </c>
      <c r="G385" s="4">
        <f>Clients_Churn_Master[[#This Row],[Duree_Cumulee_Panne_Min]]/1440</f>
        <v>0.33402777777777776</v>
      </c>
      <c r="H385" t="s">
        <v>558</v>
      </c>
      <c r="I385">
        <v>481</v>
      </c>
      <c r="J385" s="10">
        <v>29.37</v>
      </c>
      <c r="K385">
        <v>4</v>
      </c>
      <c r="L3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5" s="9">
        <f>Clients_Churn_Master[[#This Row],[Remise]]*Clients_Churn_Master[[#This Row],[Facture_Mensuelle]]</f>
        <v>13.2165</v>
      </c>
    </row>
    <row r="386" spans="1:13" x14ac:dyDescent="0.25">
      <c r="A386" t="s">
        <v>1701</v>
      </c>
      <c r="B386" t="s">
        <v>943</v>
      </c>
      <c r="C386" s="7">
        <f>Clients_Churn_Master[[#This Row],[Anciennete_Mois]]/12</f>
        <v>3.4166666666666665</v>
      </c>
      <c r="D386" t="s">
        <v>85</v>
      </c>
      <c r="E386">
        <v>41</v>
      </c>
      <c r="F386" t="str">
        <f>IF(Clients_Churn_Master[[#This Row],[Type_Forfait]]="Pro Monde","B2B","B2C")</f>
        <v>B2C</v>
      </c>
      <c r="G386" s="4">
        <f>Clients_Churn_Master[[#This Row],[Duree_Cumulee_Panne_Min]]/1440</f>
        <v>0.12361111111111112</v>
      </c>
      <c r="H386" t="s">
        <v>564</v>
      </c>
      <c r="I386">
        <v>178</v>
      </c>
      <c r="J386" s="10">
        <v>11.29</v>
      </c>
      <c r="K386">
        <v>4</v>
      </c>
      <c r="L3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6" s="9">
        <f>Clients_Churn_Master[[#This Row],[Remise]]*Clients_Churn_Master[[#This Row],[Facture_Mensuelle]]</f>
        <v>5.0804999999999998</v>
      </c>
    </row>
    <row r="387" spans="1:13" x14ac:dyDescent="0.25">
      <c r="A387" t="s">
        <v>1700</v>
      </c>
      <c r="B387" t="s">
        <v>944</v>
      </c>
      <c r="C387" s="7">
        <f>Clients_Churn_Master[[#This Row],[Anciennete_Mois]]/12</f>
        <v>6.833333333333333</v>
      </c>
      <c r="D387" t="s">
        <v>62</v>
      </c>
      <c r="E387">
        <v>82</v>
      </c>
      <c r="F387" t="str">
        <f>IF(Clients_Churn_Master[[#This Row],[Type_Forfait]]="Pro Monde","B2B","B2C")</f>
        <v>B2C</v>
      </c>
      <c r="G387" s="4">
        <f>Clients_Churn_Master[[#This Row],[Duree_Cumulee_Panne_Min]]/1440</f>
        <v>0.12152777777777778</v>
      </c>
      <c r="H387" t="s">
        <v>560</v>
      </c>
      <c r="I387">
        <v>175</v>
      </c>
      <c r="J387" s="10">
        <v>86.14</v>
      </c>
      <c r="K387">
        <v>1</v>
      </c>
      <c r="L3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7" s="9">
        <f>Clients_Churn_Master[[#This Row],[Remise]]*Clients_Churn_Master[[#This Row],[Facture_Mensuelle]]</f>
        <v>0</v>
      </c>
    </row>
    <row r="388" spans="1:13" x14ac:dyDescent="0.25">
      <c r="A388" t="s">
        <v>1688</v>
      </c>
      <c r="B388" t="s">
        <v>945</v>
      </c>
      <c r="C388" s="7">
        <f>Clients_Churn_Master[[#This Row],[Anciennete_Mois]]/12</f>
        <v>7.166666666666667</v>
      </c>
      <c r="D388" t="s">
        <v>133</v>
      </c>
      <c r="E388">
        <v>86</v>
      </c>
      <c r="F388" t="str">
        <f>IF(Clients_Churn_Master[[#This Row],[Type_Forfait]]="Pro Monde","B2B","B2C")</f>
        <v>B2C</v>
      </c>
      <c r="G388" s="4">
        <f>Clients_Churn_Master[[#This Row],[Duree_Cumulee_Panne_Min]]/1440</f>
        <v>7.7083333333333337E-2</v>
      </c>
      <c r="H388" t="s">
        <v>564</v>
      </c>
      <c r="I388">
        <v>111</v>
      </c>
      <c r="J388" s="10">
        <v>23.65</v>
      </c>
      <c r="K388">
        <v>0</v>
      </c>
      <c r="L3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8" s="9">
        <f>Clients_Churn_Master[[#This Row],[Remise]]*Clients_Churn_Master[[#This Row],[Facture_Mensuelle]]</f>
        <v>0</v>
      </c>
    </row>
    <row r="389" spans="1:13" x14ac:dyDescent="0.25">
      <c r="A389" t="s">
        <v>1699</v>
      </c>
      <c r="B389" t="s">
        <v>946</v>
      </c>
      <c r="C389" s="7">
        <f>Clients_Churn_Master[[#This Row],[Anciennete_Mois]]/12</f>
        <v>3.75</v>
      </c>
      <c r="D389" t="s">
        <v>55</v>
      </c>
      <c r="E389">
        <v>45</v>
      </c>
      <c r="F389" t="str">
        <f>IF(Clients_Churn_Master[[#This Row],[Type_Forfait]]="Pro Monde","B2B","B2C")</f>
        <v>B2C</v>
      </c>
      <c r="G389" s="4">
        <f>Clients_Churn_Master[[#This Row],[Duree_Cumulee_Panne_Min]]/1440</f>
        <v>0.24722222222222223</v>
      </c>
      <c r="H389" t="s">
        <v>560</v>
      </c>
      <c r="I389">
        <v>356</v>
      </c>
      <c r="J389" s="10">
        <v>33.76</v>
      </c>
      <c r="K389">
        <v>0</v>
      </c>
      <c r="L3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9" s="9">
        <f>Clients_Churn_Master[[#This Row],[Remise]]*Clients_Churn_Master[[#This Row],[Facture_Mensuelle]]</f>
        <v>15.192</v>
      </c>
    </row>
    <row r="390" spans="1:13" x14ac:dyDescent="0.25">
      <c r="A390" t="s">
        <v>1702</v>
      </c>
      <c r="B390" t="s">
        <v>947</v>
      </c>
      <c r="C390" s="7">
        <f>Clients_Churn_Master[[#This Row],[Anciennete_Mois]]/12</f>
        <v>9.25</v>
      </c>
      <c r="D390" t="s">
        <v>13</v>
      </c>
      <c r="E390">
        <v>111</v>
      </c>
      <c r="F390" t="str">
        <f>IF(Clients_Churn_Master[[#This Row],[Type_Forfait]]="Pro Monde","B2B","B2C")</f>
        <v>B2C</v>
      </c>
      <c r="G390" s="4">
        <f>Clients_Churn_Master[[#This Row],[Duree_Cumulee_Panne_Min]]/1440</f>
        <v>7.1527777777777773E-2</v>
      </c>
      <c r="H390" t="s">
        <v>564</v>
      </c>
      <c r="I390">
        <v>103</v>
      </c>
      <c r="J390" s="10">
        <v>32.06</v>
      </c>
      <c r="K390">
        <v>0</v>
      </c>
      <c r="L3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90" s="9">
        <f>Clients_Churn_Master[[#This Row],[Remise]]*Clients_Churn_Master[[#This Row],[Facture_Mensuelle]]</f>
        <v>0</v>
      </c>
    </row>
    <row r="391" spans="1:13" x14ac:dyDescent="0.25">
      <c r="A391" t="s">
        <v>1700</v>
      </c>
      <c r="B391" t="s">
        <v>948</v>
      </c>
      <c r="C391" s="7">
        <f>Clients_Churn_Master[[#This Row],[Anciennete_Mois]]/12</f>
        <v>2.8333333333333335</v>
      </c>
      <c r="D391" t="s">
        <v>76</v>
      </c>
      <c r="E391">
        <v>34</v>
      </c>
      <c r="F391" t="str">
        <f>IF(Clients_Churn_Master[[#This Row],[Type_Forfait]]="Pro Monde","B2B","B2C")</f>
        <v>B2B</v>
      </c>
      <c r="G391" s="4">
        <f>Clients_Churn_Master[[#This Row],[Duree_Cumulee_Panne_Min]]/1440</f>
        <v>4.027777777777778E-2</v>
      </c>
      <c r="H391" t="s">
        <v>558</v>
      </c>
      <c r="I391">
        <v>58</v>
      </c>
      <c r="J391" s="10">
        <v>64.349999999999994</v>
      </c>
      <c r="K391">
        <v>0</v>
      </c>
      <c r="L3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91" s="9">
        <f>Clients_Churn_Master[[#This Row],[Remise]]*Clients_Churn_Master[[#This Row],[Facture_Mensuelle]]</f>
        <v>6.4349999999999996</v>
      </c>
    </row>
    <row r="392" spans="1:13" x14ac:dyDescent="0.25">
      <c r="A392" t="s">
        <v>1700</v>
      </c>
      <c r="B392" t="s">
        <v>949</v>
      </c>
      <c r="C392" s="7">
        <f>Clients_Churn_Master[[#This Row],[Anciennete_Mois]]/12</f>
        <v>7.583333333333333</v>
      </c>
      <c r="D392" t="s">
        <v>45</v>
      </c>
      <c r="E392">
        <v>91</v>
      </c>
      <c r="F392" t="str">
        <f>IF(Clients_Churn_Master[[#This Row],[Type_Forfait]]="Pro Monde","B2B","B2C")</f>
        <v>B2C</v>
      </c>
      <c r="G392" s="4">
        <f>Clients_Churn_Master[[#This Row],[Duree_Cumulee_Panne_Min]]/1440</f>
        <v>4.3055555555555555E-2</v>
      </c>
      <c r="H392" t="s">
        <v>556</v>
      </c>
      <c r="I392">
        <v>62</v>
      </c>
      <c r="J392" s="10">
        <v>34.450000000000003</v>
      </c>
      <c r="K392">
        <v>5</v>
      </c>
      <c r="L3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92" s="9">
        <f>Clients_Churn_Master[[#This Row],[Remise]]*Clients_Churn_Master[[#This Row],[Facture_Mensuelle]]</f>
        <v>0</v>
      </c>
    </row>
    <row r="393" spans="1:13" x14ac:dyDescent="0.25">
      <c r="A393" t="s">
        <v>1702</v>
      </c>
      <c r="B393" t="s">
        <v>950</v>
      </c>
      <c r="C393" s="7">
        <f>Clients_Churn_Master[[#This Row],[Anciennete_Mois]]/12</f>
        <v>7.166666666666667</v>
      </c>
      <c r="D393" t="s">
        <v>55</v>
      </c>
      <c r="E393">
        <v>86</v>
      </c>
      <c r="F393" t="str">
        <f>IF(Clients_Churn_Master[[#This Row],[Type_Forfait]]="Pro Monde","B2B","B2C")</f>
        <v>B2B</v>
      </c>
      <c r="G393" s="4">
        <f>Clients_Churn_Master[[#This Row],[Duree_Cumulee_Panne_Min]]/1440</f>
        <v>0.17499999999999999</v>
      </c>
      <c r="H393" t="s">
        <v>558</v>
      </c>
      <c r="I393">
        <v>252</v>
      </c>
      <c r="J393" s="10">
        <v>96.5</v>
      </c>
      <c r="K393">
        <v>5</v>
      </c>
      <c r="L3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3" s="9">
        <f>Clients_Churn_Master[[#This Row],[Remise]]*Clients_Churn_Master[[#This Row],[Facture_Mensuelle]]</f>
        <v>43.425000000000004</v>
      </c>
    </row>
    <row r="394" spans="1:13" x14ac:dyDescent="0.25">
      <c r="A394" t="s">
        <v>1694</v>
      </c>
      <c r="B394" t="s">
        <v>951</v>
      </c>
      <c r="C394" s="7">
        <f>Clients_Churn_Master[[#This Row],[Anciennete_Mois]]/12</f>
        <v>7.916666666666667</v>
      </c>
      <c r="D394" t="s">
        <v>76</v>
      </c>
      <c r="E394">
        <v>95</v>
      </c>
      <c r="F394" t="str">
        <f>IF(Clients_Churn_Master[[#This Row],[Type_Forfait]]="Pro Monde","B2B","B2C")</f>
        <v>B2C</v>
      </c>
      <c r="G394" s="4">
        <f>Clients_Churn_Master[[#This Row],[Duree_Cumulee_Panne_Min]]/1440</f>
        <v>3.5416666666666666E-2</v>
      </c>
      <c r="H394" t="s">
        <v>564</v>
      </c>
      <c r="I394">
        <v>51</v>
      </c>
      <c r="J394" s="10">
        <v>94.77</v>
      </c>
      <c r="K394">
        <v>5</v>
      </c>
      <c r="L3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94" s="9">
        <f>Clients_Churn_Master[[#This Row],[Remise]]*Clients_Churn_Master[[#This Row],[Facture_Mensuelle]]</f>
        <v>0</v>
      </c>
    </row>
    <row r="395" spans="1:13" x14ac:dyDescent="0.25">
      <c r="A395" t="s">
        <v>1689</v>
      </c>
      <c r="B395" t="s">
        <v>952</v>
      </c>
      <c r="C395" s="7">
        <f>Clients_Churn_Master[[#This Row],[Anciennete_Mois]]/12</f>
        <v>3.0833333333333335</v>
      </c>
      <c r="D395" t="s">
        <v>21</v>
      </c>
      <c r="E395">
        <v>37</v>
      </c>
      <c r="F395" t="str">
        <f>IF(Clients_Churn_Master[[#This Row],[Type_Forfait]]="Pro Monde","B2B","B2C")</f>
        <v>B2B</v>
      </c>
      <c r="G395" s="4">
        <f>Clients_Churn_Master[[#This Row],[Duree_Cumulee_Panne_Min]]/1440</f>
        <v>2.5694444444444443E-2</v>
      </c>
      <c r="H395" t="s">
        <v>558</v>
      </c>
      <c r="I395">
        <v>37</v>
      </c>
      <c r="J395" s="10">
        <v>92.72</v>
      </c>
      <c r="K395">
        <v>0</v>
      </c>
      <c r="L3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95" s="9">
        <f>Clients_Churn_Master[[#This Row],[Remise]]*Clients_Churn_Master[[#This Row],[Facture_Mensuelle]]</f>
        <v>9.2720000000000002</v>
      </c>
    </row>
    <row r="396" spans="1:13" x14ac:dyDescent="0.25">
      <c r="A396" t="s">
        <v>1700</v>
      </c>
      <c r="B396" t="s">
        <v>953</v>
      </c>
      <c r="C396" s="7">
        <f>Clients_Churn_Master[[#This Row],[Anciennete_Mois]]/12</f>
        <v>4.666666666666667</v>
      </c>
      <c r="D396" t="s">
        <v>52</v>
      </c>
      <c r="E396">
        <v>56</v>
      </c>
      <c r="F396" t="str">
        <f>IF(Clients_Churn_Master[[#This Row],[Type_Forfait]]="Pro Monde","B2B","B2C")</f>
        <v>B2C</v>
      </c>
      <c r="G396" s="4">
        <f>Clients_Churn_Master[[#This Row],[Duree_Cumulee_Panne_Min]]/1440</f>
        <v>0.26319444444444445</v>
      </c>
      <c r="H396" t="s">
        <v>556</v>
      </c>
      <c r="I396">
        <v>379</v>
      </c>
      <c r="J396" s="10">
        <v>49.01</v>
      </c>
      <c r="K396">
        <v>0</v>
      </c>
      <c r="L3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6" s="9">
        <f>Clients_Churn_Master[[#This Row],[Remise]]*Clients_Churn_Master[[#This Row],[Facture_Mensuelle]]</f>
        <v>22.054500000000001</v>
      </c>
    </row>
    <row r="397" spans="1:13" x14ac:dyDescent="0.25">
      <c r="A397" t="s">
        <v>1696</v>
      </c>
      <c r="B397" t="s">
        <v>954</v>
      </c>
      <c r="C397" s="7">
        <f>Clients_Churn_Master[[#This Row],[Anciennete_Mois]]/12</f>
        <v>0.33333333333333331</v>
      </c>
      <c r="D397" t="s">
        <v>17</v>
      </c>
      <c r="E397">
        <v>4</v>
      </c>
      <c r="F397" t="str">
        <f>IF(Clients_Churn_Master[[#This Row],[Type_Forfait]]="Pro Monde","B2B","B2C")</f>
        <v>B2B</v>
      </c>
      <c r="G397" s="4">
        <f>Clients_Churn_Master[[#This Row],[Duree_Cumulee_Panne_Min]]/1440</f>
        <v>0.31180555555555556</v>
      </c>
      <c r="H397" t="s">
        <v>558</v>
      </c>
      <c r="I397">
        <v>449</v>
      </c>
      <c r="J397" s="10">
        <v>43.95</v>
      </c>
      <c r="K397">
        <v>2</v>
      </c>
      <c r="L3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7" s="9">
        <f>Clients_Churn_Master[[#This Row],[Remise]]*Clients_Churn_Master[[#This Row],[Facture_Mensuelle]]</f>
        <v>19.777500000000003</v>
      </c>
    </row>
    <row r="398" spans="1:13" x14ac:dyDescent="0.25">
      <c r="A398" t="s">
        <v>1690</v>
      </c>
      <c r="B398" t="s">
        <v>955</v>
      </c>
      <c r="C398" s="7">
        <f>Clients_Churn_Master[[#This Row],[Anciennete_Mois]]/12</f>
        <v>1.0833333333333333</v>
      </c>
      <c r="D398" t="s">
        <v>96</v>
      </c>
      <c r="E398">
        <v>13</v>
      </c>
      <c r="F398" t="str">
        <f>IF(Clients_Churn_Master[[#This Row],[Type_Forfait]]="Pro Monde","B2B","B2C")</f>
        <v>B2B</v>
      </c>
      <c r="G398" s="4">
        <f>Clients_Churn_Master[[#This Row],[Duree_Cumulee_Panne_Min]]/1440</f>
        <v>0.12013888888888889</v>
      </c>
      <c r="H398" t="s">
        <v>558</v>
      </c>
      <c r="I398">
        <v>173</v>
      </c>
      <c r="J398" s="10">
        <v>85.54</v>
      </c>
      <c r="K398">
        <v>3</v>
      </c>
      <c r="L3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98" s="9">
        <f>Clients_Churn_Master[[#This Row],[Remise]]*Clients_Churn_Master[[#This Row],[Facture_Mensuelle]]</f>
        <v>8.5540000000000003</v>
      </c>
    </row>
    <row r="399" spans="1:13" x14ac:dyDescent="0.25">
      <c r="A399" t="s">
        <v>1702</v>
      </c>
      <c r="B399" t="s">
        <v>956</v>
      </c>
      <c r="C399" s="7">
        <f>Clients_Churn_Master[[#This Row],[Anciennete_Mois]]/12</f>
        <v>5.833333333333333</v>
      </c>
      <c r="D399" t="s">
        <v>76</v>
      </c>
      <c r="E399">
        <v>70</v>
      </c>
      <c r="F399" t="str">
        <f>IF(Clients_Churn_Master[[#This Row],[Type_Forfait]]="Pro Monde","B2B","B2C")</f>
        <v>B2B</v>
      </c>
      <c r="G399" s="4">
        <f>Clients_Churn_Master[[#This Row],[Duree_Cumulee_Panne_Min]]/1440</f>
        <v>0.2013888888888889</v>
      </c>
      <c r="H399" t="s">
        <v>558</v>
      </c>
      <c r="I399">
        <v>290</v>
      </c>
      <c r="J399" s="10">
        <v>96.31</v>
      </c>
      <c r="K399">
        <v>1</v>
      </c>
      <c r="L3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9" s="9">
        <f>Clients_Churn_Master[[#This Row],[Remise]]*Clients_Churn_Master[[#This Row],[Facture_Mensuelle]]</f>
        <v>43.339500000000001</v>
      </c>
    </row>
    <row r="400" spans="1:13" x14ac:dyDescent="0.25">
      <c r="A400" t="s">
        <v>1693</v>
      </c>
      <c r="B400" t="s">
        <v>957</v>
      </c>
      <c r="C400" s="7">
        <f>Clients_Churn_Master[[#This Row],[Anciennete_Mois]]/12</f>
        <v>4.083333333333333</v>
      </c>
      <c r="D400" t="s">
        <v>133</v>
      </c>
      <c r="E400">
        <v>49</v>
      </c>
      <c r="F400" t="str">
        <f>IF(Clients_Churn_Master[[#This Row],[Type_Forfait]]="Pro Monde","B2B","B2C")</f>
        <v>B2C</v>
      </c>
      <c r="G400" s="4">
        <f>Clients_Churn_Master[[#This Row],[Duree_Cumulee_Panne_Min]]/1440</f>
        <v>1.7361111111111112E-2</v>
      </c>
      <c r="H400" t="s">
        <v>560</v>
      </c>
      <c r="I400">
        <v>25</v>
      </c>
      <c r="J400" s="10">
        <v>22.77</v>
      </c>
      <c r="K400">
        <v>3</v>
      </c>
      <c r="L4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0" s="9">
        <f>Clients_Churn_Master[[#This Row],[Remise]]*Clients_Churn_Master[[#This Row],[Facture_Mensuelle]]</f>
        <v>0</v>
      </c>
    </row>
    <row r="401" spans="1:13" x14ac:dyDescent="0.25">
      <c r="A401" t="s">
        <v>1691</v>
      </c>
      <c r="B401" t="s">
        <v>958</v>
      </c>
      <c r="C401" s="7">
        <f>Clients_Churn_Master[[#This Row],[Anciennete_Mois]]/12</f>
        <v>0.91666666666666663</v>
      </c>
      <c r="D401" t="s">
        <v>82</v>
      </c>
      <c r="E401">
        <v>11</v>
      </c>
      <c r="F401" t="str">
        <f>IF(Clients_Churn_Master[[#This Row],[Type_Forfait]]="Pro Monde","B2B","B2C")</f>
        <v>B2C</v>
      </c>
      <c r="G401" s="4">
        <f>Clients_Churn_Master[[#This Row],[Duree_Cumulee_Panne_Min]]/1440</f>
        <v>0.14930555555555555</v>
      </c>
      <c r="H401" t="s">
        <v>556</v>
      </c>
      <c r="I401">
        <v>215</v>
      </c>
      <c r="J401" s="10">
        <v>51.99</v>
      </c>
      <c r="K401">
        <v>1</v>
      </c>
      <c r="L4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1" s="9">
        <f>Clients_Churn_Master[[#This Row],[Remise]]*Clients_Churn_Master[[#This Row],[Facture_Mensuelle]]</f>
        <v>0</v>
      </c>
    </row>
    <row r="402" spans="1:13" x14ac:dyDescent="0.25">
      <c r="A402" t="s">
        <v>1695</v>
      </c>
      <c r="B402" t="s">
        <v>959</v>
      </c>
      <c r="C402" s="7">
        <f>Clients_Churn_Master[[#This Row],[Anciennete_Mois]]/12</f>
        <v>3.3333333333333335</v>
      </c>
      <c r="D402" t="s">
        <v>37</v>
      </c>
      <c r="E402">
        <v>40</v>
      </c>
      <c r="F402" t="str">
        <f>IF(Clients_Churn_Master[[#This Row],[Type_Forfait]]="Pro Monde","B2B","B2C")</f>
        <v>B2C</v>
      </c>
      <c r="G402" s="4">
        <f>Clients_Churn_Master[[#This Row],[Duree_Cumulee_Panne_Min]]/1440</f>
        <v>0.16319444444444445</v>
      </c>
      <c r="H402" t="s">
        <v>564</v>
      </c>
      <c r="I402">
        <v>235</v>
      </c>
      <c r="J402" s="10">
        <v>15.01</v>
      </c>
      <c r="K402">
        <v>3</v>
      </c>
      <c r="L4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2" s="9">
        <f>Clients_Churn_Master[[#This Row],[Remise]]*Clients_Churn_Master[[#This Row],[Facture_Mensuelle]]</f>
        <v>6.7545000000000002</v>
      </c>
    </row>
    <row r="403" spans="1:13" x14ac:dyDescent="0.25">
      <c r="A403" t="s">
        <v>1691</v>
      </c>
      <c r="B403" t="s">
        <v>960</v>
      </c>
      <c r="C403" s="7">
        <f>Clients_Churn_Master[[#This Row],[Anciennete_Mois]]/12</f>
        <v>2.75</v>
      </c>
      <c r="D403" t="s">
        <v>52</v>
      </c>
      <c r="E403">
        <v>33</v>
      </c>
      <c r="F403" t="str">
        <f>IF(Clients_Churn_Master[[#This Row],[Type_Forfait]]="Pro Monde","B2B","B2C")</f>
        <v>B2C</v>
      </c>
      <c r="G403" s="4">
        <f>Clients_Churn_Master[[#This Row],[Duree_Cumulee_Panne_Min]]/1440</f>
        <v>0.23402777777777778</v>
      </c>
      <c r="H403" t="s">
        <v>560</v>
      </c>
      <c r="I403">
        <v>337</v>
      </c>
      <c r="J403" s="10">
        <v>62.61</v>
      </c>
      <c r="K403">
        <v>2</v>
      </c>
      <c r="L4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3" s="9">
        <f>Clients_Churn_Master[[#This Row],[Remise]]*Clients_Churn_Master[[#This Row],[Facture_Mensuelle]]</f>
        <v>28.174500000000002</v>
      </c>
    </row>
    <row r="404" spans="1:13" x14ac:dyDescent="0.25">
      <c r="A404" t="s">
        <v>1701</v>
      </c>
      <c r="B404" t="s">
        <v>961</v>
      </c>
      <c r="C404" s="7">
        <f>Clients_Churn_Master[[#This Row],[Anciennete_Mois]]/12</f>
        <v>7.583333333333333</v>
      </c>
      <c r="D404" t="s">
        <v>67</v>
      </c>
      <c r="E404">
        <v>91</v>
      </c>
      <c r="F404" t="str">
        <f>IF(Clients_Churn_Master[[#This Row],[Type_Forfait]]="Pro Monde","B2B","B2C")</f>
        <v>B2C</v>
      </c>
      <c r="G404" s="4">
        <f>Clients_Churn_Master[[#This Row],[Duree_Cumulee_Panne_Min]]/1440</f>
        <v>6.25E-2</v>
      </c>
      <c r="H404" t="s">
        <v>560</v>
      </c>
      <c r="I404">
        <v>90</v>
      </c>
      <c r="J404" s="10">
        <v>39.14</v>
      </c>
      <c r="K404">
        <v>3</v>
      </c>
      <c r="L4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4" s="9">
        <f>Clients_Churn_Master[[#This Row],[Remise]]*Clients_Churn_Master[[#This Row],[Facture_Mensuelle]]</f>
        <v>0</v>
      </c>
    </row>
    <row r="405" spans="1:13" x14ac:dyDescent="0.25">
      <c r="A405" t="s">
        <v>1698</v>
      </c>
      <c r="B405" t="s">
        <v>962</v>
      </c>
      <c r="C405" s="7">
        <f>Clients_Churn_Master[[#This Row],[Anciennete_Mois]]/12</f>
        <v>1.5</v>
      </c>
      <c r="D405" t="s">
        <v>34</v>
      </c>
      <c r="E405">
        <v>18</v>
      </c>
      <c r="F405" t="str">
        <f>IF(Clients_Churn_Master[[#This Row],[Type_Forfait]]="Pro Monde","B2B","B2C")</f>
        <v>B2B</v>
      </c>
      <c r="G405" s="4">
        <f>Clients_Churn_Master[[#This Row],[Duree_Cumulee_Panne_Min]]/1440</f>
        <v>4.9305555555555554E-2</v>
      </c>
      <c r="H405" t="s">
        <v>558</v>
      </c>
      <c r="I405">
        <v>71</v>
      </c>
      <c r="J405" s="10">
        <v>46.98</v>
      </c>
      <c r="K405">
        <v>2</v>
      </c>
      <c r="L4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05" s="9">
        <f>Clients_Churn_Master[[#This Row],[Remise]]*Clients_Churn_Master[[#This Row],[Facture_Mensuelle]]</f>
        <v>4.6979999999999995</v>
      </c>
    </row>
    <row r="406" spans="1:13" x14ac:dyDescent="0.25">
      <c r="A406" t="s">
        <v>1697</v>
      </c>
      <c r="B406" t="s">
        <v>963</v>
      </c>
      <c r="C406" s="7">
        <f>Clients_Churn_Master[[#This Row],[Anciennete_Mois]]/12</f>
        <v>9.3333333333333339</v>
      </c>
      <c r="D406" t="s">
        <v>55</v>
      </c>
      <c r="E406">
        <v>112</v>
      </c>
      <c r="F406" t="str">
        <f>IF(Clients_Churn_Master[[#This Row],[Type_Forfait]]="Pro Monde","B2B","B2C")</f>
        <v>B2C</v>
      </c>
      <c r="G406" s="4">
        <f>Clients_Churn_Master[[#This Row],[Duree_Cumulee_Panne_Min]]/1440</f>
        <v>0.31944444444444442</v>
      </c>
      <c r="H406" t="s">
        <v>564</v>
      </c>
      <c r="I406">
        <v>460</v>
      </c>
      <c r="J406" s="10">
        <v>55.47</v>
      </c>
      <c r="K406">
        <v>4</v>
      </c>
      <c r="L4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6" s="9">
        <f>Clients_Churn_Master[[#This Row],[Remise]]*Clients_Churn_Master[[#This Row],[Facture_Mensuelle]]</f>
        <v>24.961500000000001</v>
      </c>
    </row>
    <row r="407" spans="1:13" x14ac:dyDescent="0.25">
      <c r="A407" t="s">
        <v>1700</v>
      </c>
      <c r="B407" t="s">
        <v>964</v>
      </c>
      <c r="C407" s="7">
        <f>Clients_Churn_Master[[#This Row],[Anciennete_Mois]]/12</f>
        <v>2.25</v>
      </c>
      <c r="D407" t="s">
        <v>43</v>
      </c>
      <c r="E407">
        <v>27</v>
      </c>
      <c r="F407" t="str">
        <f>IF(Clients_Churn_Master[[#This Row],[Type_Forfait]]="Pro Monde","B2B","B2C")</f>
        <v>B2C</v>
      </c>
      <c r="G407" s="4">
        <f>Clients_Churn_Master[[#This Row],[Duree_Cumulee_Panne_Min]]/1440</f>
        <v>4.8611111111111112E-2</v>
      </c>
      <c r="H407" t="s">
        <v>556</v>
      </c>
      <c r="I407">
        <v>70</v>
      </c>
      <c r="J407" s="10">
        <v>20.32</v>
      </c>
      <c r="K407">
        <v>3</v>
      </c>
      <c r="L4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7" s="9">
        <f>Clients_Churn_Master[[#This Row],[Remise]]*Clients_Churn_Master[[#This Row],[Facture_Mensuelle]]</f>
        <v>0</v>
      </c>
    </row>
    <row r="408" spans="1:13" x14ac:dyDescent="0.25">
      <c r="A408" t="s">
        <v>1696</v>
      </c>
      <c r="B408" t="s">
        <v>965</v>
      </c>
      <c r="C408" s="7">
        <f>Clients_Churn_Master[[#This Row],[Anciennete_Mois]]/12</f>
        <v>7.5</v>
      </c>
      <c r="D408" t="s">
        <v>37</v>
      </c>
      <c r="E408">
        <v>90</v>
      </c>
      <c r="F408" t="str">
        <f>IF(Clients_Churn_Master[[#This Row],[Type_Forfait]]="Pro Monde","B2B","B2C")</f>
        <v>B2C</v>
      </c>
      <c r="G408" s="4">
        <f>Clients_Churn_Master[[#This Row],[Duree_Cumulee_Panne_Min]]/1440</f>
        <v>0.28611111111111109</v>
      </c>
      <c r="H408" t="s">
        <v>560</v>
      </c>
      <c r="I408">
        <v>412</v>
      </c>
      <c r="J408" s="10">
        <v>20.62</v>
      </c>
      <c r="K408">
        <v>2</v>
      </c>
      <c r="L4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8" s="9">
        <f>Clients_Churn_Master[[#This Row],[Remise]]*Clients_Churn_Master[[#This Row],[Facture_Mensuelle]]</f>
        <v>9.2789999999999999</v>
      </c>
    </row>
    <row r="409" spans="1:13" x14ac:dyDescent="0.25">
      <c r="A409" t="s">
        <v>1696</v>
      </c>
      <c r="B409" t="s">
        <v>966</v>
      </c>
      <c r="C409" s="7">
        <f>Clients_Churn_Master[[#This Row],[Anciennete_Mois]]/12</f>
        <v>2.75</v>
      </c>
      <c r="D409" t="s">
        <v>55</v>
      </c>
      <c r="E409">
        <v>33</v>
      </c>
      <c r="F409" t="str">
        <f>IF(Clients_Churn_Master[[#This Row],[Type_Forfait]]="Pro Monde","B2B","B2C")</f>
        <v>B2B</v>
      </c>
      <c r="G409" s="4">
        <f>Clients_Churn_Master[[#This Row],[Duree_Cumulee_Panne_Min]]/1440</f>
        <v>0.27152777777777776</v>
      </c>
      <c r="H409" t="s">
        <v>558</v>
      </c>
      <c r="I409">
        <v>391</v>
      </c>
      <c r="J409" s="10">
        <v>88.88</v>
      </c>
      <c r="K409">
        <v>4</v>
      </c>
      <c r="L4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9" s="9">
        <f>Clients_Churn_Master[[#This Row],[Remise]]*Clients_Churn_Master[[#This Row],[Facture_Mensuelle]]</f>
        <v>39.996000000000002</v>
      </c>
    </row>
    <row r="410" spans="1:13" x14ac:dyDescent="0.25">
      <c r="A410" t="s">
        <v>1699</v>
      </c>
      <c r="B410" t="s">
        <v>967</v>
      </c>
      <c r="C410" s="7">
        <f>Clients_Churn_Master[[#This Row],[Anciennete_Mois]]/12</f>
        <v>8.3333333333333329E-2</v>
      </c>
      <c r="D410" t="s">
        <v>47</v>
      </c>
      <c r="E410">
        <v>1</v>
      </c>
      <c r="F410" t="str">
        <f>IF(Clients_Churn_Master[[#This Row],[Type_Forfait]]="Pro Monde","B2B","B2C")</f>
        <v>B2C</v>
      </c>
      <c r="G410" s="4">
        <f>Clients_Churn_Master[[#This Row],[Duree_Cumulee_Panne_Min]]/1440</f>
        <v>0.25555555555555554</v>
      </c>
      <c r="H410" t="s">
        <v>564</v>
      </c>
      <c r="I410">
        <v>368</v>
      </c>
      <c r="J410" s="10">
        <v>35.17</v>
      </c>
      <c r="K410">
        <v>1</v>
      </c>
      <c r="L4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0" s="9">
        <f>Clients_Churn_Master[[#This Row],[Remise]]*Clients_Churn_Master[[#This Row],[Facture_Mensuelle]]</f>
        <v>15.826500000000001</v>
      </c>
    </row>
    <row r="411" spans="1:13" x14ac:dyDescent="0.25">
      <c r="A411" t="s">
        <v>1690</v>
      </c>
      <c r="B411" t="s">
        <v>968</v>
      </c>
      <c r="C411" s="7">
        <f>Clients_Churn_Master[[#This Row],[Anciennete_Mois]]/12</f>
        <v>9.75</v>
      </c>
      <c r="D411" t="s">
        <v>137</v>
      </c>
      <c r="E411">
        <v>117</v>
      </c>
      <c r="F411" t="str">
        <f>IF(Clients_Churn_Master[[#This Row],[Type_Forfait]]="Pro Monde","B2B","B2C")</f>
        <v>B2C</v>
      </c>
      <c r="G411" s="4">
        <f>Clients_Churn_Master[[#This Row],[Duree_Cumulee_Panne_Min]]/1440</f>
        <v>0.23472222222222222</v>
      </c>
      <c r="H411" t="s">
        <v>560</v>
      </c>
      <c r="I411">
        <v>338</v>
      </c>
      <c r="J411" s="10">
        <v>29.18</v>
      </c>
      <c r="K411">
        <v>5</v>
      </c>
      <c r="L4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1" s="9">
        <f>Clients_Churn_Master[[#This Row],[Remise]]*Clients_Churn_Master[[#This Row],[Facture_Mensuelle]]</f>
        <v>13.131</v>
      </c>
    </row>
    <row r="412" spans="1:13" x14ac:dyDescent="0.25">
      <c r="A412" t="s">
        <v>1694</v>
      </c>
      <c r="B412" t="s">
        <v>969</v>
      </c>
      <c r="C412" s="7">
        <f>Clients_Churn_Master[[#This Row],[Anciennete_Mois]]/12</f>
        <v>4.166666666666667</v>
      </c>
      <c r="D412" t="s">
        <v>96</v>
      </c>
      <c r="E412">
        <v>50</v>
      </c>
      <c r="F412" t="str">
        <f>IF(Clients_Churn_Master[[#This Row],[Type_Forfait]]="Pro Monde","B2B","B2C")</f>
        <v>B2C</v>
      </c>
      <c r="G412" s="4">
        <f>Clients_Churn_Master[[#This Row],[Duree_Cumulee_Panne_Min]]/1440</f>
        <v>0.30972222222222223</v>
      </c>
      <c r="H412" t="s">
        <v>560</v>
      </c>
      <c r="I412">
        <v>446</v>
      </c>
      <c r="J412" s="10">
        <v>31.56</v>
      </c>
      <c r="K412">
        <v>5</v>
      </c>
      <c r="L4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2" s="9">
        <f>Clients_Churn_Master[[#This Row],[Remise]]*Clients_Churn_Master[[#This Row],[Facture_Mensuelle]]</f>
        <v>14.202</v>
      </c>
    </row>
    <row r="413" spans="1:13" x14ac:dyDescent="0.25">
      <c r="A413" t="s">
        <v>1690</v>
      </c>
      <c r="B413" t="s">
        <v>970</v>
      </c>
      <c r="C413" s="7">
        <f>Clients_Churn_Master[[#This Row],[Anciennete_Mois]]/12</f>
        <v>6.333333333333333</v>
      </c>
      <c r="D413" t="s">
        <v>30</v>
      </c>
      <c r="E413">
        <v>76</v>
      </c>
      <c r="F413" t="str">
        <f>IF(Clients_Churn_Master[[#This Row],[Type_Forfait]]="Pro Monde","B2B","B2C")</f>
        <v>B2C</v>
      </c>
      <c r="G413" s="4">
        <f>Clients_Churn_Master[[#This Row],[Duree_Cumulee_Panne_Min]]/1440</f>
        <v>0.12986111111111112</v>
      </c>
      <c r="H413" t="s">
        <v>564</v>
      </c>
      <c r="I413">
        <v>187</v>
      </c>
      <c r="J413" s="10">
        <v>56.29</v>
      </c>
      <c r="K413">
        <v>1</v>
      </c>
      <c r="L4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13" s="9">
        <f>Clients_Churn_Master[[#This Row],[Remise]]*Clients_Churn_Master[[#This Row],[Facture_Mensuelle]]</f>
        <v>0</v>
      </c>
    </row>
    <row r="414" spans="1:13" x14ac:dyDescent="0.25">
      <c r="A414" t="s">
        <v>1697</v>
      </c>
      <c r="B414" t="s">
        <v>971</v>
      </c>
      <c r="C414" s="7">
        <f>Clients_Churn_Master[[#This Row],[Anciennete_Mois]]/12</f>
        <v>2.4166666666666665</v>
      </c>
      <c r="D414" t="s">
        <v>62</v>
      </c>
      <c r="E414">
        <v>29</v>
      </c>
      <c r="F414" t="str">
        <f>IF(Clients_Churn_Master[[#This Row],[Type_Forfait]]="Pro Monde","B2B","B2C")</f>
        <v>B2C</v>
      </c>
      <c r="G414" s="4">
        <f>Clients_Churn_Master[[#This Row],[Duree_Cumulee_Panne_Min]]/1440</f>
        <v>0.14861111111111111</v>
      </c>
      <c r="H414" t="s">
        <v>564</v>
      </c>
      <c r="I414">
        <v>214</v>
      </c>
      <c r="J414" s="10">
        <v>74.7</v>
      </c>
      <c r="K414">
        <v>3</v>
      </c>
      <c r="L4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4" s="9">
        <f>Clients_Churn_Master[[#This Row],[Remise]]*Clients_Churn_Master[[#This Row],[Facture_Mensuelle]]</f>
        <v>33.615000000000002</v>
      </c>
    </row>
    <row r="415" spans="1:13" x14ac:dyDescent="0.25">
      <c r="A415" t="s">
        <v>1699</v>
      </c>
      <c r="B415" t="s">
        <v>972</v>
      </c>
      <c r="C415" s="7">
        <f>Clients_Churn_Master[[#This Row],[Anciennete_Mois]]/12</f>
        <v>7.333333333333333</v>
      </c>
      <c r="D415" t="s">
        <v>133</v>
      </c>
      <c r="E415">
        <v>88</v>
      </c>
      <c r="F415" t="str">
        <f>IF(Clients_Churn_Master[[#This Row],[Type_Forfait]]="Pro Monde","B2B","B2C")</f>
        <v>B2C</v>
      </c>
      <c r="G415" s="4">
        <f>Clients_Churn_Master[[#This Row],[Duree_Cumulee_Panne_Min]]/1440</f>
        <v>0.32916666666666666</v>
      </c>
      <c r="H415" t="s">
        <v>556</v>
      </c>
      <c r="I415">
        <v>474</v>
      </c>
      <c r="J415" s="10">
        <v>23.35</v>
      </c>
      <c r="K415">
        <v>5</v>
      </c>
      <c r="L4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5" s="9">
        <f>Clients_Churn_Master[[#This Row],[Remise]]*Clients_Churn_Master[[#This Row],[Facture_Mensuelle]]</f>
        <v>10.5075</v>
      </c>
    </row>
    <row r="416" spans="1:13" x14ac:dyDescent="0.25">
      <c r="A416" t="s">
        <v>1689</v>
      </c>
      <c r="B416" t="s">
        <v>973</v>
      </c>
      <c r="C416" s="7">
        <f>Clients_Churn_Master[[#This Row],[Anciennete_Mois]]/12</f>
        <v>9.5833333333333339</v>
      </c>
      <c r="D416" t="s">
        <v>27</v>
      </c>
      <c r="E416">
        <v>115</v>
      </c>
      <c r="F416" t="str">
        <f>IF(Clients_Churn_Master[[#This Row],[Type_Forfait]]="Pro Monde","B2B","B2C")</f>
        <v>B2B</v>
      </c>
      <c r="G416" s="4">
        <f>Clients_Churn_Master[[#This Row],[Duree_Cumulee_Panne_Min]]/1440</f>
        <v>0.13194444444444445</v>
      </c>
      <c r="H416" t="s">
        <v>558</v>
      </c>
      <c r="I416">
        <v>190</v>
      </c>
      <c r="J416" s="10">
        <v>10.98</v>
      </c>
      <c r="K416">
        <v>0</v>
      </c>
      <c r="L4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16" s="9">
        <f>Clients_Churn_Master[[#This Row],[Remise]]*Clients_Churn_Master[[#This Row],[Facture_Mensuelle]]</f>
        <v>1.0980000000000001</v>
      </c>
    </row>
    <row r="417" spans="1:13" x14ac:dyDescent="0.25">
      <c r="A417" t="s">
        <v>1694</v>
      </c>
      <c r="B417" t="s">
        <v>974</v>
      </c>
      <c r="C417" s="7">
        <f>Clients_Churn_Master[[#This Row],[Anciennete_Mois]]/12</f>
        <v>7</v>
      </c>
      <c r="D417" t="s">
        <v>76</v>
      </c>
      <c r="E417">
        <v>84</v>
      </c>
      <c r="F417" t="str">
        <f>IF(Clients_Churn_Master[[#This Row],[Type_Forfait]]="Pro Monde","B2B","B2C")</f>
        <v>B2C</v>
      </c>
      <c r="G417" s="4">
        <f>Clients_Churn_Master[[#This Row],[Duree_Cumulee_Panne_Min]]/1440</f>
        <v>0.16944444444444445</v>
      </c>
      <c r="H417" t="s">
        <v>556</v>
      </c>
      <c r="I417">
        <v>244</v>
      </c>
      <c r="J417" s="10">
        <v>56.34</v>
      </c>
      <c r="K417">
        <v>5</v>
      </c>
      <c r="L4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7" s="9">
        <f>Clients_Churn_Master[[#This Row],[Remise]]*Clients_Churn_Master[[#This Row],[Facture_Mensuelle]]</f>
        <v>25.353000000000002</v>
      </c>
    </row>
    <row r="418" spans="1:13" x14ac:dyDescent="0.25">
      <c r="A418" t="s">
        <v>1700</v>
      </c>
      <c r="B418" t="s">
        <v>975</v>
      </c>
      <c r="C418" s="7">
        <f>Clients_Churn_Master[[#This Row],[Anciennete_Mois]]/12</f>
        <v>1.75</v>
      </c>
      <c r="D418" t="s">
        <v>21</v>
      </c>
      <c r="E418">
        <v>21</v>
      </c>
      <c r="F418" t="str">
        <f>IF(Clients_Churn_Master[[#This Row],[Type_Forfait]]="Pro Monde","B2B","B2C")</f>
        <v>B2C</v>
      </c>
      <c r="G418" s="4">
        <f>Clients_Churn_Master[[#This Row],[Duree_Cumulee_Panne_Min]]/1440</f>
        <v>1.0416666666666666E-2</v>
      </c>
      <c r="H418" t="s">
        <v>556</v>
      </c>
      <c r="I418">
        <v>15</v>
      </c>
      <c r="J418" s="10">
        <v>57.74</v>
      </c>
      <c r="K418">
        <v>0</v>
      </c>
      <c r="L4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18" s="9">
        <f>Clients_Churn_Master[[#This Row],[Remise]]*Clients_Churn_Master[[#This Row],[Facture_Mensuelle]]</f>
        <v>0</v>
      </c>
    </row>
    <row r="419" spans="1:13" x14ac:dyDescent="0.25">
      <c r="A419" t="s">
        <v>1701</v>
      </c>
      <c r="B419" t="s">
        <v>976</v>
      </c>
      <c r="C419" s="7">
        <f>Clients_Churn_Master[[#This Row],[Anciennete_Mois]]/12</f>
        <v>1.75</v>
      </c>
      <c r="D419" t="s">
        <v>67</v>
      </c>
      <c r="E419">
        <v>21</v>
      </c>
      <c r="F419" t="str">
        <f>IF(Clients_Churn_Master[[#This Row],[Type_Forfait]]="Pro Monde","B2B","B2C")</f>
        <v>B2C</v>
      </c>
      <c r="G419" s="4">
        <f>Clients_Churn_Master[[#This Row],[Duree_Cumulee_Panne_Min]]/1440</f>
        <v>0.30833333333333335</v>
      </c>
      <c r="H419" t="s">
        <v>560</v>
      </c>
      <c r="I419">
        <v>444</v>
      </c>
      <c r="J419" s="10">
        <v>41.92</v>
      </c>
      <c r="K419">
        <v>3</v>
      </c>
      <c r="L4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9" s="9">
        <f>Clients_Churn_Master[[#This Row],[Remise]]*Clients_Churn_Master[[#This Row],[Facture_Mensuelle]]</f>
        <v>18.864000000000001</v>
      </c>
    </row>
    <row r="420" spans="1:13" x14ac:dyDescent="0.25">
      <c r="A420" t="s">
        <v>1695</v>
      </c>
      <c r="B420" t="s">
        <v>977</v>
      </c>
      <c r="C420" s="7">
        <f>Clients_Churn_Master[[#This Row],[Anciennete_Mois]]/12</f>
        <v>7.666666666666667</v>
      </c>
      <c r="D420" t="s">
        <v>27</v>
      </c>
      <c r="E420">
        <v>92</v>
      </c>
      <c r="F420" t="str">
        <f>IF(Clients_Churn_Master[[#This Row],[Type_Forfait]]="Pro Monde","B2B","B2C")</f>
        <v>B2C</v>
      </c>
      <c r="G420" s="4">
        <f>Clients_Churn_Master[[#This Row],[Duree_Cumulee_Panne_Min]]/1440</f>
        <v>0.26319444444444445</v>
      </c>
      <c r="H420" t="s">
        <v>556</v>
      </c>
      <c r="I420">
        <v>379</v>
      </c>
      <c r="J420" s="10">
        <v>70.08</v>
      </c>
      <c r="K420">
        <v>5</v>
      </c>
      <c r="L4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0" s="9">
        <f>Clients_Churn_Master[[#This Row],[Remise]]*Clients_Churn_Master[[#This Row],[Facture_Mensuelle]]</f>
        <v>31.536000000000001</v>
      </c>
    </row>
    <row r="421" spans="1:13" x14ac:dyDescent="0.25">
      <c r="A421" t="s">
        <v>1694</v>
      </c>
      <c r="B421" t="s">
        <v>978</v>
      </c>
      <c r="C421" s="7">
        <f>Clients_Churn_Master[[#This Row],[Anciennete_Mois]]/12</f>
        <v>9.5</v>
      </c>
      <c r="D421" t="s">
        <v>27</v>
      </c>
      <c r="E421">
        <v>114</v>
      </c>
      <c r="F421" t="str">
        <f>IF(Clients_Churn_Master[[#This Row],[Type_Forfait]]="Pro Monde","B2B","B2C")</f>
        <v>B2C</v>
      </c>
      <c r="G421" s="4">
        <f>Clients_Churn_Master[[#This Row],[Duree_Cumulee_Panne_Min]]/1440</f>
        <v>0.26944444444444443</v>
      </c>
      <c r="H421" t="s">
        <v>556</v>
      </c>
      <c r="I421">
        <v>388</v>
      </c>
      <c r="J421" s="10">
        <v>40.29</v>
      </c>
      <c r="K421">
        <v>5</v>
      </c>
      <c r="L4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1" s="9">
        <f>Clients_Churn_Master[[#This Row],[Remise]]*Clients_Churn_Master[[#This Row],[Facture_Mensuelle]]</f>
        <v>18.130500000000001</v>
      </c>
    </row>
    <row r="422" spans="1:13" x14ac:dyDescent="0.25">
      <c r="A422" t="s">
        <v>1702</v>
      </c>
      <c r="B422" t="s">
        <v>979</v>
      </c>
      <c r="C422" s="7">
        <f>Clients_Churn_Master[[#This Row],[Anciennete_Mois]]/12</f>
        <v>8.1666666666666661</v>
      </c>
      <c r="D422" t="s">
        <v>37</v>
      </c>
      <c r="E422">
        <v>98</v>
      </c>
      <c r="F422" t="str">
        <f>IF(Clients_Churn_Master[[#This Row],[Type_Forfait]]="Pro Monde","B2B","B2C")</f>
        <v>B2B</v>
      </c>
      <c r="G422" s="4">
        <f>Clients_Churn_Master[[#This Row],[Duree_Cumulee_Panne_Min]]/1440</f>
        <v>0.3347222222222222</v>
      </c>
      <c r="H422" t="s">
        <v>558</v>
      </c>
      <c r="I422">
        <v>482</v>
      </c>
      <c r="J422" s="10">
        <v>55.04</v>
      </c>
      <c r="K422">
        <v>5</v>
      </c>
      <c r="L4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2" s="9">
        <f>Clients_Churn_Master[[#This Row],[Remise]]*Clients_Churn_Master[[#This Row],[Facture_Mensuelle]]</f>
        <v>24.768000000000001</v>
      </c>
    </row>
    <row r="423" spans="1:13" x14ac:dyDescent="0.25">
      <c r="A423" t="s">
        <v>1688</v>
      </c>
      <c r="B423" t="s">
        <v>980</v>
      </c>
      <c r="C423" s="7">
        <f>Clients_Churn_Master[[#This Row],[Anciennete_Mois]]/12</f>
        <v>1.25</v>
      </c>
      <c r="D423" t="s">
        <v>52</v>
      </c>
      <c r="E423">
        <v>15</v>
      </c>
      <c r="F423" t="str">
        <f>IF(Clients_Churn_Master[[#This Row],[Type_Forfait]]="Pro Monde","B2B","B2C")</f>
        <v>B2C</v>
      </c>
      <c r="G423" s="4">
        <f>Clients_Churn_Master[[#This Row],[Duree_Cumulee_Panne_Min]]/1440</f>
        <v>0.22152777777777777</v>
      </c>
      <c r="H423" t="s">
        <v>556</v>
      </c>
      <c r="I423">
        <v>319</v>
      </c>
      <c r="J423" s="10">
        <v>78.150000000000006</v>
      </c>
      <c r="K423">
        <v>4</v>
      </c>
      <c r="L4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3" s="9">
        <f>Clients_Churn_Master[[#This Row],[Remise]]*Clients_Churn_Master[[#This Row],[Facture_Mensuelle]]</f>
        <v>35.167500000000004</v>
      </c>
    </row>
    <row r="424" spans="1:13" x14ac:dyDescent="0.25">
      <c r="A424" t="s">
        <v>1696</v>
      </c>
      <c r="B424" t="s">
        <v>981</v>
      </c>
      <c r="C424" s="7">
        <f>Clients_Churn_Master[[#This Row],[Anciennete_Mois]]/12</f>
        <v>3.5</v>
      </c>
      <c r="D424" t="s">
        <v>37</v>
      </c>
      <c r="E424">
        <v>42</v>
      </c>
      <c r="F424" t="str">
        <f>IF(Clients_Churn_Master[[#This Row],[Type_Forfait]]="Pro Monde","B2B","B2C")</f>
        <v>B2C</v>
      </c>
      <c r="G424" s="4">
        <f>Clients_Churn_Master[[#This Row],[Duree_Cumulee_Panne_Min]]/1440</f>
        <v>0.17499999999999999</v>
      </c>
      <c r="H424" t="s">
        <v>556</v>
      </c>
      <c r="I424">
        <v>252</v>
      </c>
      <c r="J424" s="10">
        <v>59.46</v>
      </c>
      <c r="K424">
        <v>4</v>
      </c>
      <c r="L4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4" s="9">
        <f>Clients_Churn_Master[[#This Row],[Remise]]*Clients_Churn_Master[[#This Row],[Facture_Mensuelle]]</f>
        <v>26.757000000000001</v>
      </c>
    </row>
    <row r="425" spans="1:13" x14ac:dyDescent="0.25">
      <c r="A425" t="s">
        <v>1696</v>
      </c>
      <c r="B425" t="s">
        <v>982</v>
      </c>
      <c r="C425" s="7">
        <f>Clients_Churn_Master[[#This Row],[Anciennete_Mois]]/12</f>
        <v>0.66666666666666663</v>
      </c>
      <c r="D425" t="s">
        <v>55</v>
      </c>
      <c r="E425">
        <v>8</v>
      </c>
      <c r="F425" t="str">
        <f>IF(Clients_Churn_Master[[#This Row],[Type_Forfait]]="Pro Monde","B2B","B2C")</f>
        <v>B2C</v>
      </c>
      <c r="G425" s="4">
        <f>Clients_Churn_Master[[#This Row],[Duree_Cumulee_Panne_Min]]/1440</f>
        <v>0.11874999999999999</v>
      </c>
      <c r="H425" t="s">
        <v>556</v>
      </c>
      <c r="I425">
        <v>171</v>
      </c>
      <c r="J425" s="10">
        <v>52.98</v>
      </c>
      <c r="K425">
        <v>0</v>
      </c>
      <c r="L4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25" s="9">
        <f>Clients_Churn_Master[[#This Row],[Remise]]*Clients_Churn_Master[[#This Row],[Facture_Mensuelle]]</f>
        <v>0</v>
      </c>
    </row>
    <row r="426" spans="1:13" x14ac:dyDescent="0.25">
      <c r="A426" t="s">
        <v>1702</v>
      </c>
      <c r="B426" t="s">
        <v>983</v>
      </c>
      <c r="C426" s="7">
        <f>Clients_Churn_Master[[#This Row],[Anciennete_Mois]]/12</f>
        <v>1</v>
      </c>
      <c r="D426" t="s">
        <v>41</v>
      </c>
      <c r="E426">
        <v>12</v>
      </c>
      <c r="F426" t="str">
        <f>IF(Clients_Churn_Master[[#This Row],[Type_Forfait]]="Pro Monde","B2B","B2C")</f>
        <v>B2B</v>
      </c>
      <c r="G426" s="4">
        <f>Clients_Churn_Master[[#This Row],[Duree_Cumulee_Panne_Min]]/1440</f>
        <v>0.21180555555555555</v>
      </c>
      <c r="H426" t="s">
        <v>558</v>
      </c>
      <c r="I426">
        <v>305</v>
      </c>
      <c r="J426" s="10">
        <v>59.96</v>
      </c>
      <c r="K426">
        <v>3</v>
      </c>
      <c r="L4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6" s="9">
        <f>Clients_Churn_Master[[#This Row],[Remise]]*Clients_Churn_Master[[#This Row],[Facture_Mensuelle]]</f>
        <v>26.981999999999999</v>
      </c>
    </row>
    <row r="427" spans="1:13" x14ac:dyDescent="0.25">
      <c r="A427" t="s">
        <v>1692</v>
      </c>
      <c r="B427" t="s">
        <v>984</v>
      </c>
      <c r="C427" s="7">
        <f>Clients_Churn_Master[[#This Row],[Anciennete_Mois]]/12</f>
        <v>2.4166666666666665</v>
      </c>
      <c r="D427" t="s">
        <v>133</v>
      </c>
      <c r="E427">
        <v>29</v>
      </c>
      <c r="F427" t="str">
        <f>IF(Clients_Churn_Master[[#This Row],[Type_Forfait]]="Pro Monde","B2B","B2C")</f>
        <v>B2B</v>
      </c>
      <c r="G427" s="4">
        <f>Clients_Churn_Master[[#This Row],[Duree_Cumulee_Panne_Min]]/1440</f>
        <v>0.14097222222222222</v>
      </c>
      <c r="H427" t="s">
        <v>558</v>
      </c>
      <c r="I427">
        <v>203</v>
      </c>
      <c r="J427" s="10">
        <v>53.97</v>
      </c>
      <c r="K427">
        <v>5</v>
      </c>
      <c r="L4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27" s="9">
        <f>Clients_Churn_Master[[#This Row],[Remise]]*Clients_Churn_Master[[#This Row],[Facture_Mensuelle]]</f>
        <v>5.3970000000000002</v>
      </c>
    </row>
    <row r="428" spans="1:13" x14ac:dyDescent="0.25">
      <c r="A428" t="s">
        <v>1689</v>
      </c>
      <c r="B428" t="s">
        <v>985</v>
      </c>
      <c r="C428" s="7">
        <f>Clients_Churn_Master[[#This Row],[Anciennete_Mois]]/12</f>
        <v>6.666666666666667</v>
      </c>
      <c r="D428" t="s">
        <v>133</v>
      </c>
      <c r="E428">
        <v>80</v>
      </c>
      <c r="F428" t="str">
        <f>IF(Clients_Churn_Master[[#This Row],[Type_Forfait]]="Pro Monde","B2B","B2C")</f>
        <v>B2B</v>
      </c>
      <c r="G428" s="4">
        <f>Clients_Churn_Master[[#This Row],[Duree_Cumulee_Panne_Min]]/1440</f>
        <v>0.23541666666666666</v>
      </c>
      <c r="H428" t="s">
        <v>558</v>
      </c>
      <c r="I428">
        <v>339</v>
      </c>
      <c r="J428" s="10">
        <v>59.87</v>
      </c>
      <c r="K428">
        <v>0</v>
      </c>
      <c r="L4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8" s="9">
        <f>Clients_Churn_Master[[#This Row],[Remise]]*Clients_Churn_Master[[#This Row],[Facture_Mensuelle]]</f>
        <v>26.941499999999998</v>
      </c>
    </row>
    <row r="429" spans="1:13" x14ac:dyDescent="0.25">
      <c r="A429" t="s">
        <v>1702</v>
      </c>
      <c r="B429" t="s">
        <v>986</v>
      </c>
      <c r="C429" s="7">
        <f>Clients_Churn_Master[[#This Row],[Anciennete_Mois]]/12</f>
        <v>7.916666666666667</v>
      </c>
      <c r="D429" t="s">
        <v>82</v>
      </c>
      <c r="E429">
        <v>95</v>
      </c>
      <c r="F429" t="str">
        <f>IF(Clients_Churn_Master[[#This Row],[Type_Forfait]]="Pro Monde","B2B","B2C")</f>
        <v>B2C</v>
      </c>
      <c r="G429" s="4">
        <f>Clients_Churn_Master[[#This Row],[Duree_Cumulee_Panne_Min]]/1440</f>
        <v>2.2916666666666665E-2</v>
      </c>
      <c r="H429" t="s">
        <v>556</v>
      </c>
      <c r="I429">
        <v>33</v>
      </c>
      <c r="J429" s="10">
        <v>35.32</v>
      </c>
      <c r="K429">
        <v>0</v>
      </c>
      <c r="L4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29" s="9">
        <f>Clients_Churn_Master[[#This Row],[Remise]]*Clients_Churn_Master[[#This Row],[Facture_Mensuelle]]</f>
        <v>0</v>
      </c>
    </row>
    <row r="430" spans="1:13" x14ac:dyDescent="0.25">
      <c r="A430" t="s">
        <v>1695</v>
      </c>
      <c r="B430" t="s">
        <v>987</v>
      </c>
      <c r="C430" s="7">
        <f>Clients_Churn_Master[[#This Row],[Anciennete_Mois]]/12</f>
        <v>8.25</v>
      </c>
      <c r="D430" t="s">
        <v>85</v>
      </c>
      <c r="E430">
        <v>99</v>
      </c>
      <c r="F430" t="str">
        <f>IF(Clients_Churn_Master[[#This Row],[Type_Forfait]]="Pro Monde","B2B","B2C")</f>
        <v>B2B</v>
      </c>
      <c r="G430" s="4">
        <f>Clients_Churn_Master[[#This Row],[Duree_Cumulee_Panne_Min]]/1440</f>
        <v>0.11736111111111111</v>
      </c>
      <c r="H430" t="s">
        <v>558</v>
      </c>
      <c r="I430">
        <v>169</v>
      </c>
      <c r="J430" s="10">
        <v>76.75</v>
      </c>
      <c r="K430">
        <v>5</v>
      </c>
      <c r="L4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30" s="9">
        <f>Clients_Churn_Master[[#This Row],[Remise]]*Clients_Churn_Master[[#This Row],[Facture_Mensuelle]]</f>
        <v>7.6750000000000007</v>
      </c>
    </row>
    <row r="431" spans="1:13" x14ac:dyDescent="0.25">
      <c r="A431" t="s">
        <v>1689</v>
      </c>
      <c r="B431" t="s">
        <v>988</v>
      </c>
      <c r="C431" s="7">
        <f>Clients_Churn_Master[[#This Row],[Anciennete_Mois]]/12</f>
        <v>7.333333333333333</v>
      </c>
      <c r="D431" t="s">
        <v>13</v>
      </c>
      <c r="E431">
        <v>88</v>
      </c>
      <c r="F431" t="str">
        <f>IF(Clients_Churn_Master[[#This Row],[Type_Forfait]]="Pro Monde","B2B","B2C")</f>
        <v>B2C</v>
      </c>
      <c r="G431" s="4">
        <f>Clients_Churn_Master[[#This Row],[Duree_Cumulee_Panne_Min]]/1440</f>
        <v>0.24930555555555556</v>
      </c>
      <c r="H431" t="s">
        <v>564</v>
      </c>
      <c r="I431">
        <v>359</v>
      </c>
      <c r="J431" s="10">
        <v>71.19</v>
      </c>
      <c r="K431">
        <v>3</v>
      </c>
      <c r="L4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1" s="9">
        <f>Clients_Churn_Master[[#This Row],[Remise]]*Clients_Churn_Master[[#This Row],[Facture_Mensuelle]]</f>
        <v>32.035499999999999</v>
      </c>
    </row>
    <row r="432" spans="1:13" x14ac:dyDescent="0.25">
      <c r="A432" t="s">
        <v>1693</v>
      </c>
      <c r="B432" t="s">
        <v>989</v>
      </c>
      <c r="C432" s="7">
        <f>Clients_Churn_Master[[#This Row],[Anciennete_Mois]]/12</f>
        <v>0.58333333333333337</v>
      </c>
      <c r="D432" t="s">
        <v>82</v>
      </c>
      <c r="E432">
        <v>7</v>
      </c>
      <c r="F432" t="str">
        <f>IF(Clients_Churn_Master[[#This Row],[Type_Forfait]]="Pro Monde","B2B","B2C")</f>
        <v>B2C</v>
      </c>
      <c r="G432" s="4">
        <f>Clients_Churn_Master[[#This Row],[Duree_Cumulee_Panne_Min]]/1440</f>
        <v>2.9861111111111113E-2</v>
      </c>
      <c r="H432" t="s">
        <v>556</v>
      </c>
      <c r="I432">
        <v>43</v>
      </c>
      <c r="J432" s="10">
        <v>41.29</v>
      </c>
      <c r="K432">
        <v>4</v>
      </c>
      <c r="L4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32" s="9">
        <f>Clients_Churn_Master[[#This Row],[Remise]]*Clients_Churn_Master[[#This Row],[Facture_Mensuelle]]</f>
        <v>0</v>
      </c>
    </row>
    <row r="433" spans="1:13" x14ac:dyDescent="0.25">
      <c r="A433" t="s">
        <v>1696</v>
      </c>
      <c r="B433" t="s">
        <v>990</v>
      </c>
      <c r="C433" s="7">
        <f>Clients_Churn_Master[[#This Row],[Anciennete_Mois]]/12</f>
        <v>5.666666666666667</v>
      </c>
      <c r="D433" t="s">
        <v>82</v>
      </c>
      <c r="E433">
        <v>68</v>
      </c>
      <c r="F433" t="str">
        <f>IF(Clients_Churn_Master[[#This Row],[Type_Forfait]]="Pro Monde","B2B","B2C")</f>
        <v>B2B</v>
      </c>
      <c r="G433" s="4">
        <f>Clients_Churn_Master[[#This Row],[Duree_Cumulee_Panne_Min]]/1440</f>
        <v>0.19583333333333333</v>
      </c>
      <c r="H433" t="s">
        <v>558</v>
      </c>
      <c r="I433">
        <v>282</v>
      </c>
      <c r="J433" s="10">
        <v>35.43</v>
      </c>
      <c r="K433">
        <v>1</v>
      </c>
      <c r="L4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3" s="9">
        <f>Clients_Churn_Master[[#This Row],[Remise]]*Clients_Churn_Master[[#This Row],[Facture_Mensuelle]]</f>
        <v>15.9435</v>
      </c>
    </row>
    <row r="434" spans="1:13" x14ac:dyDescent="0.25">
      <c r="A434" t="s">
        <v>1702</v>
      </c>
      <c r="B434" t="s">
        <v>991</v>
      </c>
      <c r="C434" s="7">
        <f>Clients_Churn_Master[[#This Row],[Anciennete_Mois]]/12</f>
        <v>0.91666666666666663</v>
      </c>
      <c r="D434" t="s">
        <v>43</v>
      </c>
      <c r="E434">
        <v>11</v>
      </c>
      <c r="F434" t="str">
        <f>IF(Clients_Churn_Master[[#This Row],[Type_Forfait]]="Pro Monde","B2B","B2C")</f>
        <v>B2C</v>
      </c>
      <c r="G434" s="4">
        <f>Clients_Churn_Master[[#This Row],[Duree_Cumulee_Panne_Min]]/1440</f>
        <v>0.27916666666666667</v>
      </c>
      <c r="H434" t="s">
        <v>556</v>
      </c>
      <c r="I434">
        <v>402</v>
      </c>
      <c r="J434" s="10">
        <v>69.599999999999994</v>
      </c>
      <c r="K434">
        <v>5</v>
      </c>
      <c r="L4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4" s="9">
        <f>Clients_Churn_Master[[#This Row],[Remise]]*Clients_Churn_Master[[#This Row],[Facture_Mensuelle]]</f>
        <v>31.319999999999997</v>
      </c>
    </row>
    <row r="435" spans="1:13" x14ac:dyDescent="0.25">
      <c r="A435" t="s">
        <v>1689</v>
      </c>
      <c r="B435" t="s">
        <v>992</v>
      </c>
      <c r="C435" s="7">
        <f>Clients_Churn_Master[[#This Row],[Anciennete_Mois]]/12</f>
        <v>8.3333333333333329E-2</v>
      </c>
      <c r="D435" t="s">
        <v>17</v>
      </c>
      <c r="E435">
        <v>1</v>
      </c>
      <c r="F435" t="str">
        <f>IF(Clients_Churn_Master[[#This Row],[Type_Forfait]]="Pro Monde","B2B","B2C")</f>
        <v>B2C</v>
      </c>
      <c r="G435" s="4">
        <f>Clients_Churn_Master[[#This Row],[Duree_Cumulee_Panne_Min]]/1440</f>
        <v>0.14791666666666667</v>
      </c>
      <c r="H435" t="s">
        <v>560</v>
      </c>
      <c r="I435">
        <v>213</v>
      </c>
      <c r="J435" s="10">
        <v>52.16</v>
      </c>
      <c r="K435">
        <v>3</v>
      </c>
      <c r="L4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35" s="9">
        <f>Clients_Churn_Master[[#This Row],[Remise]]*Clients_Churn_Master[[#This Row],[Facture_Mensuelle]]</f>
        <v>0</v>
      </c>
    </row>
    <row r="436" spans="1:13" x14ac:dyDescent="0.25">
      <c r="A436" t="s">
        <v>1696</v>
      </c>
      <c r="B436" t="s">
        <v>993</v>
      </c>
      <c r="C436" s="7">
        <f>Clients_Churn_Master[[#This Row],[Anciennete_Mois]]/12</f>
        <v>8.1666666666666661</v>
      </c>
      <c r="D436" t="s">
        <v>67</v>
      </c>
      <c r="E436">
        <v>98</v>
      </c>
      <c r="F436" t="str">
        <f>IF(Clients_Churn_Master[[#This Row],[Type_Forfait]]="Pro Monde","B2B","B2C")</f>
        <v>B2B</v>
      </c>
      <c r="G436" s="4">
        <f>Clients_Churn_Master[[#This Row],[Duree_Cumulee_Panne_Min]]/1440</f>
        <v>0.11666666666666667</v>
      </c>
      <c r="H436" t="s">
        <v>558</v>
      </c>
      <c r="I436">
        <v>168</v>
      </c>
      <c r="J436" s="10">
        <v>44.14</v>
      </c>
      <c r="K436">
        <v>3</v>
      </c>
      <c r="L4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36" s="9">
        <f>Clients_Churn_Master[[#This Row],[Remise]]*Clients_Churn_Master[[#This Row],[Facture_Mensuelle]]</f>
        <v>4.4140000000000006</v>
      </c>
    </row>
    <row r="437" spans="1:13" x14ac:dyDescent="0.25">
      <c r="A437" t="s">
        <v>1688</v>
      </c>
      <c r="B437" t="s">
        <v>994</v>
      </c>
      <c r="C437" s="7">
        <f>Clients_Churn_Master[[#This Row],[Anciennete_Mois]]/12</f>
        <v>0.25</v>
      </c>
      <c r="D437" t="s">
        <v>62</v>
      </c>
      <c r="E437">
        <v>3</v>
      </c>
      <c r="F437" t="str">
        <f>IF(Clients_Churn_Master[[#This Row],[Type_Forfait]]="Pro Monde","B2B","B2C")</f>
        <v>B2C</v>
      </c>
      <c r="G437" s="4">
        <f>Clients_Churn_Master[[#This Row],[Duree_Cumulee_Panne_Min]]/1440</f>
        <v>0.24722222222222223</v>
      </c>
      <c r="H437" t="s">
        <v>560</v>
      </c>
      <c r="I437">
        <v>356</v>
      </c>
      <c r="J437" s="10">
        <v>91.6</v>
      </c>
      <c r="K437">
        <v>3</v>
      </c>
      <c r="L4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7" s="9">
        <f>Clients_Churn_Master[[#This Row],[Remise]]*Clients_Churn_Master[[#This Row],[Facture_Mensuelle]]</f>
        <v>41.22</v>
      </c>
    </row>
    <row r="438" spans="1:13" x14ac:dyDescent="0.25">
      <c r="A438" t="s">
        <v>1688</v>
      </c>
      <c r="B438" t="s">
        <v>995</v>
      </c>
      <c r="C438" s="7">
        <f>Clients_Churn_Master[[#This Row],[Anciennete_Mois]]/12</f>
        <v>7.083333333333333</v>
      </c>
      <c r="D438" t="s">
        <v>62</v>
      </c>
      <c r="E438">
        <v>85</v>
      </c>
      <c r="F438" t="str">
        <f>IF(Clients_Churn_Master[[#This Row],[Type_Forfait]]="Pro Monde","B2B","B2C")</f>
        <v>B2C</v>
      </c>
      <c r="G438" s="4">
        <f>Clients_Churn_Master[[#This Row],[Duree_Cumulee_Panne_Min]]/1440</f>
        <v>0.19027777777777777</v>
      </c>
      <c r="H438" t="s">
        <v>564</v>
      </c>
      <c r="I438">
        <v>274</v>
      </c>
      <c r="J438" s="10">
        <v>35.03</v>
      </c>
      <c r="K438">
        <v>1</v>
      </c>
      <c r="L4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8" s="9">
        <f>Clients_Churn_Master[[#This Row],[Remise]]*Clients_Churn_Master[[#This Row],[Facture_Mensuelle]]</f>
        <v>15.763500000000001</v>
      </c>
    </row>
    <row r="439" spans="1:13" x14ac:dyDescent="0.25">
      <c r="A439" t="s">
        <v>1696</v>
      </c>
      <c r="B439" t="s">
        <v>996</v>
      </c>
      <c r="C439" s="7">
        <f>Clients_Churn_Master[[#This Row],[Anciennete_Mois]]/12</f>
        <v>6.583333333333333</v>
      </c>
      <c r="D439" t="s">
        <v>34</v>
      </c>
      <c r="E439">
        <v>79</v>
      </c>
      <c r="F439" t="str">
        <f>IF(Clients_Churn_Master[[#This Row],[Type_Forfait]]="Pro Monde","B2B","B2C")</f>
        <v>B2C</v>
      </c>
      <c r="G439" s="4">
        <f>Clients_Churn_Master[[#This Row],[Duree_Cumulee_Panne_Min]]/1440</f>
        <v>0.31527777777777777</v>
      </c>
      <c r="H439" t="s">
        <v>564</v>
      </c>
      <c r="I439">
        <v>454</v>
      </c>
      <c r="J439" s="10">
        <v>80.34</v>
      </c>
      <c r="K439">
        <v>2</v>
      </c>
      <c r="L4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9" s="9">
        <f>Clients_Churn_Master[[#This Row],[Remise]]*Clients_Churn_Master[[#This Row],[Facture_Mensuelle]]</f>
        <v>36.153000000000006</v>
      </c>
    </row>
    <row r="440" spans="1:13" x14ac:dyDescent="0.25">
      <c r="A440" t="s">
        <v>1692</v>
      </c>
      <c r="B440" t="s">
        <v>997</v>
      </c>
      <c r="C440" s="7">
        <f>Clients_Churn_Master[[#This Row],[Anciennete_Mois]]/12</f>
        <v>5.416666666666667</v>
      </c>
      <c r="D440" t="s">
        <v>133</v>
      </c>
      <c r="E440">
        <v>65</v>
      </c>
      <c r="F440" t="str">
        <f>IF(Clients_Churn_Master[[#This Row],[Type_Forfait]]="Pro Monde","B2B","B2C")</f>
        <v>B2C</v>
      </c>
      <c r="G440" s="4">
        <f>Clients_Churn_Master[[#This Row],[Duree_Cumulee_Panne_Min]]/1440</f>
        <v>0.30694444444444446</v>
      </c>
      <c r="H440" t="s">
        <v>556</v>
      </c>
      <c r="I440">
        <v>442</v>
      </c>
      <c r="J440" s="10">
        <v>60.62</v>
      </c>
      <c r="K440">
        <v>5</v>
      </c>
      <c r="L4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0" s="9">
        <f>Clients_Churn_Master[[#This Row],[Remise]]*Clients_Churn_Master[[#This Row],[Facture_Mensuelle]]</f>
        <v>27.279</v>
      </c>
    </row>
    <row r="441" spans="1:13" x14ac:dyDescent="0.25">
      <c r="A441" t="s">
        <v>1690</v>
      </c>
      <c r="B441" t="s">
        <v>998</v>
      </c>
      <c r="C441" s="7">
        <f>Clients_Churn_Master[[#This Row],[Anciennete_Mois]]/12</f>
        <v>0.16666666666666666</v>
      </c>
      <c r="D441" t="s">
        <v>76</v>
      </c>
      <c r="E441">
        <v>2</v>
      </c>
      <c r="F441" t="str">
        <f>IF(Clients_Churn_Master[[#This Row],[Type_Forfait]]="Pro Monde","B2B","B2C")</f>
        <v>B2C</v>
      </c>
      <c r="G441" s="4">
        <f>Clients_Churn_Master[[#This Row],[Duree_Cumulee_Panne_Min]]/1440</f>
        <v>1.4583333333333334E-2</v>
      </c>
      <c r="H441" t="s">
        <v>564</v>
      </c>
      <c r="I441">
        <v>21</v>
      </c>
      <c r="J441" s="10">
        <v>51.68</v>
      </c>
      <c r="K441">
        <v>3</v>
      </c>
      <c r="L4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1" s="9">
        <f>Clients_Churn_Master[[#This Row],[Remise]]*Clients_Churn_Master[[#This Row],[Facture_Mensuelle]]</f>
        <v>23.256</v>
      </c>
    </row>
    <row r="442" spans="1:13" x14ac:dyDescent="0.25">
      <c r="A442" t="s">
        <v>1702</v>
      </c>
      <c r="B442" t="s">
        <v>999</v>
      </c>
      <c r="C442" s="7">
        <f>Clients_Churn_Master[[#This Row],[Anciennete_Mois]]/12</f>
        <v>4.25</v>
      </c>
      <c r="D442" t="s">
        <v>37</v>
      </c>
      <c r="E442">
        <v>51</v>
      </c>
      <c r="F442" t="str">
        <f>IF(Clients_Churn_Master[[#This Row],[Type_Forfait]]="Pro Monde","B2B","B2C")</f>
        <v>B2C</v>
      </c>
      <c r="G442" s="4">
        <f>Clients_Churn_Master[[#This Row],[Duree_Cumulee_Panne_Min]]/1440</f>
        <v>4.027777777777778E-2</v>
      </c>
      <c r="H442" t="s">
        <v>560</v>
      </c>
      <c r="I442">
        <v>58</v>
      </c>
      <c r="J442" s="10">
        <v>34.6</v>
      </c>
      <c r="K442">
        <v>5</v>
      </c>
      <c r="L4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42" s="9">
        <f>Clients_Churn_Master[[#This Row],[Remise]]*Clients_Churn_Master[[#This Row],[Facture_Mensuelle]]</f>
        <v>0</v>
      </c>
    </row>
    <row r="443" spans="1:13" x14ac:dyDescent="0.25">
      <c r="A443" t="s">
        <v>1694</v>
      </c>
      <c r="B443" t="s">
        <v>1000</v>
      </c>
      <c r="C443" s="7">
        <f>Clients_Churn_Master[[#This Row],[Anciennete_Mois]]/12</f>
        <v>5.25</v>
      </c>
      <c r="D443" t="s">
        <v>34</v>
      </c>
      <c r="E443">
        <v>63</v>
      </c>
      <c r="F443" t="str">
        <f>IF(Clients_Churn_Master[[#This Row],[Type_Forfait]]="Pro Monde","B2B","B2C")</f>
        <v>B2B</v>
      </c>
      <c r="G443" s="4">
        <f>Clients_Churn_Master[[#This Row],[Duree_Cumulee_Panne_Min]]/1440</f>
        <v>9.7916666666666666E-2</v>
      </c>
      <c r="H443" t="s">
        <v>558</v>
      </c>
      <c r="I443">
        <v>141</v>
      </c>
      <c r="J443" s="10">
        <v>95.6</v>
      </c>
      <c r="K443">
        <v>4</v>
      </c>
      <c r="L4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43" s="9">
        <f>Clients_Churn_Master[[#This Row],[Remise]]*Clients_Churn_Master[[#This Row],[Facture_Mensuelle]]</f>
        <v>9.56</v>
      </c>
    </row>
    <row r="444" spans="1:13" x14ac:dyDescent="0.25">
      <c r="A444" t="s">
        <v>1697</v>
      </c>
      <c r="B444" t="s">
        <v>1001</v>
      </c>
      <c r="C444" s="7">
        <f>Clients_Churn_Master[[#This Row],[Anciennete_Mois]]/12</f>
        <v>8.4166666666666661</v>
      </c>
      <c r="D444" t="s">
        <v>93</v>
      </c>
      <c r="E444">
        <v>101</v>
      </c>
      <c r="F444" t="str">
        <f>IF(Clients_Churn_Master[[#This Row],[Type_Forfait]]="Pro Monde","B2B","B2C")</f>
        <v>B2B</v>
      </c>
      <c r="G444" s="4">
        <f>Clients_Churn_Master[[#This Row],[Duree_Cumulee_Panne_Min]]/1440</f>
        <v>0.23125000000000001</v>
      </c>
      <c r="H444" t="s">
        <v>558</v>
      </c>
      <c r="I444">
        <v>333</v>
      </c>
      <c r="J444" s="10">
        <v>74.319999999999993</v>
      </c>
      <c r="K444">
        <v>1</v>
      </c>
      <c r="L4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4" s="9">
        <f>Clients_Churn_Master[[#This Row],[Remise]]*Clients_Churn_Master[[#This Row],[Facture_Mensuelle]]</f>
        <v>33.443999999999996</v>
      </c>
    </row>
    <row r="445" spans="1:13" x14ac:dyDescent="0.25">
      <c r="A445" t="s">
        <v>1698</v>
      </c>
      <c r="B445" t="s">
        <v>1002</v>
      </c>
      <c r="C445" s="7">
        <f>Clients_Churn_Master[[#This Row],[Anciennete_Mois]]/12</f>
        <v>2.75</v>
      </c>
      <c r="D445" t="s">
        <v>96</v>
      </c>
      <c r="E445">
        <v>33</v>
      </c>
      <c r="F445" t="str">
        <f>IF(Clients_Churn_Master[[#This Row],[Type_Forfait]]="Pro Monde","B2B","B2C")</f>
        <v>B2C</v>
      </c>
      <c r="G445" s="4">
        <f>Clients_Churn_Master[[#This Row],[Duree_Cumulee_Panne_Min]]/1440</f>
        <v>0.19791666666666666</v>
      </c>
      <c r="H445" t="s">
        <v>564</v>
      </c>
      <c r="I445">
        <v>285</v>
      </c>
      <c r="J445" s="10">
        <v>56.67</v>
      </c>
      <c r="K445">
        <v>2</v>
      </c>
      <c r="L4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5" s="9">
        <f>Clients_Churn_Master[[#This Row],[Remise]]*Clients_Churn_Master[[#This Row],[Facture_Mensuelle]]</f>
        <v>25.5015</v>
      </c>
    </row>
    <row r="446" spans="1:13" x14ac:dyDescent="0.25">
      <c r="A446" t="s">
        <v>1701</v>
      </c>
      <c r="B446" t="s">
        <v>1003</v>
      </c>
      <c r="C446" s="7">
        <f>Clients_Churn_Master[[#This Row],[Anciennete_Mois]]/12</f>
        <v>1.4166666666666667</v>
      </c>
      <c r="D446" t="s">
        <v>85</v>
      </c>
      <c r="E446">
        <v>17</v>
      </c>
      <c r="F446" t="str">
        <f>IF(Clients_Churn_Master[[#This Row],[Type_Forfait]]="Pro Monde","B2B","B2C")</f>
        <v>B2B</v>
      </c>
      <c r="G446" s="4">
        <f>Clients_Churn_Master[[#This Row],[Duree_Cumulee_Panne_Min]]/1440</f>
        <v>0.12152777777777778</v>
      </c>
      <c r="H446" t="s">
        <v>558</v>
      </c>
      <c r="I446">
        <v>175</v>
      </c>
      <c r="J446" s="10">
        <v>24.95</v>
      </c>
      <c r="K446">
        <v>4</v>
      </c>
      <c r="L4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46" s="9">
        <f>Clients_Churn_Master[[#This Row],[Remise]]*Clients_Churn_Master[[#This Row],[Facture_Mensuelle]]</f>
        <v>2.4950000000000001</v>
      </c>
    </row>
    <row r="447" spans="1:13" x14ac:dyDescent="0.25">
      <c r="A447" t="s">
        <v>1693</v>
      </c>
      <c r="B447" t="s">
        <v>1004</v>
      </c>
      <c r="C447" s="7">
        <f>Clients_Churn_Master[[#This Row],[Anciennete_Mois]]/12</f>
        <v>7.416666666666667</v>
      </c>
      <c r="D447" t="s">
        <v>55</v>
      </c>
      <c r="E447">
        <v>89</v>
      </c>
      <c r="F447" t="str">
        <f>IF(Clients_Churn_Master[[#This Row],[Type_Forfait]]="Pro Monde","B2B","B2C")</f>
        <v>B2B</v>
      </c>
      <c r="G447" s="4">
        <f>Clients_Churn_Master[[#This Row],[Duree_Cumulee_Panne_Min]]/1440</f>
        <v>0.15625</v>
      </c>
      <c r="H447" t="s">
        <v>558</v>
      </c>
      <c r="I447">
        <v>225</v>
      </c>
      <c r="J447" s="10">
        <v>38.36</v>
      </c>
      <c r="K447">
        <v>2</v>
      </c>
      <c r="L4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47" s="9">
        <f>Clients_Churn_Master[[#This Row],[Remise]]*Clients_Churn_Master[[#This Row],[Facture_Mensuelle]]</f>
        <v>3.8360000000000003</v>
      </c>
    </row>
    <row r="448" spans="1:13" x14ac:dyDescent="0.25">
      <c r="A448" t="s">
        <v>1691</v>
      </c>
      <c r="B448" t="s">
        <v>1005</v>
      </c>
      <c r="C448" s="7">
        <f>Clients_Churn_Master[[#This Row],[Anciennete_Mois]]/12</f>
        <v>7.333333333333333</v>
      </c>
      <c r="D448" t="s">
        <v>55</v>
      </c>
      <c r="E448">
        <v>88</v>
      </c>
      <c r="F448" t="str">
        <f>IF(Clients_Churn_Master[[#This Row],[Type_Forfait]]="Pro Monde","B2B","B2C")</f>
        <v>B2C</v>
      </c>
      <c r="G448" s="4">
        <f>Clients_Churn_Master[[#This Row],[Duree_Cumulee_Panne_Min]]/1440</f>
        <v>0.16111111111111112</v>
      </c>
      <c r="H448" t="s">
        <v>564</v>
      </c>
      <c r="I448">
        <v>232</v>
      </c>
      <c r="J448" s="10">
        <v>40.94</v>
      </c>
      <c r="K448">
        <v>2</v>
      </c>
      <c r="L4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48" s="9">
        <f>Clients_Churn_Master[[#This Row],[Remise]]*Clients_Churn_Master[[#This Row],[Facture_Mensuelle]]</f>
        <v>0</v>
      </c>
    </row>
    <row r="449" spans="1:13" x14ac:dyDescent="0.25">
      <c r="A449" t="s">
        <v>1690</v>
      </c>
      <c r="B449" t="s">
        <v>1006</v>
      </c>
      <c r="C449" s="7">
        <f>Clients_Churn_Master[[#This Row],[Anciennete_Mois]]/12</f>
        <v>2.4166666666666665</v>
      </c>
      <c r="D449" t="s">
        <v>62</v>
      </c>
      <c r="E449">
        <v>29</v>
      </c>
      <c r="F449" t="str">
        <f>IF(Clients_Churn_Master[[#This Row],[Type_Forfait]]="Pro Monde","B2B","B2C")</f>
        <v>B2C</v>
      </c>
      <c r="G449" s="4">
        <f>Clients_Churn_Master[[#This Row],[Duree_Cumulee_Panne_Min]]/1440</f>
        <v>0.24305555555555555</v>
      </c>
      <c r="H449" t="s">
        <v>564</v>
      </c>
      <c r="I449">
        <v>350</v>
      </c>
      <c r="J449" s="10">
        <v>84.32</v>
      </c>
      <c r="K449">
        <v>3</v>
      </c>
      <c r="L4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9" s="9">
        <f>Clients_Churn_Master[[#This Row],[Remise]]*Clients_Churn_Master[[#This Row],[Facture_Mensuelle]]</f>
        <v>37.943999999999996</v>
      </c>
    </row>
    <row r="450" spans="1:13" x14ac:dyDescent="0.25">
      <c r="A450" t="s">
        <v>1696</v>
      </c>
      <c r="B450" t="s">
        <v>1007</v>
      </c>
      <c r="C450" s="7">
        <f>Clients_Churn_Master[[#This Row],[Anciennete_Mois]]/12</f>
        <v>4</v>
      </c>
      <c r="D450" t="s">
        <v>30</v>
      </c>
      <c r="E450">
        <v>48</v>
      </c>
      <c r="F450" t="str">
        <f>IF(Clients_Churn_Master[[#This Row],[Type_Forfait]]="Pro Monde","B2B","B2C")</f>
        <v>B2C</v>
      </c>
      <c r="G450" s="4">
        <f>Clients_Churn_Master[[#This Row],[Duree_Cumulee_Panne_Min]]/1440</f>
        <v>0.32847222222222222</v>
      </c>
      <c r="H450" t="s">
        <v>564</v>
      </c>
      <c r="I450">
        <v>473</v>
      </c>
      <c r="J450" s="10">
        <v>71.52</v>
      </c>
      <c r="K450">
        <v>5</v>
      </c>
      <c r="L4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0" s="9">
        <f>Clients_Churn_Master[[#This Row],[Remise]]*Clients_Churn_Master[[#This Row],[Facture_Mensuelle]]</f>
        <v>32.183999999999997</v>
      </c>
    </row>
    <row r="451" spans="1:13" x14ac:dyDescent="0.25">
      <c r="A451" t="s">
        <v>1694</v>
      </c>
      <c r="B451" t="s">
        <v>1008</v>
      </c>
      <c r="C451" s="7">
        <f>Clients_Churn_Master[[#This Row],[Anciennete_Mois]]/12</f>
        <v>6.083333333333333</v>
      </c>
      <c r="D451" t="s">
        <v>133</v>
      </c>
      <c r="E451">
        <v>73</v>
      </c>
      <c r="F451" t="str">
        <f>IF(Clients_Churn_Master[[#This Row],[Type_Forfait]]="Pro Monde","B2B","B2C")</f>
        <v>B2C</v>
      </c>
      <c r="G451" s="4">
        <f>Clients_Churn_Master[[#This Row],[Duree_Cumulee_Panne_Min]]/1440</f>
        <v>0.15625</v>
      </c>
      <c r="H451" t="s">
        <v>560</v>
      </c>
      <c r="I451">
        <v>225</v>
      </c>
      <c r="J451" s="10">
        <v>45.86</v>
      </c>
      <c r="K451">
        <v>0</v>
      </c>
      <c r="L4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1" s="9">
        <f>Clients_Churn_Master[[#This Row],[Remise]]*Clients_Churn_Master[[#This Row],[Facture_Mensuelle]]</f>
        <v>0</v>
      </c>
    </row>
    <row r="452" spans="1:13" x14ac:dyDescent="0.25">
      <c r="A452" t="s">
        <v>1699</v>
      </c>
      <c r="B452" t="s">
        <v>1009</v>
      </c>
      <c r="C452" s="7">
        <f>Clients_Churn_Master[[#This Row],[Anciennete_Mois]]/12</f>
        <v>2.9166666666666665</v>
      </c>
      <c r="D452" t="s">
        <v>30</v>
      </c>
      <c r="E452">
        <v>35</v>
      </c>
      <c r="F452" t="str">
        <f>IF(Clients_Churn_Master[[#This Row],[Type_Forfait]]="Pro Monde","B2B","B2C")</f>
        <v>B2B</v>
      </c>
      <c r="G452" s="4">
        <f>Clients_Churn_Master[[#This Row],[Duree_Cumulee_Panne_Min]]/1440</f>
        <v>0.20277777777777778</v>
      </c>
      <c r="H452" t="s">
        <v>558</v>
      </c>
      <c r="I452">
        <v>292</v>
      </c>
      <c r="J452" s="10">
        <v>39.21</v>
      </c>
      <c r="K452">
        <v>1</v>
      </c>
      <c r="L4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2" s="9">
        <f>Clients_Churn_Master[[#This Row],[Remise]]*Clients_Churn_Master[[#This Row],[Facture_Mensuelle]]</f>
        <v>17.644500000000001</v>
      </c>
    </row>
    <row r="453" spans="1:13" x14ac:dyDescent="0.25">
      <c r="A453" t="s">
        <v>1700</v>
      </c>
      <c r="B453" t="s">
        <v>1010</v>
      </c>
      <c r="C453" s="7">
        <f>Clients_Churn_Master[[#This Row],[Anciennete_Mois]]/12</f>
        <v>8.9166666666666661</v>
      </c>
      <c r="D453" t="s">
        <v>13</v>
      </c>
      <c r="E453">
        <v>107</v>
      </c>
      <c r="F453" t="str">
        <f>IF(Clients_Churn_Master[[#This Row],[Type_Forfait]]="Pro Monde","B2B","B2C")</f>
        <v>B2C</v>
      </c>
      <c r="G453" s="4">
        <f>Clients_Churn_Master[[#This Row],[Duree_Cumulee_Panne_Min]]/1440</f>
        <v>0.2013888888888889</v>
      </c>
      <c r="H453" t="s">
        <v>560</v>
      </c>
      <c r="I453">
        <v>290</v>
      </c>
      <c r="J453" s="10">
        <v>52.03</v>
      </c>
      <c r="K453">
        <v>0</v>
      </c>
      <c r="L4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3" s="9">
        <f>Clients_Churn_Master[[#This Row],[Remise]]*Clients_Churn_Master[[#This Row],[Facture_Mensuelle]]</f>
        <v>23.413500000000003</v>
      </c>
    </row>
    <row r="454" spans="1:13" x14ac:dyDescent="0.25">
      <c r="A454" t="s">
        <v>1695</v>
      </c>
      <c r="B454" t="s">
        <v>1011</v>
      </c>
      <c r="C454" s="7">
        <f>Clients_Churn_Master[[#This Row],[Anciennete_Mois]]/12</f>
        <v>6.666666666666667</v>
      </c>
      <c r="D454" t="s">
        <v>41</v>
      </c>
      <c r="E454">
        <v>80</v>
      </c>
      <c r="F454" t="str">
        <f>IF(Clients_Churn_Master[[#This Row],[Type_Forfait]]="Pro Monde","B2B","B2C")</f>
        <v>B2C</v>
      </c>
      <c r="G454" s="4">
        <f>Clients_Churn_Master[[#This Row],[Duree_Cumulee_Panne_Min]]/1440</f>
        <v>4.5138888888888888E-2</v>
      </c>
      <c r="H454" t="s">
        <v>556</v>
      </c>
      <c r="I454">
        <v>65</v>
      </c>
      <c r="J454" s="10">
        <v>76.64</v>
      </c>
      <c r="K454">
        <v>3</v>
      </c>
      <c r="L4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4" s="9">
        <f>Clients_Churn_Master[[#This Row],[Remise]]*Clients_Churn_Master[[#This Row],[Facture_Mensuelle]]</f>
        <v>0</v>
      </c>
    </row>
    <row r="455" spans="1:13" x14ac:dyDescent="0.25">
      <c r="A455" t="s">
        <v>1694</v>
      </c>
      <c r="B455" t="s">
        <v>1012</v>
      </c>
      <c r="C455" s="7">
        <f>Clients_Churn_Master[[#This Row],[Anciennete_Mois]]/12</f>
        <v>5.5</v>
      </c>
      <c r="D455" t="s">
        <v>9</v>
      </c>
      <c r="E455">
        <v>66</v>
      </c>
      <c r="F455" t="str">
        <f>IF(Clients_Churn_Master[[#This Row],[Type_Forfait]]="Pro Monde","B2B","B2C")</f>
        <v>B2C</v>
      </c>
      <c r="G455" s="4">
        <f>Clients_Churn_Master[[#This Row],[Duree_Cumulee_Panne_Min]]/1440</f>
        <v>0.13402777777777777</v>
      </c>
      <c r="H455" t="s">
        <v>564</v>
      </c>
      <c r="I455">
        <v>193</v>
      </c>
      <c r="J455" s="10">
        <v>21.06</v>
      </c>
      <c r="K455">
        <v>3</v>
      </c>
      <c r="L4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5" s="9">
        <f>Clients_Churn_Master[[#This Row],[Remise]]*Clients_Churn_Master[[#This Row],[Facture_Mensuelle]]</f>
        <v>0</v>
      </c>
    </row>
    <row r="456" spans="1:13" x14ac:dyDescent="0.25">
      <c r="A456" t="s">
        <v>1695</v>
      </c>
      <c r="B456" t="s">
        <v>1013</v>
      </c>
      <c r="C456" s="7">
        <f>Clients_Churn_Master[[#This Row],[Anciennete_Mois]]/12</f>
        <v>3.1666666666666665</v>
      </c>
      <c r="D456" t="s">
        <v>62</v>
      </c>
      <c r="E456">
        <v>38</v>
      </c>
      <c r="F456" t="str">
        <f>IF(Clients_Churn_Master[[#This Row],[Type_Forfait]]="Pro Monde","B2B","B2C")</f>
        <v>B2C</v>
      </c>
      <c r="G456" s="4">
        <f>Clients_Churn_Master[[#This Row],[Duree_Cumulee_Panne_Min]]/1440</f>
        <v>0.13263888888888889</v>
      </c>
      <c r="H456" t="s">
        <v>560</v>
      </c>
      <c r="I456">
        <v>191</v>
      </c>
      <c r="J456" s="10">
        <v>22.97</v>
      </c>
      <c r="K456">
        <v>3</v>
      </c>
      <c r="L4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6" s="9">
        <f>Clients_Churn_Master[[#This Row],[Remise]]*Clients_Churn_Master[[#This Row],[Facture_Mensuelle]]</f>
        <v>0</v>
      </c>
    </row>
    <row r="457" spans="1:13" x14ac:dyDescent="0.25">
      <c r="A457" t="s">
        <v>1690</v>
      </c>
      <c r="B457" t="s">
        <v>1014</v>
      </c>
      <c r="C457" s="7">
        <f>Clients_Churn_Master[[#This Row],[Anciennete_Mois]]/12</f>
        <v>9.9166666666666661</v>
      </c>
      <c r="D457" t="s">
        <v>137</v>
      </c>
      <c r="E457">
        <v>119</v>
      </c>
      <c r="F457" t="str">
        <f>IF(Clients_Churn_Master[[#This Row],[Type_Forfait]]="Pro Monde","B2B","B2C")</f>
        <v>B2B</v>
      </c>
      <c r="G457" s="4">
        <f>Clients_Churn_Master[[#This Row],[Duree_Cumulee_Panne_Min]]/1440</f>
        <v>0.31319444444444444</v>
      </c>
      <c r="H457" t="s">
        <v>558</v>
      </c>
      <c r="I457">
        <v>451</v>
      </c>
      <c r="J457" s="10">
        <v>10.46</v>
      </c>
      <c r="K457">
        <v>5</v>
      </c>
      <c r="L4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7" s="9">
        <f>Clients_Churn_Master[[#This Row],[Remise]]*Clients_Churn_Master[[#This Row],[Facture_Mensuelle]]</f>
        <v>4.7070000000000007</v>
      </c>
    </row>
    <row r="458" spans="1:13" x14ac:dyDescent="0.25">
      <c r="A458" t="s">
        <v>1689</v>
      </c>
      <c r="B458" t="s">
        <v>1015</v>
      </c>
      <c r="C458" s="7">
        <f>Clients_Churn_Master[[#This Row],[Anciennete_Mois]]/12</f>
        <v>4.583333333333333</v>
      </c>
      <c r="D458" t="s">
        <v>62</v>
      </c>
      <c r="E458">
        <v>55</v>
      </c>
      <c r="F458" t="str">
        <f>IF(Clients_Churn_Master[[#This Row],[Type_Forfait]]="Pro Monde","B2B","B2C")</f>
        <v>B2C</v>
      </c>
      <c r="G458" s="4">
        <f>Clients_Churn_Master[[#This Row],[Duree_Cumulee_Panne_Min]]/1440</f>
        <v>0.24652777777777779</v>
      </c>
      <c r="H458" t="s">
        <v>556</v>
      </c>
      <c r="I458">
        <v>355</v>
      </c>
      <c r="J458" s="10">
        <v>59.65</v>
      </c>
      <c r="K458">
        <v>0</v>
      </c>
      <c r="L4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8" s="9">
        <f>Clients_Churn_Master[[#This Row],[Remise]]*Clients_Churn_Master[[#This Row],[Facture_Mensuelle]]</f>
        <v>26.842500000000001</v>
      </c>
    </row>
    <row r="459" spans="1:13" x14ac:dyDescent="0.25">
      <c r="A459" t="s">
        <v>1693</v>
      </c>
      <c r="B459" t="s">
        <v>1016</v>
      </c>
      <c r="C459" s="7">
        <f>Clients_Churn_Master[[#This Row],[Anciennete_Mois]]/12</f>
        <v>0.5</v>
      </c>
      <c r="D459" t="s">
        <v>67</v>
      </c>
      <c r="E459">
        <v>6</v>
      </c>
      <c r="F459" t="str">
        <f>IF(Clients_Churn_Master[[#This Row],[Type_Forfait]]="Pro Monde","B2B","B2C")</f>
        <v>B2C</v>
      </c>
      <c r="G459" s="4">
        <f>Clients_Churn_Master[[#This Row],[Duree_Cumulee_Panne_Min]]/1440</f>
        <v>5.347222222222222E-2</v>
      </c>
      <c r="H459" t="s">
        <v>560</v>
      </c>
      <c r="I459">
        <v>77</v>
      </c>
      <c r="J459" s="10">
        <v>18.48</v>
      </c>
      <c r="K459">
        <v>2</v>
      </c>
      <c r="L4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9" s="9">
        <f>Clients_Churn_Master[[#This Row],[Remise]]*Clients_Churn_Master[[#This Row],[Facture_Mensuelle]]</f>
        <v>0</v>
      </c>
    </row>
    <row r="460" spans="1:13" x14ac:dyDescent="0.25">
      <c r="A460" t="s">
        <v>1695</v>
      </c>
      <c r="B460" t="s">
        <v>1017</v>
      </c>
      <c r="C460" s="7">
        <f>Clients_Churn_Master[[#This Row],[Anciennete_Mois]]/12</f>
        <v>5.25</v>
      </c>
      <c r="D460" t="s">
        <v>34</v>
      </c>
      <c r="E460">
        <v>63</v>
      </c>
      <c r="F460" t="str">
        <f>IF(Clients_Churn_Master[[#This Row],[Type_Forfait]]="Pro Monde","B2B","B2C")</f>
        <v>B2C</v>
      </c>
      <c r="G460" s="4">
        <f>Clients_Churn_Master[[#This Row],[Duree_Cumulee_Panne_Min]]/1440</f>
        <v>0.18402777777777779</v>
      </c>
      <c r="H460" t="s">
        <v>560</v>
      </c>
      <c r="I460">
        <v>265</v>
      </c>
      <c r="J460" s="10">
        <v>49.94</v>
      </c>
      <c r="K460">
        <v>1</v>
      </c>
      <c r="L4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0" s="9">
        <f>Clients_Churn_Master[[#This Row],[Remise]]*Clients_Churn_Master[[#This Row],[Facture_Mensuelle]]</f>
        <v>22.472999999999999</v>
      </c>
    </row>
    <row r="461" spans="1:13" x14ac:dyDescent="0.25">
      <c r="A461" t="s">
        <v>1694</v>
      </c>
      <c r="B461" t="s">
        <v>1018</v>
      </c>
      <c r="C461" s="7">
        <f>Clients_Churn_Master[[#This Row],[Anciennete_Mois]]/12</f>
        <v>1.75</v>
      </c>
      <c r="D461" t="s">
        <v>43</v>
      </c>
      <c r="E461">
        <v>21</v>
      </c>
      <c r="F461" t="str">
        <f>IF(Clients_Churn_Master[[#This Row],[Type_Forfait]]="Pro Monde","B2B","B2C")</f>
        <v>B2B</v>
      </c>
      <c r="G461" s="4">
        <f>Clients_Churn_Master[[#This Row],[Duree_Cumulee_Panne_Min]]/1440</f>
        <v>0.22222222222222221</v>
      </c>
      <c r="H461" t="s">
        <v>558</v>
      </c>
      <c r="I461">
        <v>320</v>
      </c>
      <c r="J461" s="10">
        <v>64.97</v>
      </c>
      <c r="K461">
        <v>1</v>
      </c>
      <c r="L4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1" s="9">
        <f>Clients_Churn_Master[[#This Row],[Remise]]*Clients_Churn_Master[[#This Row],[Facture_Mensuelle]]</f>
        <v>29.236499999999999</v>
      </c>
    </row>
    <row r="462" spans="1:13" x14ac:dyDescent="0.25">
      <c r="A462" t="s">
        <v>1688</v>
      </c>
      <c r="B462" t="s">
        <v>1019</v>
      </c>
      <c r="C462" s="7">
        <f>Clients_Churn_Master[[#This Row],[Anciennete_Mois]]/12</f>
        <v>0.41666666666666669</v>
      </c>
      <c r="D462" t="s">
        <v>34</v>
      </c>
      <c r="E462">
        <v>5</v>
      </c>
      <c r="F462" t="str">
        <f>IF(Clients_Churn_Master[[#This Row],[Type_Forfait]]="Pro Monde","B2B","B2C")</f>
        <v>B2C</v>
      </c>
      <c r="G462" s="4">
        <f>Clients_Churn_Master[[#This Row],[Duree_Cumulee_Panne_Min]]/1440</f>
        <v>0.28958333333333336</v>
      </c>
      <c r="H462" t="s">
        <v>564</v>
      </c>
      <c r="I462">
        <v>417</v>
      </c>
      <c r="J462" s="10">
        <v>90.71</v>
      </c>
      <c r="K462">
        <v>1</v>
      </c>
      <c r="L4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2" s="9">
        <f>Clients_Churn_Master[[#This Row],[Remise]]*Clients_Churn_Master[[#This Row],[Facture_Mensuelle]]</f>
        <v>40.819499999999998</v>
      </c>
    </row>
    <row r="463" spans="1:13" x14ac:dyDescent="0.25">
      <c r="A463" t="s">
        <v>1700</v>
      </c>
      <c r="B463" t="s">
        <v>1020</v>
      </c>
      <c r="C463" s="7">
        <f>Clients_Churn_Master[[#This Row],[Anciennete_Mois]]/12</f>
        <v>2.5</v>
      </c>
      <c r="D463" t="s">
        <v>21</v>
      </c>
      <c r="E463">
        <v>30</v>
      </c>
      <c r="F463" t="str">
        <f>IF(Clients_Churn_Master[[#This Row],[Type_Forfait]]="Pro Monde","B2B","B2C")</f>
        <v>B2C</v>
      </c>
      <c r="G463" s="4">
        <f>Clients_Churn_Master[[#This Row],[Duree_Cumulee_Panne_Min]]/1440</f>
        <v>9.0277777777777776E-2</v>
      </c>
      <c r="H463" t="s">
        <v>556</v>
      </c>
      <c r="I463">
        <v>130</v>
      </c>
      <c r="J463" s="10">
        <v>50.15</v>
      </c>
      <c r="K463">
        <v>4</v>
      </c>
      <c r="L4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63" s="9">
        <f>Clients_Churn_Master[[#This Row],[Remise]]*Clients_Churn_Master[[#This Row],[Facture_Mensuelle]]</f>
        <v>0</v>
      </c>
    </row>
    <row r="464" spans="1:13" x14ac:dyDescent="0.25">
      <c r="A464" t="s">
        <v>1688</v>
      </c>
      <c r="B464" t="s">
        <v>1021</v>
      </c>
      <c r="C464" s="7">
        <f>Clients_Churn_Master[[#This Row],[Anciennete_Mois]]/12</f>
        <v>5</v>
      </c>
      <c r="D464" t="s">
        <v>62</v>
      </c>
      <c r="E464">
        <v>60</v>
      </c>
      <c r="F464" t="str">
        <f>IF(Clients_Churn_Master[[#This Row],[Type_Forfait]]="Pro Monde","B2B","B2C")</f>
        <v>B2C</v>
      </c>
      <c r="G464" s="4">
        <f>Clients_Churn_Master[[#This Row],[Duree_Cumulee_Panne_Min]]/1440</f>
        <v>0.11180555555555556</v>
      </c>
      <c r="H464" t="s">
        <v>560</v>
      </c>
      <c r="I464">
        <v>161</v>
      </c>
      <c r="J464" s="10">
        <v>62.65</v>
      </c>
      <c r="K464">
        <v>0</v>
      </c>
      <c r="L4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64" s="9">
        <f>Clients_Churn_Master[[#This Row],[Remise]]*Clients_Churn_Master[[#This Row],[Facture_Mensuelle]]</f>
        <v>0</v>
      </c>
    </row>
    <row r="465" spans="1:13" x14ac:dyDescent="0.25">
      <c r="A465" t="s">
        <v>1700</v>
      </c>
      <c r="B465" t="s">
        <v>1022</v>
      </c>
      <c r="C465" s="7">
        <f>Clients_Churn_Master[[#This Row],[Anciennete_Mois]]/12</f>
        <v>10</v>
      </c>
      <c r="D465" t="s">
        <v>13</v>
      </c>
      <c r="E465">
        <v>120</v>
      </c>
      <c r="F465" t="str">
        <f>IF(Clients_Churn_Master[[#This Row],[Type_Forfait]]="Pro Monde","B2B","B2C")</f>
        <v>B2C</v>
      </c>
      <c r="G465" s="4">
        <f>Clients_Churn_Master[[#This Row],[Duree_Cumulee_Panne_Min]]/1440</f>
        <v>0.3034722222222222</v>
      </c>
      <c r="H465" t="s">
        <v>560</v>
      </c>
      <c r="I465">
        <v>437</v>
      </c>
      <c r="J465" s="10">
        <v>95.17</v>
      </c>
      <c r="K465">
        <v>1</v>
      </c>
      <c r="L4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5" s="9">
        <f>Clients_Churn_Master[[#This Row],[Remise]]*Clients_Churn_Master[[#This Row],[Facture_Mensuelle]]</f>
        <v>42.826500000000003</v>
      </c>
    </row>
    <row r="466" spans="1:13" x14ac:dyDescent="0.25">
      <c r="A466" t="s">
        <v>1698</v>
      </c>
      <c r="B466" t="s">
        <v>1023</v>
      </c>
      <c r="C466" s="7">
        <f>Clients_Churn_Master[[#This Row],[Anciennete_Mois]]/12</f>
        <v>5.666666666666667</v>
      </c>
      <c r="D466" t="s">
        <v>41</v>
      </c>
      <c r="E466">
        <v>68</v>
      </c>
      <c r="F466" t="str">
        <f>IF(Clients_Churn_Master[[#This Row],[Type_Forfait]]="Pro Monde","B2B","B2C")</f>
        <v>B2C</v>
      </c>
      <c r="G466" s="4">
        <f>Clients_Churn_Master[[#This Row],[Duree_Cumulee_Panne_Min]]/1440</f>
        <v>0.30763888888888891</v>
      </c>
      <c r="H466" t="s">
        <v>564</v>
      </c>
      <c r="I466">
        <v>443</v>
      </c>
      <c r="J466" s="10">
        <v>12.09</v>
      </c>
      <c r="K466">
        <v>3</v>
      </c>
      <c r="L4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6" s="9">
        <f>Clients_Churn_Master[[#This Row],[Remise]]*Clients_Churn_Master[[#This Row],[Facture_Mensuelle]]</f>
        <v>5.4405000000000001</v>
      </c>
    </row>
    <row r="467" spans="1:13" x14ac:dyDescent="0.25">
      <c r="A467" t="s">
        <v>1699</v>
      </c>
      <c r="B467" t="s">
        <v>1024</v>
      </c>
      <c r="C467" s="7">
        <f>Clients_Churn_Master[[#This Row],[Anciennete_Mois]]/12</f>
        <v>7.083333333333333</v>
      </c>
      <c r="D467" t="s">
        <v>37</v>
      </c>
      <c r="E467">
        <v>85</v>
      </c>
      <c r="F467" t="str">
        <f>IF(Clients_Churn_Master[[#This Row],[Type_Forfait]]="Pro Monde","B2B","B2C")</f>
        <v>B2C</v>
      </c>
      <c r="G467" s="4">
        <f>Clients_Churn_Master[[#This Row],[Duree_Cumulee_Panne_Min]]/1440</f>
        <v>9.166666666666666E-2</v>
      </c>
      <c r="H467" t="s">
        <v>560</v>
      </c>
      <c r="I467">
        <v>132</v>
      </c>
      <c r="J467" s="10">
        <v>11.41</v>
      </c>
      <c r="K467">
        <v>0</v>
      </c>
      <c r="L4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67" s="9">
        <f>Clients_Churn_Master[[#This Row],[Remise]]*Clients_Churn_Master[[#This Row],[Facture_Mensuelle]]</f>
        <v>0</v>
      </c>
    </row>
    <row r="468" spans="1:13" x14ac:dyDescent="0.25">
      <c r="A468" t="s">
        <v>1691</v>
      </c>
      <c r="B468" t="s">
        <v>1025</v>
      </c>
      <c r="C468" s="7">
        <f>Clients_Churn_Master[[#This Row],[Anciennete_Mois]]/12</f>
        <v>5.75</v>
      </c>
      <c r="D468" t="s">
        <v>82</v>
      </c>
      <c r="E468">
        <v>69</v>
      </c>
      <c r="F468" t="str">
        <f>IF(Clients_Churn_Master[[#This Row],[Type_Forfait]]="Pro Monde","B2B","B2C")</f>
        <v>B2B</v>
      </c>
      <c r="G468" s="4">
        <f>Clients_Churn_Master[[#This Row],[Duree_Cumulee_Panne_Min]]/1440</f>
        <v>0.3215277777777778</v>
      </c>
      <c r="H468" t="s">
        <v>558</v>
      </c>
      <c r="I468">
        <v>463</v>
      </c>
      <c r="J468" s="10">
        <v>19.440000000000001</v>
      </c>
      <c r="K468">
        <v>0</v>
      </c>
      <c r="L4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8" s="9">
        <f>Clients_Churn_Master[[#This Row],[Remise]]*Clients_Churn_Master[[#This Row],[Facture_Mensuelle]]</f>
        <v>8.7480000000000011</v>
      </c>
    </row>
    <row r="469" spans="1:13" x14ac:dyDescent="0.25">
      <c r="A469" t="s">
        <v>1688</v>
      </c>
      <c r="B469" t="s">
        <v>1026</v>
      </c>
      <c r="C469" s="7">
        <f>Clients_Churn_Master[[#This Row],[Anciennete_Mois]]/12</f>
        <v>8</v>
      </c>
      <c r="D469" t="s">
        <v>30</v>
      </c>
      <c r="E469">
        <v>96</v>
      </c>
      <c r="F469" t="str">
        <f>IF(Clients_Churn_Master[[#This Row],[Type_Forfait]]="Pro Monde","B2B","B2C")</f>
        <v>B2C</v>
      </c>
      <c r="G469" s="4">
        <f>Clients_Churn_Master[[#This Row],[Duree_Cumulee_Panne_Min]]/1440</f>
        <v>7.4999999999999997E-2</v>
      </c>
      <c r="H469" t="s">
        <v>560</v>
      </c>
      <c r="I469">
        <v>108</v>
      </c>
      <c r="J469" s="10">
        <v>30.92</v>
      </c>
      <c r="K469">
        <v>1</v>
      </c>
      <c r="L4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69" s="9">
        <f>Clients_Churn_Master[[#This Row],[Remise]]*Clients_Churn_Master[[#This Row],[Facture_Mensuelle]]</f>
        <v>0</v>
      </c>
    </row>
    <row r="470" spans="1:13" x14ac:dyDescent="0.25">
      <c r="A470" t="s">
        <v>1688</v>
      </c>
      <c r="B470" t="s">
        <v>1027</v>
      </c>
      <c r="C470" s="7">
        <f>Clients_Churn_Master[[#This Row],[Anciennete_Mois]]/12</f>
        <v>7.416666666666667</v>
      </c>
      <c r="D470" t="s">
        <v>47</v>
      </c>
      <c r="E470">
        <v>89</v>
      </c>
      <c r="F470" t="str">
        <f>IF(Clients_Churn_Master[[#This Row],[Type_Forfait]]="Pro Monde","B2B","B2C")</f>
        <v>B2C</v>
      </c>
      <c r="G470" s="4">
        <f>Clients_Churn_Master[[#This Row],[Duree_Cumulee_Panne_Min]]/1440</f>
        <v>4.8611111111111112E-3</v>
      </c>
      <c r="H470" t="s">
        <v>560</v>
      </c>
      <c r="I470">
        <v>7</v>
      </c>
      <c r="J470" s="10">
        <v>53.39</v>
      </c>
      <c r="K470">
        <v>3</v>
      </c>
      <c r="L4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70" s="9">
        <f>Clients_Churn_Master[[#This Row],[Remise]]*Clients_Churn_Master[[#This Row],[Facture_Mensuelle]]</f>
        <v>0</v>
      </c>
    </row>
    <row r="471" spans="1:13" x14ac:dyDescent="0.25">
      <c r="A471" t="s">
        <v>1701</v>
      </c>
      <c r="B471" t="s">
        <v>1028</v>
      </c>
      <c r="C471" s="7">
        <f>Clients_Churn_Master[[#This Row],[Anciennete_Mois]]/12</f>
        <v>3.9166666666666665</v>
      </c>
      <c r="D471" t="s">
        <v>21</v>
      </c>
      <c r="E471">
        <v>47</v>
      </c>
      <c r="F471" t="str">
        <f>IF(Clients_Churn_Master[[#This Row],[Type_Forfait]]="Pro Monde","B2B","B2C")</f>
        <v>B2C</v>
      </c>
      <c r="G471" s="4">
        <f>Clients_Churn_Master[[#This Row],[Duree_Cumulee_Panne_Min]]/1440</f>
        <v>0.24305555555555555</v>
      </c>
      <c r="H471" t="s">
        <v>564</v>
      </c>
      <c r="I471">
        <v>350</v>
      </c>
      <c r="J471" s="10">
        <v>80.48</v>
      </c>
      <c r="K471">
        <v>3</v>
      </c>
      <c r="L4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1" s="9">
        <f>Clients_Churn_Master[[#This Row],[Remise]]*Clients_Churn_Master[[#This Row],[Facture_Mensuelle]]</f>
        <v>36.216000000000001</v>
      </c>
    </row>
    <row r="472" spans="1:13" x14ac:dyDescent="0.25">
      <c r="A472" t="s">
        <v>1697</v>
      </c>
      <c r="B472" t="s">
        <v>1029</v>
      </c>
      <c r="C472" s="7">
        <f>Clients_Churn_Master[[#This Row],[Anciennete_Mois]]/12</f>
        <v>6.5</v>
      </c>
      <c r="D472" t="s">
        <v>47</v>
      </c>
      <c r="E472">
        <v>78</v>
      </c>
      <c r="F472" t="str">
        <f>IF(Clients_Churn_Master[[#This Row],[Type_Forfait]]="Pro Monde","B2B","B2C")</f>
        <v>B2C</v>
      </c>
      <c r="G472" s="4">
        <f>Clients_Churn_Master[[#This Row],[Duree_Cumulee_Panne_Min]]/1440</f>
        <v>0.21666666666666667</v>
      </c>
      <c r="H472" t="s">
        <v>556</v>
      </c>
      <c r="I472">
        <v>312</v>
      </c>
      <c r="J472" s="10">
        <v>85.74</v>
      </c>
      <c r="K472">
        <v>2</v>
      </c>
      <c r="L4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2" s="9">
        <f>Clients_Churn_Master[[#This Row],[Remise]]*Clients_Churn_Master[[#This Row],[Facture_Mensuelle]]</f>
        <v>38.582999999999998</v>
      </c>
    </row>
    <row r="473" spans="1:13" x14ac:dyDescent="0.25">
      <c r="A473" t="s">
        <v>1691</v>
      </c>
      <c r="B473" t="s">
        <v>1030</v>
      </c>
      <c r="C473" s="7">
        <f>Clients_Churn_Master[[#This Row],[Anciennete_Mois]]/12</f>
        <v>3</v>
      </c>
      <c r="D473" t="s">
        <v>37</v>
      </c>
      <c r="E473">
        <v>36</v>
      </c>
      <c r="F473" t="str">
        <f>IF(Clients_Churn_Master[[#This Row],[Type_Forfait]]="Pro Monde","B2B","B2C")</f>
        <v>B2C</v>
      </c>
      <c r="G473" s="4">
        <f>Clients_Churn_Master[[#This Row],[Duree_Cumulee_Panne_Min]]/1440</f>
        <v>0.27777777777777779</v>
      </c>
      <c r="H473" t="s">
        <v>564</v>
      </c>
      <c r="I473">
        <v>400</v>
      </c>
      <c r="J473" s="10">
        <v>60.35</v>
      </c>
      <c r="K473">
        <v>1</v>
      </c>
      <c r="L4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3" s="9">
        <f>Clients_Churn_Master[[#This Row],[Remise]]*Clients_Churn_Master[[#This Row],[Facture_Mensuelle]]</f>
        <v>27.157500000000002</v>
      </c>
    </row>
    <row r="474" spans="1:13" x14ac:dyDescent="0.25">
      <c r="A474" t="s">
        <v>1697</v>
      </c>
      <c r="B474" t="s">
        <v>1031</v>
      </c>
      <c r="C474" s="7">
        <f>Clients_Churn_Master[[#This Row],[Anciennete_Mois]]/12</f>
        <v>3.6666666666666665</v>
      </c>
      <c r="D474" t="s">
        <v>82</v>
      </c>
      <c r="E474">
        <v>44</v>
      </c>
      <c r="F474" t="str">
        <f>IF(Clients_Churn_Master[[#This Row],[Type_Forfait]]="Pro Monde","B2B","B2C")</f>
        <v>B2C</v>
      </c>
      <c r="G474" s="4">
        <f>Clients_Churn_Master[[#This Row],[Duree_Cumulee_Panne_Min]]/1440</f>
        <v>0.24166666666666667</v>
      </c>
      <c r="H474" t="s">
        <v>556</v>
      </c>
      <c r="I474">
        <v>348</v>
      </c>
      <c r="J474" s="10">
        <v>58.67</v>
      </c>
      <c r="K474">
        <v>0</v>
      </c>
      <c r="L4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4" s="9">
        <f>Clients_Churn_Master[[#This Row],[Remise]]*Clients_Churn_Master[[#This Row],[Facture_Mensuelle]]</f>
        <v>26.401500000000002</v>
      </c>
    </row>
    <row r="475" spans="1:13" x14ac:dyDescent="0.25">
      <c r="A475" t="s">
        <v>1694</v>
      </c>
      <c r="B475" t="s">
        <v>1032</v>
      </c>
      <c r="C475" s="7">
        <f>Clients_Churn_Master[[#This Row],[Anciennete_Mois]]/12</f>
        <v>10</v>
      </c>
      <c r="D475" t="s">
        <v>67</v>
      </c>
      <c r="E475">
        <v>120</v>
      </c>
      <c r="F475" t="str">
        <f>IF(Clients_Churn_Master[[#This Row],[Type_Forfait]]="Pro Monde","B2B","B2C")</f>
        <v>B2B</v>
      </c>
      <c r="G475" s="4">
        <f>Clients_Churn_Master[[#This Row],[Duree_Cumulee_Panne_Min]]/1440</f>
        <v>0.1451388888888889</v>
      </c>
      <c r="H475" t="s">
        <v>558</v>
      </c>
      <c r="I475">
        <v>209</v>
      </c>
      <c r="J475" s="10">
        <v>42.51</v>
      </c>
      <c r="K475">
        <v>4</v>
      </c>
      <c r="L4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75" s="9">
        <f>Clients_Churn_Master[[#This Row],[Remise]]*Clients_Churn_Master[[#This Row],[Facture_Mensuelle]]</f>
        <v>4.2510000000000003</v>
      </c>
    </row>
    <row r="476" spans="1:13" x14ac:dyDescent="0.25">
      <c r="A476" t="s">
        <v>1700</v>
      </c>
      <c r="B476" t="s">
        <v>1033</v>
      </c>
      <c r="C476" s="7">
        <f>Clients_Churn_Master[[#This Row],[Anciennete_Mois]]/12</f>
        <v>9.6666666666666661</v>
      </c>
      <c r="D476" t="s">
        <v>34</v>
      </c>
      <c r="E476">
        <v>116</v>
      </c>
      <c r="F476" t="str">
        <f>IF(Clients_Churn_Master[[#This Row],[Type_Forfait]]="Pro Monde","B2B","B2C")</f>
        <v>B2C</v>
      </c>
      <c r="G476" s="4">
        <f>Clients_Churn_Master[[#This Row],[Duree_Cumulee_Panne_Min]]/1440</f>
        <v>0.19375000000000001</v>
      </c>
      <c r="H476" t="s">
        <v>564</v>
      </c>
      <c r="I476">
        <v>279</v>
      </c>
      <c r="J476" s="10">
        <v>62.88</v>
      </c>
      <c r="K476">
        <v>4</v>
      </c>
      <c r="L4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6" s="9">
        <f>Clients_Churn_Master[[#This Row],[Remise]]*Clients_Churn_Master[[#This Row],[Facture_Mensuelle]]</f>
        <v>28.296000000000003</v>
      </c>
    </row>
    <row r="477" spans="1:13" x14ac:dyDescent="0.25">
      <c r="A477" t="s">
        <v>1695</v>
      </c>
      <c r="B477" t="s">
        <v>1034</v>
      </c>
      <c r="C477" s="7">
        <f>Clients_Churn_Master[[#This Row],[Anciennete_Mois]]/12</f>
        <v>8.8333333333333339</v>
      </c>
      <c r="D477" t="s">
        <v>45</v>
      </c>
      <c r="E477">
        <v>106</v>
      </c>
      <c r="F477" t="str">
        <f>IF(Clients_Churn_Master[[#This Row],[Type_Forfait]]="Pro Monde","B2B","B2C")</f>
        <v>B2C</v>
      </c>
      <c r="G477" s="4">
        <f>Clients_Churn_Master[[#This Row],[Duree_Cumulee_Panne_Min]]/1440</f>
        <v>0.16388888888888889</v>
      </c>
      <c r="H477" t="s">
        <v>560</v>
      </c>
      <c r="I477">
        <v>236</v>
      </c>
      <c r="J477" s="10">
        <v>18.72</v>
      </c>
      <c r="K477">
        <v>4</v>
      </c>
      <c r="L4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77" s="9">
        <f>Clients_Churn_Master[[#This Row],[Remise]]*Clients_Churn_Master[[#This Row],[Facture_Mensuelle]]</f>
        <v>0</v>
      </c>
    </row>
    <row r="478" spans="1:13" x14ac:dyDescent="0.25">
      <c r="A478" t="s">
        <v>1688</v>
      </c>
      <c r="B478" t="s">
        <v>1035</v>
      </c>
      <c r="C478" s="7">
        <f>Clients_Churn_Master[[#This Row],[Anciennete_Mois]]/12</f>
        <v>5</v>
      </c>
      <c r="D478" t="s">
        <v>82</v>
      </c>
      <c r="E478">
        <v>60</v>
      </c>
      <c r="F478" t="str">
        <f>IF(Clients_Churn_Master[[#This Row],[Type_Forfait]]="Pro Monde","B2B","B2C")</f>
        <v>B2C</v>
      </c>
      <c r="G478" s="4">
        <f>Clients_Churn_Master[[#This Row],[Duree_Cumulee_Panne_Min]]/1440</f>
        <v>0.21249999999999999</v>
      </c>
      <c r="H478" t="s">
        <v>556</v>
      </c>
      <c r="I478">
        <v>306</v>
      </c>
      <c r="J478" s="10">
        <v>63.83</v>
      </c>
      <c r="K478">
        <v>2</v>
      </c>
      <c r="L4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8" s="9">
        <f>Clients_Churn_Master[[#This Row],[Remise]]*Clients_Churn_Master[[#This Row],[Facture_Mensuelle]]</f>
        <v>28.723500000000001</v>
      </c>
    </row>
    <row r="479" spans="1:13" x14ac:dyDescent="0.25">
      <c r="A479" t="s">
        <v>1695</v>
      </c>
      <c r="B479" t="s">
        <v>1036</v>
      </c>
      <c r="C479" s="7">
        <f>Clients_Churn_Master[[#This Row],[Anciennete_Mois]]/12</f>
        <v>8.3333333333333329E-2</v>
      </c>
      <c r="D479" t="s">
        <v>62</v>
      </c>
      <c r="E479">
        <v>1</v>
      </c>
      <c r="F479" t="str">
        <f>IF(Clients_Churn_Master[[#This Row],[Type_Forfait]]="Pro Monde","B2B","B2C")</f>
        <v>B2C</v>
      </c>
      <c r="G479" s="4">
        <f>Clients_Churn_Master[[#This Row],[Duree_Cumulee_Panne_Min]]/1440</f>
        <v>0.29791666666666666</v>
      </c>
      <c r="H479" t="s">
        <v>564</v>
      </c>
      <c r="I479">
        <v>429</v>
      </c>
      <c r="J479" s="10">
        <v>20.96</v>
      </c>
      <c r="K479">
        <v>5</v>
      </c>
      <c r="L4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9" s="9">
        <f>Clients_Churn_Master[[#This Row],[Remise]]*Clients_Churn_Master[[#This Row],[Facture_Mensuelle]]</f>
        <v>9.4320000000000004</v>
      </c>
    </row>
    <row r="480" spans="1:13" x14ac:dyDescent="0.25">
      <c r="A480" t="s">
        <v>1701</v>
      </c>
      <c r="B480" t="s">
        <v>1037</v>
      </c>
      <c r="C480" s="7">
        <f>Clients_Churn_Master[[#This Row],[Anciennete_Mois]]/12</f>
        <v>9.1666666666666661</v>
      </c>
      <c r="D480" t="s">
        <v>43</v>
      </c>
      <c r="E480">
        <v>110</v>
      </c>
      <c r="F480" t="str">
        <f>IF(Clients_Churn_Master[[#This Row],[Type_Forfait]]="Pro Monde","B2B","B2C")</f>
        <v>B2C</v>
      </c>
      <c r="G480" s="4">
        <f>Clients_Churn_Master[[#This Row],[Duree_Cumulee_Panne_Min]]/1440</f>
        <v>9.166666666666666E-2</v>
      </c>
      <c r="H480" t="s">
        <v>556</v>
      </c>
      <c r="I480">
        <v>132</v>
      </c>
      <c r="J480" s="10">
        <v>21.31</v>
      </c>
      <c r="K480">
        <v>5</v>
      </c>
      <c r="L4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0" s="9">
        <f>Clients_Churn_Master[[#This Row],[Remise]]*Clients_Churn_Master[[#This Row],[Facture_Mensuelle]]</f>
        <v>0</v>
      </c>
    </row>
    <row r="481" spans="1:13" x14ac:dyDescent="0.25">
      <c r="A481" t="s">
        <v>1689</v>
      </c>
      <c r="B481" t="s">
        <v>1038</v>
      </c>
      <c r="C481" s="7">
        <f>Clients_Churn_Master[[#This Row],[Anciennete_Mois]]/12</f>
        <v>6.166666666666667</v>
      </c>
      <c r="D481" t="s">
        <v>47</v>
      </c>
      <c r="E481">
        <v>74</v>
      </c>
      <c r="F481" t="str">
        <f>IF(Clients_Churn_Master[[#This Row],[Type_Forfait]]="Pro Monde","B2B","B2C")</f>
        <v>B2C</v>
      </c>
      <c r="G481" s="4">
        <f>Clients_Churn_Master[[#This Row],[Duree_Cumulee_Panne_Min]]/1440</f>
        <v>0.22916666666666666</v>
      </c>
      <c r="H481" t="s">
        <v>560</v>
      </c>
      <c r="I481">
        <v>330</v>
      </c>
      <c r="J481" s="10">
        <v>37.82</v>
      </c>
      <c r="K481">
        <v>5</v>
      </c>
      <c r="L4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81" s="9">
        <f>Clients_Churn_Master[[#This Row],[Remise]]*Clients_Churn_Master[[#This Row],[Facture_Mensuelle]]</f>
        <v>17.019000000000002</v>
      </c>
    </row>
    <row r="482" spans="1:13" x14ac:dyDescent="0.25">
      <c r="A482" t="s">
        <v>1697</v>
      </c>
      <c r="B482" t="s">
        <v>1039</v>
      </c>
      <c r="C482" s="7">
        <f>Clients_Churn_Master[[#This Row],[Anciennete_Mois]]/12</f>
        <v>1.1666666666666667</v>
      </c>
      <c r="D482" t="s">
        <v>85</v>
      </c>
      <c r="E482">
        <v>14</v>
      </c>
      <c r="F482" t="str">
        <f>IF(Clients_Churn_Master[[#This Row],[Type_Forfait]]="Pro Monde","B2B","B2C")</f>
        <v>B2B</v>
      </c>
      <c r="G482" s="4">
        <f>Clients_Churn_Master[[#This Row],[Duree_Cumulee_Panne_Min]]/1440</f>
        <v>7.013888888888889E-2</v>
      </c>
      <c r="H482" t="s">
        <v>558</v>
      </c>
      <c r="I482">
        <v>101</v>
      </c>
      <c r="J482" s="10">
        <v>43.99</v>
      </c>
      <c r="K482">
        <v>1</v>
      </c>
      <c r="L4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82" s="9">
        <f>Clients_Churn_Master[[#This Row],[Remise]]*Clients_Churn_Master[[#This Row],[Facture_Mensuelle]]</f>
        <v>4.399</v>
      </c>
    </row>
    <row r="483" spans="1:13" x14ac:dyDescent="0.25">
      <c r="A483" t="s">
        <v>1689</v>
      </c>
      <c r="B483" t="s">
        <v>1040</v>
      </c>
      <c r="C483" s="7">
        <f>Clients_Churn_Master[[#This Row],[Anciennete_Mois]]/12</f>
        <v>5.166666666666667</v>
      </c>
      <c r="D483" t="s">
        <v>96</v>
      </c>
      <c r="E483">
        <v>62</v>
      </c>
      <c r="F483" t="str">
        <f>IF(Clients_Churn_Master[[#This Row],[Type_Forfait]]="Pro Monde","B2B","B2C")</f>
        <v>B2C</v>
      </c>
      <c r="G483" s="4">
        <f>Clients_Churn_Master[[#This Row],[Duree_Cumulee_Panne_Min]]/1440</f>
        <v>0.25624999999999998</v>
      </c>
      <c r="H483" t="s">
        <v>560</v>
      </c>
      <c r="I483">
        <v>369</v>
      </c>
      <c r="J483" s="10">
        <v>58.74</v>
      </c>
      <c r="K483">
        <v>1</v>
      </c>
      <c r="L4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83" s="9">
        <f>Clients_Churn_Master[[#This Row],[Remise]]*Clients_Churn_Master[[#This Row],[Facture_Mensuelle]]</f>
        <v>26.433</v>
      </c>
    </row>
    <row r="484" spans="1:13" x14ac:dyDescent="0.25">
      <c r="A484" t="s">
        <v>1697</v>
      </c>
      <c r="B484" t="s">
        <v>1041</v>
      </c>
      <c r="C484" s="7">
        <f>Clients_Churn_Master[[#This Row],[Anciennete_Mois]]/12</f>
        <v>7.416666666666667</v>
      </c>
      <c r="D484" t="s">
        <v>30</v>
      </c>
      <c r="E484">
        <v>89</v>
      </c>
      <c r="F484" t="str">
        <f>IF(Clients_Churn_Master[[#This Row],[Type_Forfait]]="Pro Monde","B2B","B2C")</f>
        <v>B2C</v>
      </c>
      <c r="G484" s="4">
        <f>Clients_Churn_Master[[#This Row],[Duree_Cumulee_Panne_Min]]/1440</f>
        <v>9.930555555555555E-2</v>
      </c>
      <c r="H484" t="s">
        <v>564</v>
      </c>
      <c r="I484">
        <v>143</v>
      </c>
      <c r="J484" s="10">
        <v>48.05</v>
      </c>
      <c r="K484">
        <v>4</v>
      </c>
      <c r="L4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4" s="9">
        <f>Clients_Churn_Master[[#This Row],[Remise]]*Clients_Churn_Master[[#This Row],[Facture_Mensuelle]]</f>
        <v>0</v>
      </c>
    </row>
    <row r="485" spans="1:13" x14ac:dyDescent="0.25">
      <c r="A485" t="s">
        <v>1689</v>
      </c>
      <c r="B485" t="s">
        <v>1042</v>
      </c>
      <c r="C485" s="7">
        <f>Clients_Churn_Master[[#This Row],[Anciennete_Mois]]/12</f>
        <v>1.5833333333333333</v>
      </c>
      <c r="D485" t="s">
        <v>41</v>
      </c>
      <c r="E485">
        <v>19</v>
      </c>
      <c r="F485" t="str">
        <f>IF(Clients_Churn_Master[[#This Row],[Type_Forfait]]="Pro Monde","B2B","B2C")</f>
        <v>B2C</v>
      </c>
      <c r="G485" s="4">
        <f>Clients_Churn_Master[[#This Row],[Duree_Cumulee_Panne_Min]]/1440</f>
        <v>0.1875</v>
      </c>
      <c r="H485" t="s">
        <v>564</v>
      </c>
      <c r="I485">
        <v>270</v>
      </c>
      <c r="J485" s="10">
        <v>19.760000000000002</v>
      </c>
      <c r="K485">
        <v>3</v>
      </c>
      <c r="L4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85" s="9">
        <f>Clients_Churn_Master[[#This Row],[Remise]]*Clients_Churn_Master[[#This Row],[Facture_Mensuelle]]</f>
        <v>8.8920000000000012</v>
      </c>
    </row>
    <row r="486" spans="1:13" x14ac:dyDescent="0.25">
      <c r="A486" t="s">
        <v>1693</v>
      </c>
      <c r="B486" t="s">
        <v>1043</v>
      </c>
      <c r="C486" s="7">
        <f>Clients_Churn_Master[[#This Row],[Anciennete_Mois]]/12</f>
        <v>3.5</v>
      </c>
      <c r="D486" t="s">
        <v>137</v>
      </c>
      <c r="E486">
        <v>42</v>
      </c>
      <c r="F486" t="str">
        <f>IF(Clients_Churn_Master[[#This Row],[Type_Forfait]]="Pro Monde","B2B","B2C")</f>
        <v>B2C</v>
      </c>
      <c r="G486" s="4">
        <f>Clients_Churn_Master[[#This Row],[Duree_Cumulee_Panne_Min]]/1440</f>
        <v>0.31111111111111112</v>
      </c>
      <c r="H486" t="s">
        <v>556</v>
      </c>
      <c r="I486">
        <v>448</v>
      </c>
      <c r="J486" s="10">
        <v>49.02</v>
      </c>
      <c r="K486">
        <v>0</v>
      </c>
      <c r="L4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86" s="9">
        <f>Clients_Churn_Master[[#This Row],[Remise]]*Clients_Churn_Master[[#This Row],[Facture_Mensuelle]]</f>
        <v>22.059000000000001</v>
      </c>
    </row>
    <row r="487" spans="1:13" x14ac:dyDescent="0.25">
      <c r="A487" t="s">
        <v>1693</v>
      </c>
      <c r="B487" t="s">
        <v>1044</v>
      </c>
      <c r="C487" s="7">
        <f>Clients_Churn_Master[[#This Row],[Anciennete_Mois]]/12</f>
        <v>9.6666666666666661</v>
      </c>
      <c r="D487" t="s">
        <v>21</v>
      </c>
      <c r="E487">
        <v>116</v>
      </c>
      <c r="F487" t="str">
        <f>IF(Clients_Churn_Master[[#This Row],[Type_Forfait]]="Pro Monde","B2B","B2C")</f>
        <v>B2C</v>
      </c>
      <c r="G487" s="4">
        <f>Clients_Churn_Master[[#This Row],[Duree_Cumulee_Panne_Min]]/1440</f>
        <v>9.7222222222222224E-3</v>
      </c>
      <c r="H487" t="s">
        <v>564</v>
      </c>
      <c r="I487">
        <v>14</v>
      </c>
      <c r="J487" s="10">
        <v>30.38</v>
      </c>
      <c r="K487">
        <v>1</v>
      </c>
      <c r="L4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7" s="9">
        <f>Clients_Churn_Master[[#This Row],[Remise]]*Clients_Churn_Master[[#This Row],[Facture_Mensuelle]]</f>
        <v>0</v>
      </c>
    </row>
    <row r="488" spans="1:13" x14ac:dyDescent="0.25">
      <c r="A488" t="s">
        <v>1691</v>
      </c>
      <c r="B488" t="s">
        <v>1045</v>
      </c>
      <c r="C488" s="7">
        <f>Clients_Churn_Master[[#This Row],[Anciennete_Mois]]/12</f>
        <v>3.9166666666666665</v>
      </c>
      <c r="D488" t="s">
        <v>30</v>
      </c>
      <c r="E488">
        <v>47</v>
      </c>
      <c r="F488" t="str">
        <f>IF(Clients_Churn_Master[[#This Row],[Type_Forfait]]="Pro Monde","B2B","B2C")</f>
        <v>B2C</v>
      </c>
      <c r="G488" s="4">
        <f>Clients_Churn_Master[[#This Row],[Duree_Cumulee_Panne_Min]]/1440</f>
        <v>6.805555555555555E-2</v>
      </c>
      <c r="H488" t="s">
        <v>556</v>
      </c>
      <c r="I488">
        <v>98</v>
      </c>
      <c r="J488" s="10">
        <v>16.16</v>
      </c>
      <c r="K488">
        <v>5</v>
      </c>
      <c r="L4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8" s="9">
        <f>Clients_Churn_Master[[#This Row],[Remise]]*Clients_Churn_Master[[#This Row],[Facture_Mensuelle]]</f>
        <v>0</v>
      </c>
    </row>
    <row r="489" spans="1:13" x14ac:dyDescent="0.25">
      <c r="A489" t="s">
        <v>1689</v>
      </c>
      <c r="B489" t="s">
        <v>1046</v>
      </c>
      <c r="C489" s="7">
        <f>Clients_Churn_Master[[#This Row],[Anciennete_Mois]]/12</f>
        <v>7.166666666666667</v>
      </c>
      <c r="D489" t="s">
        <v>93</v>
      </c>
      <c r="E489">
        <v>86</v>
      </c>
      <c r="F489" t="str">
        <f>IF(Clients_Churn_Master[[#This Row],[Type_Forfait]]="Pro Monde","B2B","B2C")</f>
        <v>B2C</v>
      </c>
      <c r="G489" s="4">
        <f>Clients_Churn_Master[[#This Row],[Duree_Cumulee_Panne_Min]]/1440</f>
        <v>1.8749999999999999E-2</v>
      </c>
      <c r="H489" t="s">
        <v>564</v>
      </c>
      <c r="I489">
        <v>27</v>
      </c>
      <c r="J489" s="10">
        <v>84.94</v>
      </c>
      <c r="K489">
        <v>4</v>
      </c>
      <c r="L4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9" s="9">
        <f>Clients_Churn_Master[[#This Row],[Remise]]*Clients_Churn_Master[[#This Row],[Facture_Mensuelle]]</f>
        <v>0</v>
      </c>
    </row>
    <row r="490" spans="1:13" x14ac:dyDescent="0.25">
      <c r="A490" t="s">
        <v>1695</v>
      </c>
      <c r="B490" t="s">
        <v>1047</v>
      </c>
      <c r="C490" s="7">
        <f>Clients_Churn_Master[[#This Row],[Anciennete_Mois]]/12</f>
        <v>7.166666666666667</v>
      </c>
      <c r="D490" t="s">
        <v>82</v>
      </c>
      <c r="E490">
        <v>86</v>
      </c>
      <c r="F490" t="str">
        <f>IF(Clients_Churn_Master[[#This Row],[Type_Forfait]]="Pro Monde","B2B","B2C")</f>
        <v>B2C</v>
      </c>
      <c r="G490" s="4">
        <f>Clients_Churn_Master[[#This Row],[Duree_Cumulee_Panne_Min]]/1440</f>
        <v>0.19305555555555556</v>
      </c>
      <c r="H490" t="s">
        <v>564</v>
      </c>
      <c r="I490">
        <v>278</v>
      </c>
      <c r="J490" s="10">
        <v>30.12</v>
      </c>
      <c r="K490">
        <v>0</v>
      </c>
      <c r="L4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0" s="9">
        <f>Clients_Churn_Master[[#This Row],[Remise]]*Clients_Churn_Master[[#This Row],[Facture_Mensuelle]]</f>
        <v>13.554</v>
      </c>
    </row>
    <row r="491" spans="1:13" x14ac:dyDescent="0.25">
      <c r="A491" t="s">
        <v>1702</v>
      </c>
      <c r="B491" t="s">
        <v>1048</v>
      </c>
      <c r="C491" s="7">
        <f>Clients_Churn_Master[[#This Row],[Anciennete_Mois]]/12</f>
        <v>7.833333333333333</v>
      </c>
      <c r="D491" t="s">
        <v>41</v>
      </c>
      <c r="E491">
        <v>94</v>
      </c>
      <c r="F491" t="str">
        <f>IF(Clients_Churn_Master[[#This Row],[Type_Forfait]]="Pro Monde","B2B","B2C")</f>
        <v>B2C</v>
      </c>
      <c r="G491" s="4">
        <f>Clients_Churn_Master[[#This Row],[Duree_Cumulee_Panne_Min]]/1440</f>
        <v>8.4722222222222227E-2</v>
      </c>
      <c r="H491" t="s">
        <v>560</v>
      </c>
      <c r="I491">
        <v>122</v>
      </c>
      <c r="J491" s="10">
        <v>95.74</v>
      </c>
      <c r="K491">
        <v>5</v>
      </c>
      <c r="L4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91" s="9">
        <f>Clients_Churn_Master[[#This Row],[Remise]]*Clients_Churn_Master[[#This Row],[Facture_Mensuelle]]</f>
        <v>0</v>
      </c>
    </row>
    <row r="492" spans="1:13" x14ac:dyDescent="0.25">
      <c r="A492" t="s">
        <v>1701</v>
      </c>
      <c r="B492" t="s">
        <v>1049</v>
      </c>
      <c r="C492" s="7">
        <f>Clients_Churn_Master[[#This Row],[Anciennete_Mois]]/12</f>
        <v>5.5</v>
      </c>
      <c r="D492" t="s">
        <v>67</v>
      </c>
      <c r="E492">
        <v>66</v>
      </c>
      <c r="F492" t="str">
        <f>IF(Clients_Churn_Master[[#This Row],[Type_Forfait]]="Pro Monde","B2B","B2C")</f>
        <v>B2B</v>
      </c>
      <c r="G492" s="4">
        <f>Clients_Churn_Master[[#This Row],[Duree_Cumulee_Panne_Min]]/1440</f>
        <v>0.10555555555555556</v>
      </c>
      <c r="H492" t="s">
        <v>558</v>
      </c>
      <c r="I492">
        <v>152</v>
      </c>
      <c r="J492" s="10">
        <v>95.71</v>
      </c>
      <c r="K492">
        <v>3</v>
      </c>
      <c r="L4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92" s="9">
        <f>Clients_Churn_Master[[#This Row],[Remise]]*Clients_Churn_Master[[#This Row],[Facture_Mensuelle]]</f>
        <v>9.5709999999999997</v>
      </c>
    </row>
    <row r="493" spans="1:13" x14ac:dyDescent="0.25">
      <c r="A493" t="s">
        <v>1693</v>
      </c>
      <c r="B493" t="s">
        <v>1050</v>
      </c>
      <c r="C493" s="7">
        <f>Clients_Churn_Master[[#This Row],[Anciennete_Mois]]/12</f>
        <v>9.5</v>
      </c>
      <c r="D493" t="s">
        <v>45</v>
      </c>
      <c r="E493">
        <v>114</v>
      </c>
      <c r="F493" t="str">
        <f>IF(Clients_Churn_Master[[#This Row],[Type_Forfait]]="Pro Monde","B2B","B2C")</f>
        <v>B2B</v>
      </c>
      <c r="G493" s="4">
        <f>Clients_Churn_Master[[#This Row],[Duree_Cumulee_Panne_Min]]/1440</f>
        <v>0.15277777777777779</v>
      </c>
      <c r="H493" t="s">
        <v>558</v>
      </c>
      <c r="I493">
        <v>220</v>
      </c>
      <c r="J493" s="10">
        <v>63.67</v>
      </c>
      <c r="K493">
        <v>5</v>
      </c>
      <c r="L4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93" s="9">
        <f>Clients_Churn_Master[[#This Row],[Remise]]*Clients_Churn_Master[[#This Row],[Facture_Mensuelle]]</f>
        <v>6.3670000000000009</v>
      </c>
    </row>
    <row r="494" spans="1:13" x14ac:dyDescent="0.25">
      <c r="A494" t="s">
        <v>1690</v>
      </c>
      <c r="B494" t="s">
        <v>1051</v>
      </c>
      <c r="C494" s="7">
        <f>Clients_Churn_Master[[#This Row],[Anciennete_Mois]]/12</f>
        <v>3</v>
      </c>
      <c r="D494" t="s">
        <v>17</v>
      </c>
      <c r="E494">
        <v>36</v>
      </c>
      <c r="F494" t="str">
        <f>IF(Clients_Churn_Master[[#This Row],[Type_Forfait]]="Pro Monde","B2B","B2C")</f>
        <v>B2C</v>
      </c>
      <c r="G494" s="4">
        <f>Clients_Churn_Master[[#This Row],[Duree_Cumulee_Panne_Min]]/1440</f>
        <v>0.21597222222222223</v>
      </c>
      <c r="H494" t="s">
        <v>556</v>
      </c>
      <c r="I494">
        <v>311</v>
      </c>
      <c r="J494" s="10">
        <v>13.19</v>
      </c>
      <c r="K494">
        <v>4</v>
      </c>
      <c r="L4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4" s="9">
        <f>Clients_Churn_Master[[#This Row],[Remise]]*Clients_Churn_Master[[#This Row],[Facture_Mensuelle]]</f>
        <v>5.9355000000000002</v>
      </c>
    </row>
    <row r="495" spans="1:13" x14ac:dyDescent="0.25">
      <c r="A495" t="s">
        <v>1690</v>
      </c>
      <c r="B495" t="s">
        <v>1052</v>
      </c>
      <c r="C495" s="7">
        <f>Clients_Churn_Master[[#This Row],[Anciennete_Mois]]/12</f>
        <v>7.833333333333333</v>
      </c>
      <c r="D495" t="s">
        <v>17</v>
      </c>
      <c r="E495">
        <v>94</v>
      </c>
      <c r="F495" t="str">
        <f>IF(Clients_Churn_Master[[#This Row],[Type_Forfait]]="Pro Monde","B2B","B2C")</f>
        <v>B2C</v>
      </c>
      <c r="G495" s="4">
        <f>Clients_Churn_Master[[#This Row],[Duree_Cumulee_Panne_Min]]/1440</f>
        <v>7.9861111111111105E-2</v>
      </c>
      <c r="H495" t="s">
        <v>560</v>
      </c>
      <c r="I495">
        <v>115</v>
      </c>
      <c r="J495" s="10">
        <v>19.12</v>
      </c>
      <c r="K495">
        <v>0</v>
      </c>
      <c r="L4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95" s="9">
        <f>Clients_Churn_Master[[#This Row],[Remise]]*Clients_Churn_Master[[#This Row],[Facture_Mensuelle]]</f>
        <v>0</v>
      </c>
    </row>
    <row r="496" spans="1:13" x14ac:dyDescent="0.25">
      <c r="A496" t="s">
        <v>1697</v>
      </c>
      <c r="B496" t="s">
        <v>1053</v>
      </c>
      <c r="C496" s="7">
        <f>Clients_Churn_Master[[#This Row],[Anciennete_Mois]]/12</f>
        <v>5.416666666666667</v>
      </c>
      <c r="D496" t="s">
        <v>93</v>
      </c>
      <c r="E496">
        <v>65</v>
      </c>
      <c r="F496" t="str">
        <f>IF(Clients_Churn_Master[[#This Row],[Type_Forfait]]="Pro Monde","B2B","B2C")</f>
        <v>B2C</v>
      </c>
      <c r="G496" s="4">
        <f>Clients_Churn_Master[[#This Row],[Duree_Cumulee_Panne_Min]]/1440</f>
        <v>0.27569444444444446</v>
      </c>
      <c r="H496" t="s">
        <v>564</v>
      </c>
      <c r="I496">
        <v>397</v>
      </c>
      <c r="J496" s="10">
        <v>22.6</v>
      </c>
      <c r="K496">
        <v>5</v>
      </c>
      <c r="L4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6" s="9">
        <f>Clients_Churn_Master[[#This Row],[Remise]]*Clients_Churn_Master[[#This Row],[Facture_Mensuelle]]</f>
        <v>10.170000000000002</v>
      </c>
    </row>
    <row r="497" spans="1:13" x14ac:dyDescent="0.25">
      <c r="A497" t="s">
        <v>1694</v>
      </c>
      <c r="B497" t="s">
        <v>1054</v>
      </c>
      <c r="C497" s="7">
        <f>Clients_Churn_Master[[#This Row],[Anciennete_Mois]]/12</f>
        <v>9.8333333333333339</v>
      </c>
      <c r="D497" t="s">
        <v>82</v>
      </c>
      <c r="E497">
        <v>118</v>
      </c>
      <c r="F497" t="str">
        <f>IF(Clients_Churn_Master[[#This Row],[Type_Forfait]]="Pro Monde","B2B","B2C")</f>
        <v>B2C</v>
      </c>
      <c r="G497" s="4">
        <f>Clients_Churn_Master[[#This Row],[Duree_Cumulee_Panne_Min]]/1440</f>
        <v>0.33958333333333335</v>
      </c>
      <c r="H497" t="s">
        <v>560</v>
      </c>
      <c r="I497">
        <v>489</v>
      </c>
      <c r="J497" s="10">
        <v>76.22</v>
      </c>
      <c r="K497">
        <v>2</v>
      </c>
      <c r="L4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7" s="9">
        <f>Clients_Churn_Master[[#This Row],[Remise]]*Clients_Churn_Master[[#This Row],[Facture_Mensuelle]]</f>
        <v>34.298999999999999</v>
      </c>
    </row>
    <row r="498" spans="1:13" x14ac:dyDescent="0.25">
      <c r="A498" t="s">
        <v>1700</v>
      </c>
      <c r="B498" t="s">
        <v>1055</v>
      </c>
      <c r="C498" s="7">
        <f>Clients_Churn_Master[[#This Row],[Anciennete_Mois]]/12</f>
        <v>1.9166666666666667</v>
      </c>
      <c r="D498" t="s">
        <v>85</v>
      </c>
      <c r="E498">
        <v>23</v>
      </c>
      <c r="F498" t="str">
        <f>IF(Clients_Churn_Master[[#This Row],[Type_Forfait]]="Pro Monde","B2B","B2C")</f>
        <v>B2C</v>
      </c>
      <c r="G498" s="4">
        <f>Clients_Churn_Master[[#This Row],[Duree_Cumulee_Panne_Min]]/1440</f>
        <v>0.21805555555555556</v>
      </c>
      <c r="H498" t="s">
        <v>564</v>
      </c>
      <c r="I498">
        <v>314</v>
      </c>
      <c r="J498" s="10">
        <v>19.260000000000002</v>
      </c>
      <c r="K498">
        <v>3</v>
      </c>
      <c r="L4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8" s="9">
        <f>Clients_Churn_Master[[#This Row],[Remise]]*Clients_Churn_Master[[#This Row],[Facture_Mensuelle]]</f>
        <v>8.6670000000000016</v>
      </c>
    </row>
    <row r="499" spans="1:13" x14ac:dyDescent="0.25">
      <c r="A499" t="s">
        <v>1692</v>
      </c>
      <c r="B499" t="s">
        <v>1056</v>
      </c>
      <c r="C499" s="7">
        <f>Clients_Churn_Master[[#This Row],[Anciennete_Mois]]/12</f>
        <v>7.083333333333333</v>
      </c>
      <c r="D499" t="s">
        <v>17</v>
      </c>
      <c r="E499">
        <v>85</v>
      </c>
      <c r="F499" t="str">
        <f>IF(Clients_Churn_Master[[#This Row],[Type_Forfait]]="Pro Monde","B2B","B2C")</f>
        <v>B2B</v>
      </c>
      <c r="G499" s="4">
        <f>Clients_Churn_Master[[#This Row],[Duree_Cumulee_Panne_Min]]/1440</f>
        <v>4.1666666666666664E-2</v>
      </c>
      <c r="H499" t="s">
        <v>558</v>
      </c>
      <c r="I499">
        <v>60</v>
      </c>
      <c r="J499" s="10">
        <v>26.3</v>
      </c>
      <c r="K499">
        <v>2</v>
      </c>
      <c r="L4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99" s="9">
        <f>Clients_Churn_Master[[#This Row],[Remise]]*Clients_Churn_Master[[#This Row],[Facture_Mensuelle]]</f>
        <v>2.6300000000000003</v>
      </c>
    </row>
    <row r="500" spans="1:13" x14ac:dyDescent="0.25">
      <c r="A500" t="s">
        <v>1689</v>
      </c>
      <c r="B500" t="s">
        <v>1057</v>
      </c>
      <c r="C500" s="7">
        <f>Clients_Churn_Master[[#This Row],[Anciennete_Mois]]/12</f>
        <v>7.666666666666667</v>
      </c>
      <c r="D500" t="s">
        <v>52</v>
      </c>
      <c r="E500">
        <v>92</v>
      </c>
      <c r="F500" t="str">
        <f>IF(Clients_Churn_Master[[#This Row],[Type_Forfait]]="Pro Monde","B2B","B2C")</f>
        <v>B2C</v>
      </c>
      <c r="G500" s="4">
        <f>Clients_Churn_Master[[#This Row],[Duree_Cumulee_Panne_Min]]/1440</f>
        <v>4.1666666666666666E-3</v>
      </c>
      <c r="H500" t="s">
        <v>556</v>
      </c>
      <c r="I500">
        <v>6</v>
      </c>
      <c r="J500" s="10">
        <v>77.14</v>
      </c>
      <c r="K500">
        <v>5</v>
      </c>
      <c r="L5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0" s="9">
        <f>Clients_Churn_Master[[#This Row],[Remise]]*Clients_Churn_Master[[#This Row],[Facture_Mensuelle]]</f>
        <v>0</v>
      </c>
    </row>
    <row r="501" spans="1:13" x14ac:dyDescent="0.25">
      <c r="A501" t="s">
        <v>1689</v>
      </c>
      <c r="B501" t="s">
        <v>1058</v>
      </c>
      <c r="C501" s="7">
        <f>Clients_Churn_Master[[#This Row],[Anciennete_Mois]]/12</f>
        <v>9.75</v>
      </c>
      <c r="D501" t="s">
        <v>133</v>
      </c>
      <c r="E501">
        <v>117</v>
      </c>
      <c r="F501" t="str">
        <f>IF(Clients_Churn_Master[[#This Row],[Type_Forfait]]="Pro Monde","B2B","B2C")</f>
        <v>B2C</v>
      </c>
      <c r="G501" s="4">
        <f>Clients_Churn_Master[[#This Row],[Duree_Cumulee_Panne_Min]]/1440</f>
        <v>2.7083333333333334E-2</v>
      </c>
      <c r="H501" t="s">
        <v>560</v>
      </c>
      <c r="I501">
        <v>39</v>
      </c>
      <c r="J501" s="10">
        <v>26.53</v>
      </c>
      <c r="K501">
        <v>1</v>
      </c>
      <c r="L5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1" s="9">
        <f>Clients_Churn_Master[[#This Row],[Remise]]*Clients_Churn_Master[[#This Row],[Facture_Mensuelle]]</f>
        <v>0</v>
      </c>
    </row>
    <row r="502" spans="1:13" x14ac:dyDescent="0.25">
      <c r="A502" t="s">
        <v>1691</v>
      </c>
      <c r="B502" t="s">
        <v>1059</v>
      </c>
      <c r="C502" s="7">
        <f>Clients_Churn_Master[[#This Row],[Anciennete_Mois]]/12</f>
        <v>9.5</v>
      </c>
      <c r="D502" t="s">
        <v>93</v>
      </c>
      <c r="E502">
        <v>114</v>
      </c>
      <c r="F502" t="str">
        <f>IF(Clients_Churn_Master[[#This Row],[Type_Forfait]]="Pro Monde","B2B","B2C")</f>
        <v>B2C</v>
      </c>
      <c r="G502" s="4">
        <f>Clients_Churn_Master[[#This Row],[Duree_Cumulee_Panne_Min]]/1440</f>
        <v>0.16111111111111112</v>
      </c>
      <c r="H502" t="s">
        <v>564</v>
      </c>
      <c r="I502">
        <v>232</v>
      </c>
      <c r="J502" s="10">
        <v>42.2</v>
      </c>
      <c r="K502">
        <v>2</v>
      </c>
      <c r="L5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2" s="9">
        <f>Clients_Churn_Master[[#This Row],[Remise]]*Clients_Churn_Master[[#This Row],[Facture_Mensuelle]]</f>
        <v>0</v>
      </c>
    </row>
    <row r="503" spans="1:13" x14ac:dyDescent="0.25">
      <c r="A503" t="s">
        <v>1692</v>
      </c>
      <c r="B503" t="s">
        <v>1060</v>
      </c>
      <c r="C503" s="7">
        <f>Clients_Churn_Master[[#This Row],[Anciennete_Mois]]/12</f>
        <v>5.333333333333333</v>
      </c>
      <c r="D503" t="s">
        <v>96</v>
      </c>
      <c r="E503">
        <v>64</v>
      </c>
      <c r="F503" t="str">
        <f>IF(Clients_Churn_Master[[#This Row],[Type_Forfait]]="Pro Monde","B2B","B2C")</f>
        <v>B2C</v>
      </c>
      <c r="G503" s="4">
        <f>Clients_Churn_Master[[#This Row],[Duree_Cumulee_Panne_Min]]/1440</f>
        <v>0.1736111111111111</v>
      </c>
      <c r="H503" t="s">
        <v>556</v>
      </c>
      <c r="I503">
        <v>250</v>
      </c>
      <c r="J503" s="10">
        <v>56.7</v>
      </c>
      <c r="K503">
        <v>0</v>
      </c>
      <c r="L5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03" s="9">
        <f>Clients_Churn_Master[[#This Row],[Remise]]*Clients_Churn_Master[[#This Row],[Facture_Mensuelle]]</f>
        <v>25.515000000000001</v>
      </c>
    </row>
    <row r="504" spans="1:13" x14ac:dyDescent="0.25">
      <c r="A504" t="s">
        <v>1701</v>
      </c>
      <c r="B504" t="s">
        <v>1061</v>
      </c>
      <c r="C504" s="7">
        <f>Clients_Churn_Master[[#This Row],[Anciennete_Mois]]/12</f>
        <v>7.333333333333333</v>
      </c>
      <c r="D504" t="s">
        <v>13</v>
      </c>
      <c r="E504">
        <v>88</v>
      </c>
      <c r="F504" t="str">
        <f>IF(Clients_Churn_Master[[#This Row],[Type_Forfait]]="Pro Monde","B2B","B2C")</f>
        <v>B2C</v>
      </c>
      <c r="G504" s="4">
        <f>Clients_Churn_Master[[#This Row],[Duree_Cumulee_Panne_Min]]/1440</f>
        <v>0.15208333333333332</v>
      </c>
      <c r="H504" t="s">
        <v>564</v>
      </c>
      <c r="I504">
        <v>219</v>
      </c>
      <c r="J504" s="10">
        <v>59.15</v>
      </c>
      <c r="K504">
        <v>0</v>
      </c>
      <c r="L5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4" s="9">
        <f>Clients_Churn_Master[[#This Row],[Remise]]*Clients_Churn_Master[[#This Row],[Facture_Mensuelle]]</f>
        <v>0</v>
      </c>
    </row>
    <row r="505" spans="1:13" x14ac:dyDescent="0.25">
      <c r="A505" t="s">
        <v>1691</v>
      </c>
      <c r="B505" t="s">
        <v>1062</v>
      </c>
      <c r="C505" s="7">
        <f>Clients_Churn_Master[[#This Row],[Anciennete_Mois]]/12</f>
        <v>2.0833333333333335</v>
      </c>
      <c r="D505" t="s">
        <v>52</v>
      </c>
      <c r="E505">
        <v>25</v>
      </c>
      <c r="F505" t="str">
        <f>IF(Clients_Churn_Master[[#This Row],[Type_Forfait]]="Pro Monde","B2B","B2C")</f>
        <v>B2C</v>
      </c>
      <c r="G505" s="4">
        <f>Clients_Churn_Master[[#This Row],[Duree_Cumulee_Panne_Min]]/1440</f>
        <v>9.0972222222222218E-2</v>
      </c>
      <c r="H505" t="s">
        <v>556</v>
      </c>
      <c r="I505">
        <v>131</v>
      </c>
      <c r="J505" s="10">
        <v>67.489999999999995</v>
      </c>
      <c r="K505">
        <v>0</v>
      </c>
      <c r="L5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5" s="9">
        <f>Clients_Churn_Master[[#This Row],[Remise]]*Clients_Churn_Master[[#This Row],[Facture_Mensuelle]]</f>
        <v>0</v>
      </c>
    </row>
    <row r="506" spans="1:13" x14ac:dyDescent="0.25">
      <c r="A506" t="s">
        <v>1688</v>
      </c>
      <c r="B506" t="s">
        <v>1063</v>
      </c>
      <c r="C506" s="7">
        <f>Clients_Churn_Master[[#This Row],[Anciennete_Mois]]/12</f>
        <v>2.6666666666666665</v>
      </c>
      <c r="D506" t="s">
        <v>67</v>
      </c>
      <c r="E506">
        <v>32</v>
      </c>
      <c r="F506" t="str">
        <f>IF(Clients_Churn_Master[[#This Row],[Type_Forfait]]="Pro Monde","B2B","B2C")</f>
        <v>B2C</v>
      </c>
      <c r="G506" s="4">
        <f>Clients_Churn_Master[[#This Row],[Duree_Cumulee_Panne_Min]]/1440</f>
        <v>0.28125</v>
      </c>
      <c r="H506" t="s">
        <v>560</v>
      </c>
      <c r="I506">
        <v>405</v>
      </c>
      <c r="J506" s="10">
        <v>67.92</v>
      </c>
      <c r="K506">
        <v>3</v>
      </c>
      <c r="L5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06" s="9">
        <f>Clients_Churn_Master[[#This Row],[Remise]]*Clients_Churn_Master[[#This Row],[Facture_Mensuelle]]</f>
        <v>30.564</v>
      </c>
    </row>
    <row r="507" spans="1:13" x14ac:dyDescent="0.25">
      <c r="A507" t="s">
        <v>1700</v>
      </c>
      <c r="B507" t="s">
        <v>1064</v>
      </c>
      <c r="C507" s="7">
        <f>Clients_Churn_Master[[#This Row],[Anciennete_Mois]]/12</f>
        <v>3.4166666666666665</v>
      </c>
      <c r="D507" t="s">
        <v>27</v>
      </c>
      <c r="E507">
        <v>41</v>
      </c>
      <c r="F507" t="str">
        <f>IF(Clients_Churn_Master[[#This Row],[Type_Forfait]]="Pro Monde","B2B","B2C")</f>
        <v>B2C</v>
      </c>
      <c r="G507" s="4">
        <f>Clients_Churn_Master[[#This Row],[Duree_Cumulee_Panne_Min]]/1440</f>
        <v>1.3888888888888889E-3</v>
      </c>
      <c r="H507" t="s">
        <v>556</v>
      </c>
      <c r="I507">
        <v>2</v>
      </c>
      <c r="J507" s="10">
        <v>24.91</v>
      </c>
      <c r="K507">
        <v>1</v>
      </c>
      <c r="L5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7" s="9">
        <f>Clients_Churn_Master[[#This Row],[Remise]]*Clients_Churn_Master[[#This Row],[Facture_Mensuelle]]</f>
        <v>0</v>
      </c>
    </row>
    <row r="508" spans="1:13" x14ac:dyDescent="0.25">
      <c r="A508" t="s">
        <v>1692</v>
      </c>
      <c r="B508" t="s">
        <v>1065</v>
      </c>
      <c r="C508" s="7">
        <f>Clients_Churn_Master[[#This Row],[Anciennete_Mois]]/12</f>
        <v>8.5833333333333339</v>
      </c>
      <c r="D508" t="s">
        <v>41</v>
      </c>
      <c r="E508">
        <v>103</v>
      </c>
      <c r="F508" t="str">
        <f>IF(Clients_Churn_Master[[#This Row],[Type_Forfait]]="Pro Monde","B2B","B2C")</f>
        <v>B2C</v>
      </c>
      <c r="G508" s="4">
        <f>Clients_Churn_Master[[#This Row],[Duree_Cumulee_Panne_Min]]/1440</f>
        <v>0.24583333333333332</v>
      </c>
      <c r="H508" t="s">
        <v>564</v>
      </c>
      <c r="I508">
        <v>354</v>
      </c>
      <c r="J508" s="10">
        <v>26.19</v>
      </c>
      <c r="K508">
        <v>4</v>
      </c>
      <c r="L5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08" s="9">
        <f>Clients_Churn_Master[[#This Row],[Remise]]*Clients_Churn_Master[[#This Row],[Facture_Mensuelle]]</f>
        <v>11.785500000000001</v>
      </c>
    </row>
    <row r="509" spans="1:13" x14ac:dyDescent="0.25">
      <c r="A509" t="s">
        <v>1688</v>
      </c>
      <c r="B509" t="s">
        <v>1066</v>
      </c>
      <c r="C509" s="7">
        <f>Clients_Churn_Master[[#This Row],[Anciennete_Mois]]/12</f>
        <v>9</v>
      </c>
      <c r="D509" t="s">
        <v>24</v>
      </c>
      <c r="E509">
        <v>108</v>
      </c>
      <c r="F509" t="str">
        <f>IF(Clients_Churn_Master[[#This Row],[Type_Forfait]]="Pro Monde","B2B","B2C")</f>
        <v>B2C</v>
      </c>
      <c r="G509" s="4">
        <f>Clients_Churn_Master[[#This Row],[Duree_Cumulee_Panne_Min]]/1440</f>
        <v>0.22430555555555556</v>
      </c>
      <c r="H509" t="s">
        <v>564</v>
      </c>
      <c r="I509">
        <v>323</v>
      </c>
      <c r="J509" s="10">
        <v>58.54</v>
      </c>
      <c r="K509">
        <v>2</v>
      </c>
      <c r="L5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09" s="9">
        <f>Clients_Churn_Master[[#This Row],[Remise]]*Clients_Churn_Master[[#This Row],[Facture_Mensuelle]]</f>
        <v>26.343</v>
      </c>
    </row>
    <row r="510" spans="1:13" x14ac:dyDescent="0.25">
      <c r="A510" t="s">
        <v>1693</v>
      </c>
      <c r="B510" t="s">
        <v>1067</v>
      </c>
      <c r="C510" s="7">
        <f>Clients_Churn_Master[[#This Row],[Anciennete_Mois]]/12</f>
        <v>9.25</v>
      </c>
      <c r="D510" t="s">
        <v>85</v>
      </c>
      <c r="E510">
        <v>111</v>
      </c>
      <c r="F510" t="str">
        <f>IF(Clients_Churn_Master[[#This Row],[Type_Forfait]]="Pro Monde","B2B","B2C")</f>
        <v>B2C</v>
      </c>
      <c r="G510" s="4">
        <f>Clients_Churn_Master[[#This Row],[Duree_Cumulee_Panne_Min]]/1440</f>
        <v>3.7499999999999999E-2</v>
      </c>
      <c r="H510" t="s">
        <v>560</v>
      </c>
      <c r="I510">
        <v>54</v>
      </c>
      <c r="J510" s="10">
        <v>71.3</v>
      </c>
      <c r="K510">
        <v>0</v>
      </c>
      <c r="L5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0" s="9">
        <f>Clients_Churn_Master[[#This Row],[Remise]]*Clients_Churn_Master[[#This Row],[Facture_Mensuelle]]</f>
        <v>0</v>
      </c>
    </row>
    <row r="511" spans="1:13" x14ac:dyDescent="0.25">
      <c r="A511" t="s">
        <v>1691</v>
      </c>
      <c r="B511" t="s">
        <v>1068</v>
      </c>
      <c r="C511" s="7">
        <f>Clients_Churn_Master[[#This Row],[Anciennete_Mois]]/12</f>
        <v>0.5</v>
      </c>
      <c r="D511" t="s">
        <v>30</v>
      </c>
      <c r="E511">
        <v>6</v>
      </c>
      <c r="F511" t="str">
        <f>IF(Clients_Churn_Master[[#This Row],[Type_Forfait]]="Pro Monde","B2B","B2C")</f>
        <v>B2C</v>
      </c>
      <c r="G511" s="4">
        <f>Clients_Churn_Master[[#This Row],[Duree_Cumulee_Panne_Min]]/1440</f>
        <v>4.1666666666666666E-3</v>
      </c>
      <c r="H511" t="s">
        <v>556</v>
      </c>
      <c r="I511">
        <v>6</v>
      </c>
      <c r="J511" s="10">
        <v>72.27</v>
      </c>
      <c r="K511">
        <v>4</v>
      </c>
      <c r="L5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1" s="9">
        <f>Clients_Churn_Master[[#This Row],[Remise]]*Clients_Churn_Master[[#This Row],[Facture_Mensuelle]]</f>
        <v>0</v>
      </c>
    </row>
    <row r="512" spans="1:13" x14ac:dyDescent="0.25">
      <c r="A512" t="s">
        <v>1700</v>
      </c>
      <c r="B512" t="s">
        <v>1069</v>
      </c>
      <c r="C512" s="7">
        <f>Clients_Churn_Master[[#This Row],[Anciennete_Mois]]/12</f>
        <v>6.75</v>
      </c>
      <c r="D512" t="s">
        <v>27</v>
      </c>
      <c r="E512">
        <v>81</v>
      </c>
      <c r="F512" t="str">
        <f>IF(Clients_Churn_Master[[#This Row],[Type_Forfait]]="Pro Monde","B2B","B2C")</f>
        <v>B2B</v>
      </c>
      <c r="G512" s="4">
        <f>Clients_Churn_Master[[#This Row],[Duree_Cumulee_Panne_Min]]/1440</f>
        <v>0.30763888888888891</v>
      </c>
      <c r="H512" t="s">
        <v>558</v>
      </c>
      <c r="I512">
        <v>443</v>
      </c>
      <c r="J512" s="10">
        <v>32.78</v>
      </c>
      <c r="K512">
        <v>1</v>
      </c>
      <c r="L5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12" s="9">
        <f>Clients_Churn_Master[[#This Row],[Remise]]*Clients_Churn_Master[[#This Row],[Facture_Mensuelle]]</f>
        <v>14.751000000000001</v>
      </c>
    </row>
    <row r="513" spans="1:13" x14ac:dyDescent="0.25">
      <c r="A513" t="s">
        <v>1692</v>
      </c>
      <c r="B513" t="s">
        <v>1070</v>
      </c>
      <c r="C513" s="7">
        <f>Clients_Churn_Master[[#This Row],[Anciennete_Mois]]/12</f>
        <v>7.166666666666667</v>
      </c>
      <c r="D513" t="s">
        <v>13</v>
      </c>
      <c r="E513">
        <v>86</v>
      </c>
      <c r="F513" t="str">
        <f>IF(Clients_Churn_Master[[#This Row],[Type_Forfait]]="Pro Monde","B2B","B2C")</f>
        <v>B2B</v>
      </c>
      <c r="G513" s="4">
        <f>Clients_Churn_Master[[#This Row],[Duree_Cumulee_Panne_Min]]/1440</f>
        <v>0.13333333333333333</v>
      </c>
      <c r="H513" t="s">
        <v>558</v>
      </c>
      <c r="I513">
        <v>192</v>
      </c>
      <c r="J513" s="10">
        <v>26.26</v>
      </c>
      <c r="K513">
        <v>1</v>
      </c>
      <c r="L5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13" s="9">
        <f>Clients_Churn_Master[[#This Row],[Remise]]*Clients_Churn_Master[[#This Row],[Facture_Mensuelle]]</f>
        <v>2.6260000000000003</v>
      </c>
    </row>
    <row r="514" spans="1:13" x14ac:dyDescent="0.25">
      <c r="A514" t="s">
        <v>1688</v>
      </c>
      <c r="B514" t="s">
        <v>1071</v>
      </c>
      <c r="C514" s="7">
        <f>Clients_Churn_Master[[#This Row],[Anciennete_Mois]]/12</f>
        <v>5</v>
      </c>
      <c r="D514" t="s">
        <v>85</v>
      </c>
      <c r="E514">
        <v>60</v>
      </c>
      <c r="F514" t="str">
        <f>IF(Clients_Churn_Master[[#This Row],[Type_Forfait]]="Pro Monde","B2B","B2C")</f>
        <v>B2C</v>
      </c>
      <c r="G514" s="4">
        <f>Clients_Churn_Master[[#This Row],[Duree_Cumulee_Panne_Min]]/1440</f>
        <v>3.7499999999999999E-2</v>
      </c>
      <c r="H514" t="s">
        <v>560</v>
      </c>
      <c r="I514">
        <v>54</v>
      </c>
      <c r="J514" s="10">
        <v>67.180000000000007</v>
      </c>
      <c r="K514">
        <v>3</v>
      </c>
      <c r="L5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4" s="9">
        <f>Clients_Churn_Master[[#This Row],[Remise]]*Clients_Churn_Master[[#This Row],[Facture_Mensuelle]]</f>
        <v>0</v>
      </c>
    </row>
    <row r="515" spans="1:13" x14ac:dyDescent="0.25">
      <c r="A515" t="s">
        <v>1698</v>
      </c>
      <c r="B515" t="s">
        <v>1072</v>
      </c>
      <c r="C515" s="7">
        <f>Clients_Churn_Master[[#This Row],[Anciennete_Mois]]/12</f>
        <v>4.083333333333333</v>
      </c>
      <c r="D515" t="s">
        <v>96</v>
      </c>
      <c r="E515">
        <v>49</v>
      </c>
      <c r="F515" t="str">
        <f>IF(Clients_Churn_Master[[#This Row],[Type_Forfait]]="Pro Monde","B2B","B2C")</f>
        <v>B2C</v>
      </c>
      <c r="G515" s="4">
        <f>Clients_Churn_Master[[#This Row],[Duree_Cumulee_Panne_Min]]/1440</f>
        <v>0.24791666666666667</v>
      </c>
      <c r="H515" t="s">
        <v>564</v>
      </c>
      <c r="I515">
        <v>357</v>
      </c>
      <c r="J515" s="10">
        <v>96.67</v>
      </c>
      <c r="K515">
        <v>3</v>
      </c>
      <c r="L5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15" s="9">
        <f>Clients_Churn_Master[[#This Row],[Remise]]*Clients_Churn_Master[[#This Row],[Facture_Mensuelle]]</f>
        <v>43.5015</v>
      </c>
    </row>
    <row r="516" spans="1:13" x14ac:dyDescent="0.25">
      <c r="A516" t="s">
        <v>1693</v>
      </c>
      <c r="B516" t="s">
        <v>1073</v>
      </c>
      <c r="C516" s="7">
        <f>Clients_Churn_Master[[#This Row],[Anciennete_Mois]]/12</f>
        <v>5.75</v>
      </c>
      <c r="D516" t="s">
        <v>96</v>
      </c>
      <c r="E516">
        <v>69</v>
      </c>
      <c r="F516" t="str">
        <f>IF(Clients_Churn_Master[[#This Row],[Type_Forfait]]="Pro Monde","B2B","B2C")</f>
        <v>B2C</v>
      </c>
      <c r="G516" s="4">
        <f>Clients_Churn_Master[[#This Row],[Duree_Cumulee_Panne_Min]]/1440</f>
        <v>0.125</v>
      </c>
      <c r="H516" t="s">
        <v>556</v>
      </c>
      <c r="I516">
        <v>180</v>
      </c>
      <c r="J516" s="10">
        <v>76.05</v>
      </c>
      <c r="K516">
        <v>2</v>
      </c>
      <c r="L5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6" s="9">
        <f>Clients_Churn_Master[[#This Row],[Remise]]*Clients_Churn_Master[[#This Row],[Facture_Mensuelle]]</f>
        <v>0</v>
      </c>
    </row>
    <row r="517" spans="1:13" x14ac:dyDescent="0.25">
      <c r="A517" t="s">
        <v>1691</v>
      </c>
      <c r="B517" t="s">
        <v>1074</v>
      </c>
      <c r="C517" s="7">
        <f>Clients_Churn_Master[[#This Row],[Anciennete_Mois]]/12</f>
        <v>7.25</v>
      </c>
      <c r="D517" t="s">
        <v>85</v>
      </c>
      <c r="E517">
        <v>87</v>
      </c>
      <c r="F517" t="str">
        <f>IF(Clients_Churn_Master[[#This Row],[Type_Forfait]]="Pro Monde","B2B","B2C")</f>
        <v>B2B</v>
      </c>
      <c r="G517" s="4">
        <f>Clients_Churn_Master[[#This Row],[Duree_Cumulee_Panne_Min]]/1440</f>
        <v>0.30694444444444446</v>
      </c>
      <c r="H517" t="s">
        <v>558</v>
      </c>
      <c r="I517">
        <v>442</v>
      </c>
      <c r="J517" s="10">
        <v>22.39</v>
      </c>
      <c r="K517">
        <v>3</v>
      </c>
      <c r="L5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17" s="9">
        <f>Clients_Churn_Master[[#This Row],[Remise]]*Clients_Churn_Master[[#This Row],[Facture_Mensuelle]]</f>
        <v>10.0755</v>
      </c>
    </row>
    <row r="518" spans="1:13" x14ac:dyDescent="0.25">
      <c r="A518" t="s">
        <v>1691</v>
      </c>
      <c r="B518" t="s">
        <v>1075</v>
      </c>
      <c r="C518" s="7">
        <f>Clients_Churn_Master[[#This Row],[Anciennete_Mois]]/12</f>
        <v>4.833333333333333</v>
      </c>
      <c r="D518" t="s">
        <v>96</v>
      </c>
      <c r="E518">
        <v>58</v>
      </c>
      <c r="F518" t="str">
        <f>IF(Clients_Churn_Master[[#This Row],[Type_Forfait]]="Pro Monde","B2B","B2C")</f>
        <v>B2C</v>
      </c>
      <c r="G518" s="4">
        <f>Clients_Churn_Master[[#This Row],[Duree_Cumulee_Panne_Min]]/1440</f>
        <v>0.20347222222222222</v>
      </c>
      <c r="H518" t="s">
        <v>556</v>
      </c>
      <c r="I518">
        <v>293</v>
      </c>
      <c r="J518" s="10">
        <v>88.85</v>
      </c>
      <c r="K518">
        <v>5</v>
      </c>
      <c r="L5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18" s="9">
        <f>Clients_Churn_Master[[#This Row],[Remise]]*Clients_Churn_Master[[#This Row],[Facture_Mensuelle]]</f>
        <v>39.982500000000002</v>
      </c>
    </row>
    <row r="519" spans="1:13" x14ac:dyDescent="0.25">
      <c r="A519" t="s">
        <v>1695</v>
      </c>
      <c r="B519" t="s">
        <v>1076</v>
      </c>
      <c r="C519" s="7">
        <f>Clients_Churn_Master[[#This Row],[Anciennete_Mois]]/12</f>
        <v>7.083333333333333</v>
      </c>
      <c r="D519" t="s">
        <v>32</v>
      </c>
      <c r="E519">
        <v>85</v>
      </c>
      <c r="F519" t="str">
        <f>IF(Clients_Churn_Master[[#This Row],[Type_Forfait]]="Pro Monde","B2B","B2C")</f>
        <v>B2B</v>
      </c>
      <c r="G519" s="4">
        <f>Clients_Churn_Master[[#This Row],[Duree_Cumulee_Panne_Min]]/1440</f>
        <v>1.9444444444444445E-2</v>
      </c>
      <c r="H519" t="s">
        <v>558</v>
      </c>
      <c r="I519">
        <v>28</v>
      </c>
      <c r="J519" s="10">
        <v>83.82</v>
      </c>
      <c r="K519">
        <v>0</v>
      </c>
      <c r="L5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19" s="9">
        <f>Clients_Churn_Master[[#This Row],[Remise]]*Clients_Churn_Master[[#This Row],[Facture_Mensuelle]]</f>
        <v>8.3819999999999997</v>
      </c>
    </row>
    <row r="520" spans="1:13" x14ac:dyDescent="0.25">
      <c r="A520" t="s">
        <v>1694</v>
      </c>
      <c r="B520" t="s">
        <v>1077</v>
      </c>
      <c r="C520" s="7">
        <f>Clients_Churn_Master[[#This Row],[Anciennete_Mois]]/12</f>
        <v>9.75</v>
      </c>
      <c r="D520" t="s">
        <v>45</v>
      </c>
      <c r="E520">
        <v>117</v>
      </c>
      <c r="F520" t="str">
        <f>IF(Clients_Churn_Master[[#This Row],[Type_Forfait]]="Pro Monde","B2B","B2C")</f>
        <v>B2C</v>
      </c>
      <c r="G520" s="4">
        <f>Clients_Churn_Master[[#This Row],[Duree_Cumulee_Panne_Min]]/1440</f>
        <v>5.9027777777777776E-2</v>
      </c>
      <c r="H520" t="s">
        <v>556</v>
      </c>
      <c r="I520">
        <v>85</v>
      </c>
      <c r="J520" s="10">
        <v>46.16</v>
      </c>
      <c r="K520">
        <v>3</v>
      </c>
      <c r="L5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0" s="9">
        <f>Clients_Churn_Master[[#This Row],[Remise]]*Clients_Churn_Master[[#This Row],[Facture_Mensuelle]]</f>
        <v>0</v>
      </c>
    </row>
    <row r="521" spans="1:13" x14ac:dyDescent="0.25">
      <c r="A521" t="s">
        <v>1700</v>
      </c>
      <c r="B521" t="s">
        <v>1078</v>
      </c>
      <c r="C521" s="7">
        <f>Clients_Churn_Master[[#This Row],[Anciennete_Mois]]/12</f>
        <v>0.33333333333333331</v>
      </c>
      <c r="D521" t="s">
        <v>47</v>
      </c>
      <c r="E521">
        <v>4</v>
      </c>
      <c r="F521" t="str">
        <f>IF(Clients_Churn_Master[[#This Row],[Type_Forfait]]="Pro Monde","B2B","B2C")</f>
        <v>B2B</v>
      </c>
      <c r="G521" s="4">
        <f>Clients_Churn_Master[[#This Row],[Duree_Cumulee_Panne_Min]]/1440</f>
        <v>0.25833333333333336</v>
      </c>
      <c r="H521" t="s">
        <v>558</v>
      </c>
      <c r="I521">
        <v>372</v>
      </c>
      <c r="J521" s="10">
        <v>26.73</v>
      </c>
      <c r="K521">
        <v>3</v>
      </c>
      <c r="L5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1" s="9">
        <f>Clients_Churn_Master[[#This Row],[Remise]]*Clients_Churn_Master[[#This Row],[Facture_Mensuelle]]</f>
        <v>12.028500000000001</v>
      </c>
    </row>
    <row r="522" spans="1:13" x14ac:dyDescent="0.25">
      <c r="A522" t="s">
        <v>1696</v>
      </c>
      <c r="B522" t="s">
        <v>1079</v>
      </c>
      <c r="C522" s="7">
        <f>Clients_Churn_Master[[#This Row],[Anciennete_Mois]]/12</f>
        <v>8.0833333333333339</v>
      </c>
      <c r="D522" t="s">
        <v>133</v>
      </c>
      <c r="E522">
        <v>97</v>
      </c>
      <c r="F522" t="str">
        <f>IF(Clients_Churn_Master[[#This Row],[Type_Forfait]]="Pro Monde","B2B","B2C")</f>
        <v>B2C</v>
      </c>
      <c r="G522" s="4">
        <f>Clients_Churn_Master[[#This Row],[Duree_Cumulee_Panne_Min]]/1440</f>
        <v>0.12013888888888889</v>
      </c>
      <c r="H522" t="s">
        <v>556</v>
      </c>
      <c r="I522">
        <v>173</v>
      </c>
      <c r="J522" s="10">
        <v>19.37</v>
      </c>
      <c r="K522">
        <v>5</v>
      </c>
      <c r="L5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2" s="9">
        <f>Clients_Churn_Master[[#This Row],[Remise]]*Clients_Churn_Master[[#This Row],[Facture_Mensuelle]]</f>
        <v>0</v>
      </c>
    </row>
    <row r="523" spans="1:13" x14ac:dyDescent="0.25">
      <c r="A523" t="s">
        <v>1699</v>
      </c>
      <c r="B523" t="s">
        <v>1080</v>
      </c>
      <c r="C523" s="7">
        <f>Clients_Churn_Master[[#This Row],[Anciennete_Mois]]/12</f>
        <v>2.75</v>
      </c>
      <c r="D523" t="s">
        <v>62</v>
      </c>
      <c r="E523">
        <v>33</v>
      </c>
      <c r="F523" t="str">
        <f>IF(Clients_Churn_Master[[#This Row],[Type_Forfait]]="Pro Monde","B2B","B2C")</f>
        <v>B2C</v>
      </c>
      <c r="G523" s="4">
        <f>Clients_Churn_Master[[#This Row],[Duree_Cumulee_Panne_Min]]/1440</f>
        <v>0.18958333333333333</v>
      </c>
      <c r="H523" t="s">
        <v>556</v>
      </c>
      <c r="I523">
        <v>273</v>
      </c>
      <c r="J523" s="10">
        <v>49.8</v>
      </c>
      <c r="K523">
        <v>0</v>
      </c>
      <c r="L5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3" s="9">
        <f>Clients_Churn_Master[[#This Row],[Remise]]*Clients_Churn_Master[[#This Row],[Facture_Mensuelle]]</f>
        <v>22.41</v>
      </c>
    </row>
    <row r="524" spans="1:13" x14ac:dyDescent="0.25">
      <c r="A524" t="s">
        <v>1689</v>
      </c>
      <c r="B524" t="s">
        <v>1081</v>
      </c>
      <c r="C524" s="7">
        <f>Clients_Churn_Master[[#This Row],[Anciennete_Mois]]/12</f>
        <v>3.4166666666666665</v>
      </c>
      <c r="D524" t="s">
        <v>133</v>
      </c>
      <c r="E524">
        <v>41</v>
      </c>
      <c r="F524" t="str">
        <f>IF(Clients_Churn_Master[[#This Row],[Type_Forfait]]="Pro Monde","B2B","B2C")</f>
        <v>B2C</v>
      </c>
      <c r="G524" s="4">
        <f>Clients_Churn_Master[[#This Row],[Duree_Cumulee_Panne_Min]]/1440</f>
        <v>0.26597222222222222</v>
      </c>
      <c r="H524" t="s">
        <v>564</v>
      </c>
      <c r="I524">
        <v>383</v>
      </c>
      <c r="J524" s="10">
        <v>27.53</v>
      </c>
      <c r="K524">
        <v>4</v>
      </c>
      <c r="L5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4" s="9">
        <f>Clients_Churn_Master[[#This Row],[Remise]]*Clients_Churn_Master[[#This Row],[Facture_Mensuelle]]</f>
        <v>12.388500000000001</v>
      </c>
    </row>
    <row r="525" spans="1:13" x14ac:dyDescent="0.25">
      <c r="A525" t="s">
        <v>1692</v>
      </c>
      <c r="B525" t="s">
        <v>1082</v>
      </c>
      <c r="C525" s="7">
        <f>Clients_Churn_Master[[#This Row],[Anciennete_Mois]]/12</f>
        <v>6.416666666666667</v>
      </c>
      <c r="D525" t="s">
        <v>37</v>
      </c>
      <c r="E525">
        <v>77</v>
      </c>
      <c r="F525" t="str">
        <f>IF(Clients_Churn_Master[[#This Row],[Type_Forfait]]="Pro Monde","B2B","B2C")</f>
        <v>B2C</v>
      </c>
      <c r="G525" s="4">
        <f>Clients_Churn_Master[[#This Row],[Duree_Cumulee_Panne_Min]]/1440</f>
        <v>3.125E-2</v>
      </c>
      <c r="H525" t="s">
        <v>560</v>
      </c>
      <c r="I525">
        <v>45</v>
      </c>
      <c r="J525" s="10">
        <v>21.59</v>
      </c>
      <c r="K525">
        <v>2</v>
      </c>
      <c r="L5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5" s="9">
        <f>Clients_Churn_Master[[#This Row],[Remise]]*Clients_Churn_Master[[#This Row],[Facture_Mensuelle]]</f>
        <v>0</v>
      </c>
    </row>
    <row r="526" spans="1:13" x14ac:dyDescent="0.25">
      <c r="A526" t="s">
        <v>1699</v>
      </c>
      <c r="B526" t="s">
        <v>1083</v>
      </c>
      <c r="C526" s="7">
        <f>Clients_Churn_Master[[#This Row],[Anciennete_Mois]]/12</f>
        <v>0.16666666666666666</v>
      </c>
      <c r="D526" t="s">
        <v>21</v>
      </c>
      <c r="E526">
        <v>2</v>
      </c>
      <c r="F526" t="str">
        <f>IF(Clients_Churn_Master[[#This Row],[Type_Forfait]]="Pro Monde","B2B","B2C")</f>
        <v>B2C</v>
      </c>
      <c r="G526" s="4">
        <f>Clients_Churn_Master[[#This Row],[Duree_Cumulee_Panne_Min]]/1440</f>
        <v>9.8611111111111108E-2</v>
      </c>
      <c r="H526" t="s">
        <v>556</v>
      </c>
      <c r="I526">
        <v>142</v>
      </c>
      <c r="J526" s="10">
        <v>49.05</v>
      </c>
      <c r="K526">
        <v>4</v>
      </c>
      <c r="L5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6" s="9">
        <f>Clients_Churn_Master[[#This Row],[Remise]]*Clients_Churn_Master[[#This Row],[Facture_Mensuelle]]</f>
        <v>0</v>
      </c>
    </row>
    <row r="527" spans="1:13" x14ac:dyDescent="0.25">
      <c r="A527" t="s">
        <v>1690</v>
      </c>
      <c r="B527" t="s">
        <v>1084</v>
      </c>
      <c r="C527" s="7">
        <f>Clients_Churn_Master[[#This Row],[Anciennete_Mois]]/12</f>
        <v>1.0833333333333333</v>
      </c>
      <c r="D527" t="s">
        <v>49</v>
      </c>
      <c r="E527">
        <v>13</v>
      </c>
      <c r="F527" t="str">
        <f>IF(Clients_Churn_Master[[#This Row],[Type_Forfait]]="Pro Monde","B2B","B2C")</f>
        <v>B2C</v>
      </c>
      <c r="G527" s="4">
        <f>Clients_Churn_Master[[#This Row],[Duree_Cumulee_Panne_Min]]/1440</f>
        <v>0.21527777777777779</v>
      </c>
      <c r="H527" t="s">
        <v>560</v>
      </c>
      <c r="I527">
        <v>310</v>
      </c>
      <c r="J527" s="10">
        <v>65.599999999999994</v>
      </c>
      <c r="K527">
        <v>5</v>
      </c>
      <c r="L5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7" s="9">
        <f>Clients_Churn_Master[[#This Row],[Remise]]*Clients_Churn_Master[[#This Row],[Facture_Mensuelle]]</f>
        <v>29.52</v>
      </c>
    </row>
    <row r="528" spans="1:13" x14ac:dyDescent="0.25">
      <c r="A528" t="s">
        <v>1690</v>
      </c>
      <c r="B528" t="s">
        <v>1085</v>
      </c>
      <c r="C528" s="7">
        <f>Clients_Churn_Master[[#This Row],[Anciennete_Mois]]/12</f>
        <v>6.5</v>
      </c>
      <c r="D528" t="s">
        <v>52</v>
      </c>
      <c r="E528">
        <v>78</v>
      </c>
      <c r="F528" t="str">
        <f>IF(Clients_Churn_Master[[#This Row],[Type_Forfait]]="Pro Monde","B2B","B2C")</f>
        <v>B2C</v>
      </c>
      <c r="G528" s="4">
        <f>Clients_Churn_Master[[#This Row],[Duree_Cumulee_Panne_Min]]/1440</f>
        <v>3.9583333333333331E-2</v>
      </c>
      <c r="H528" t="s">
        <v>556</v>
      </c>
      <c r="I528">
        <v>57</v>
      </c>
      <c r="J528" s="10">
        <v>49.47</v>
      </c>
      <c r="K528">
        <v>0</v>
      </c>
      <c r="L5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8" s="9">
        <f>Clients_Churn_Master[[#This Row],[Remise]]*Clients_Churn_Master[[#This Row],[Facture_Mensuelle]]</f>
        <v>0</v>
      </c>
    </row>
    <row r="529" spans="1:13" x14ac:dyDescent="0.25">
      <c r="A529" t="s">
        <v>1692</v>
      </c>
      <c r="B529" t="s">
        <v>1086</v>
      </c>
      <c r="C529" s="7">
        <f>Clients_Churn_Master[[#This Row],[Anciennete_Mois]]/12</f>
        <v>7.5</v>
      </c>
      <c r="D529" t="s">
        <v>24</v>
      </c>
      <c r="E529">
        <v>90</v>
      </c>
      <c r="F529" t="str">
        <f>IF(Clients_Churn_Master[[#This Row],[Type_Forfait]]="Pro Monde","B2B","B2C")</f>
        <v>B2C</v>
      </c>
      <c r="G529" s="4">
        <f>Clients_Churn_Master[[#This Row],[Duree_Cumulee_Panne_Min]]/1440</f>
        <v>0.23819444444444443</v>
      </c>
      <c r="H529" t="s">
        <v>560</v>
      </c>
      <c r="I529">
        <v>343</v>
      </c>
      <c r="J529" s="10">
        <v>82.05</v>
      </c>
      <c r="K529">
        <v>1</v>
      </c>
      <c r="L5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9" s="9">
        <f>Clients_Churn_Master[[#This Row],[Remise]]*Clients_Churn_Master[[#This Row],[Facture_Mensuelle]]</f>
        <v>36.922499999999999</v>
      </c>
    </row>
    <row r="530" spans="1:13" x14ac:dyDescent="0.25">
      <c r="A530" t="s">
        <v>1688</v>
      </c>
      <c r="B530" t="s">
        <v>1087</v>
      </c>
      <c r="C530" s="7">
        <f>Clients_Churn_Master[[#This Row],[Anciennete_Mois]]/12</f>
        <v>8</v>
      </c>
      <c r="D530" t="s">
        <v>30</v>
      </c>
      <c r="E530">
        <v>96</v>
      </c>
      <c r="F530" t="str">
        <f>IF(Clients_Churn_Master[[#This Row],[Type_Forfait]]="Pro Monde","B2B","B2C")</f>
        <v>B2C</v>
      </c>
      <c r="G530" s="4">
        <f>Clients_Churn_Master[[#This Row],[Duree_Cumulee_Panne_Min]]/1440</f>
        <v>0.14583333333333334</v>
      </c>
      <c r="H530" t="s">
        <v>560</v>
      </c>
      <c r="I530">
        <v>210</v>
      </c>
      <c r="J530" s="10">
        <v>28.39</v>
      </c>
      <c r="K530">
        <v>3</v>
      </c>
      <c r="L5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0" s="9">
        <f>Clients_Churn_Master[[#This Row],[Remise]]*Clients_Churn_Master[[#This Row],[Facture_Mensuelle]]</f>
        <v>0</v>
      </c>
    </row>
    <row r="531" spans="1:13" x14ac:dyDescent="0.25">
      <c r="A531" t="s">
        <v>1696</v>
      </c>
      <c r="B531" t="s">
        <v>1088</v>
      </c>
      <c r="C531" s="7">
        <f>Clients_Churn_Master[[#This Row],[Anciennete_Mois]]/12</f>
        <v>1</v>
      </c>
      <c r="D531" t="s">
        <v>47</v>
      </c>
      <c r="E531">
        <v>12</v>
      </c>
      <c r="F531" t="str">
        <f>IF(Clients_Churn_Master[[#This Row],[Type_Forfait]]="Pro Monde","B2B","B2C")</f>
        <v>B2C</v>
      </c>
      <c r="G531" s="4">
        <f>Clients_Churn_Master[[#This Row],[Duree_Cumulee_Panne_Min]]/1440</f>
        <v>9.583333333333334E-2</v>
      </c>
      <c r="H531" t="s">
        <v>564</v>
      </c>
      <c r="I531">
        <v>138</v>
      </c>
      <c r="J531" s="10">
        <v>99.83</v>
      </c>
      <c r="K531">
        <v>1</v>
      </c>
      <c r="L5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1" s="9">
        <f>Clients_Churn_Master[[#This Row],[Remise]]*Clients_Churn_Master[[#This Row],[Facture_Mensuelle]]</f>
        <v>44.923499999999997</v>
      </c>
    </row>
    <row r="532" spans="1:13" x14ac:dyDescent="0.25">
      <c r="A532" t="s">
        <v>1691</v>
      </c>
      <c r="B532" t="s">
        <v>1089</v>
      </c>
      <c r="C532" s="7">
        <f>Clients_Churn_Master[[#This Row],[Anciennete_Mois]]/12</f>
        <v>9.1666666666666661</v>
      </c>
      <c r="D532" t="s">
        <v>32</v>
      </c>
      <c r="E532">
        <v>110</v>
      </c>
      <c r="F532" t="str">
        <f>IF(Clients_Churn_Master[[#This Row],[Type_Forfait]]="Pro Monde","B2B","B2C")</f>
        <v>B2C</v>
      </c>
      <c r="G532" s="4">
        <f>Clients_Churn_Master[[#This Row],[Duree_Cumulee_Panne_Min]]/1440</f>
        <v>3.5416666666666666E-2</v>
      </c>
      <c r="H532" t="s">
        <v>564</v>
      </c>
      <c r="I532">
        <v>51</v>
      </c>
      <c r="J532" s="10">
        <v>56.59</v>
      </c>
      <c r="K532">
        <v>5</v>
      </c>
      <c r="L5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2" s="9">
        <f>Clients_Churn_Master[[#This Row],[Remise]]*Clients_Churn_Master[[#This Row],[Facture_Mensuelle]]</f>
        <v>0</v>
      </c>
    </row>
    <row r="533" spans="1:13" x14ac:dyDescent="0.25">
      <c r="A533" t="s">
        <v>1698</v>
      </c>
      <c r="B533" t="s">
        <v>1090</v>
      </c>
      <c r="C533" s="7">
        <f>Clients_Churn_Master[[#This Row],[Anciennete_Mois]]/12</f>
        <v>9.25</v>
      </c>
      <c r="D533" t="s">
        <v>45</v>
      </c>
      <c r="E533">
        <v>111</v>
      </c>
      <c r="F533" t="str">
        <f>IF(Clients_Churn_Master[[#This Row],[Type_Forfait]]="Pro Monde","B2B","B2C")</f>
        <v>B2C</v>
      </c>
      <c r="G533" s="4">
        <f>Clients_Churn_Master[[#This Row],[Duree_Cumulee_Panne_Min]]/1440</f>
        <v>2.9861111111111113E-2</v>
      </c>
      <c r="H533" t="s">
        <v>564</v>
      </c>
      <c r="I533">
        <v>43</v>
      </c>
      <c r="J533" s="10">
        <v>19.39</v>
      </c>
      <c r="K533">
        <v>3</v>
      </c>
      <c r="L5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3" s="9">
        <f>Clients_Churn_Master[[#This Row],[Remise]]*Clients_Churn_Master[[#This Row],[Facture_Mensuelle]]</f>
        <v>0</v>
      </c>
    </row>
    <row r="534" spans="1:13" x14ac:dyDescent="0.25">
      <c r="A534" t="s">
        <v>1694</v>
      </c>
      <c r="B534" t="s">
        <v>1091</v>
      </c>
      <c r="C534" s="7">
        <f>Clients_Churn_Master[[#This Row],[Anciennete_Mois]]/12</f>
        <v>4.583333333333333</v>
      </c>
      <c r="D534" t="s">
        <v>32</v>
      </c>
      <c r="E534">
        <v>55</v>
      </c>
      <c r="F534" t="str">
        <f>IF(Clients_Churn_Master[[#This Row],[Type_Forfait]]="Pro Monde","B2B","B2C")</f>
        <v>B2B</v>
      </c>
      <c r="G534" s="4">
        <f>Clients_Churn_Master[[#This Row],[Duree_Cumulee_Panne_Min]]/1440</f>
        <v>0.27013888888888887</v>
      </c>
      <c r="H534" t="s">
        <v>558</v>
      </c>
      <c r="I534">
        <v>389</v>
      </c>
      <c r="J534" s="10">
        <v>67.430000000000007</v>
      </c>
      <c r="K534">
        <v>3</v>
      </c>
      <c r="L5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4" s="9">
        <f>Clients_Churn_Master[[#This Row],[Remise]]*Clients_Churn_Master[[#This Row],[Facture_Mensuelle]]</f>
        <v>30.343500000000002</v>
      </c>
    </row>
    <row r="535" spans="1:13" x14ac:dyDescent="0.25">
      <c r="A535" t="s">
        <v>1700</v>
      </c>
      <c r="B535" t="s">
        <v>1092</v>
      </c>
      <c r="C535" s="7">
        <f>Clients_Churn_Master[[#This Row],[Anciennete_Mois]]/12</f>
        <v>1.0833333333333333</v>
      </c>
      <c r="D535" t="s">
        <v>133</v>
      </c>
      <c r="E535">
        <v>13</v>
      </c>
      <c r="F535" t="str">
        <f>IF(Clients_Churn_Master[[#This Row],[Type_Forfait]]="Pro Monde","B2B","B2C")</f>
        <v>B2B</v>
      </c>
      <c r="G535" s="4">
        <f>Clients_Churn_Master[[#This Row],[Duree_Cumulee_Panne_Min]]/1440</f>
        <v>0.32916666666666666</v>
      </c>
      <c r="H535" t="s">
        <v>558</v>
      </c>
      <c r="I535">
        <v>474</v>
      </c>
      <c r="J535" s="10">
        <v>63.67</v>
      </c>
      <c r="K535">
        <v>2</v>
      </c>
      <c r="L5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5" s="9">
        <f>Clients_Churn_Master[[#This Row],[Remise]]*Clients_Churn_Master[[#This Row],[Facture_Mensuelle]]</f>
        <v>28.651500000000002</v>
      </c>
    </row>
    <row r="536" spans="1:13" x14ac:dyDescent="0.25">
      <c r="A536" t="s">
        <v>1699</v>
      </c>
      <c r="B536" t="s">
        <v>1093</v>
      </c>
      <c r="C536" s="7">
        <f>Clients_Churn_Master[[#This Row],[Anciennete_Mois]]/12</f>
        <v>3.5833333333333335</v>
      </c>
      <c r="D536" t="s">
        <v>24</v>
      </c>
      <c r="E536">
        <v>43</v>
      </c>
      <c r="F536" t="str">
        <f>IF(Clients_Churn_Master[[#This Row],[Type_Forfait]]="Pro Monde","B2B","B2C")</f>
        <v>B2C</v>
      </c>
      <c r="G536" s="4">
        <f>Clients_Churn_Master[[#This Row],[Duree_Cumulee_Panne_Min]]/1440</f>
        <v>1.8055555555555554E-2</v>
      </c>
      <c r="H536" t="s">
        <v>560</v>
      </c>
      <c r="I536">
        <v>26</v>
      </c>
      <c r="J536" s="10">
        <v>25.85</v>
      </c>
      <c r="K536">
        <v>1</v>
      </c>
      <c r="L5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6" s="9">
        <f>Clients_Churn_Master[[#This Row],[Remise]]*Clients_Churn_Master[[#This Row],[Facture_Mensuelle]]</f>
        <v>0</v>
      </c>
    </row>
    <row r="537" spans="1:13" x14ac:dyDescent="0.25">
      <c r="A537" t="s">
        <v>1696</v>
      </c>
      <c r="B537" t="s">
        <v>1094</v>
      </c>
      <c r="C537" s="7">
        <f>Clients_Churn_Master[[#This Row],[Anciennete_Mois]]/12</f>
        <v>5.25</v>
      </c>
      <c r="D537" t="s">
        <v>30</v>
      </c>
      <c r="E537">
        <v>63</v>
      </c>
      <c r="F537" t="str">
        <f>IF(Clients_Churn_Master[[#This Row],[Type_Forfait]]="Pro Monde","B2B","B2C")</f>
        <v>B2C</v>
      </c>
      <c r="G537" s="4">
        <f>Clients_Churn_Master[[#This Row],[Duree_Cumulee_Panne_Min]]/1440</f>
        <v>0.12291666666666666</v>
      </c>
      <c r="H537" t="s">
        <v>564</v>
      </c>
      <c r="I537">
        <v>177</v>
      </c>
      <c r="J537" s="10">
        <v>77.73</v>
      </c>
      <c r="K537">
        <v>3</v>
      </c>
      <c r="L5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7" s="9">
        <f>Clients_Churn_Master[[#This Row],[Remise]]*Clients_Churn_Master[[#This Row],[Facture_Mensuelle]]</f>
        <v>0</v>
      </c>
    </row>
    <row r="538" spans="1:13" x14ac:dyDescent="0.25">
      <c r="A538" t="s">
        <v>1697</v>
      </c>
      <c r="B538" t="s">
        <v>1095</v>
      </c>
      <c r="C538" s="7">
        <f>Clients_Churn_Master[[#This Row],[Anciennete_Mois]]/12</f>
        <v>0.58333333333333337</v>
      </c>
      <c r="D538" t="s">
        <v>55</v>
      </c>
      <c r="E538">
        <v>7</v>
      </c>
      <c r="F538" t="str">
        <f>IF(Clients_Churn_Master[[#This Row],[Type_Forfait]]="Pro Monde","B2B","B2C")</f>
        <v>B2C</v>
      </c>
      <c r="G538" s="4">
        <f>Clients_Churn_Master[[#This Row],[Duree_Cumulee_Panne_Min]]/1440</f>
        <v>0.14305555555555555</v>
      </c>
      <c r="H538" t="s">
        <v>564</v>
      </c>
      <c r="I538">
        <v>206</v>
      </c>
      <c r="J538" s="10">
        <v>78.09</v>
      </c>
      <c r="K538">
        <v>3</v>
      </c>
      <c r="L5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8" s="9">
        <f>Clients_Churn_Master[[#This Row],[Remise]]*Clients_Churn_Master[[#This Row],[Facture_Mensuelle]]</f>
        <v>35.140500000000003</v>
      </c>
    </row>
    <row r="539" spans="1:13" x14ac:dyDescent="0.25">
      <c r="A539" t="s">
        <v>1697</v>
      </c>
      <c r="B539" t="s">
        <v>1096</v>
      </c>
      <c r="C539" s="7">
        <f>Clients_Churn_Master[[#This Row],[Anciennete_Mois]]/12</f>
        <v>9.75</v>
      </c>
      <c r="D539" t="s">
        <v>52</v>
      </c>
      <c r="E539">
        <v>117</v>
      </c>
      <c r="F539" t="str">
        <f>IF(Clients_Churn_Master[[#This Row],[Type_Forfait]]="Pro Monde","B2B","B2C")</f>
        <v>B2C</v>
      </c>
      <c r="G539" s="4">
        <f>Clients_Churn_Master[[#This Row],[Duree_Cumulee_Panne_Min]]/1440</f>
        <v>0.11874999999999999</v>
      </c>
      <c r="H539" t="s">
        <v>560</v>
      </c>
      <c r="I539">
        <v>171</v>
      </c>
      <c r="J539" s="10">
        <v>50.89</v>
      </c>
      <c r="K539">
        <v>4</v>
      </c>
      <c r="L5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9" s="9">
        <f>Clients_Churn_Master[[#This Row],[Remise]]*Clients_Churn_Master[[#This Row],[Facture_Mensuelle]]</f>
        <v>0</v>
      </c>
    </row>
    <row r="540" spans="1:13" x14ac:dyDescent="0.25">
      <c r="A540" t="s">
        <v>1701</v>
      </c>
      <c r="B540" t="s">
        <v>1097</v>
      </c>
      <c r="C540" s="7">
        <f>Clients_Churn_Master[[#This Row],[Anciennete_Mois]]/12</f>
        <v>4.75</v>
      </c>
      <c r="D540" t="s">
        <v>43</v>
      </c>
      <c r="E540">
        <v>57</v>
      </c>
      <c r="F540" t="str">
        <f>IF(Clients_Churn_Master[[#This Row],[Type_Forfait]]="Pro Monde","B2B","B2C")</f>
        <v>B2C</v>
      </c>
      <c r="G540" s="4">
        <f>Clients_Churn_Master[[#This Row],[Duree_Cumulee_Panne_Min]]/1440</f>
        <v>0.31041666666666667</v>
      </c>
      <c r="H540" t="s">
        <v>556</v>
      </c>
      <c r="I540">
        <v>447</v>
      </c>
      <c r="J540" s="10">
        <v>23.27</v>
      </c>
      <c r="K540">
        <v>3</v>
      </c>
      <c r="L5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0" s="9">
        <f>Clients_Churn_Master[[#This Row],[Remise]]*Clients_Churn_Master[[#This Row],[Facture_Mensuelle]]</f>
        <v>10.471500000000001</v>
      </c>
    </row>
    <row r="541" spans="1:13" x14ac:dyDescent="0.25">
      <c r="A541" t="s">
        <v>1696</v>
      </c>
      <c r="B541" t="s">
        <v>1098</v>
      </c>
      <c r="C541" s="7">
        <f>Clients_Churn_Master[[#This Row],[Anciennete_Mois]]/12</f>
        <v>8.5</v>
      </c>
      <c r="D541" t="s">
        <v>52</v>
      </c>
      <c r="E541">
        <v>102</v>
      </c>
      <c r="F541" t="str">
        <f>IF(Clients_Churn_Master[[#This Row],[Type_Forfait]]="Pro Monde","B2B","B2C")</f>
        <v>B2C</v>
      </c>
      <c r="G541" s="4">
        <f>Clients_Churn_Master[[#This Row],[Duree_Cumulee_Panne_Min]]/1440</f>
        <v>0.33611111111111114</v>
      </c>
      <c r="H541" t="s">
        <v>556</v>
      </c>
      <c r="I541">
        <v>484</v>
      </c>
      <c r="J541" s="10">
        <v>64.22</v>
      </c>
      <c r="K541">
        <v>2</v>
      </c>
      <c r="L5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1" s="9">
        <f>Clients_Churn_Master[[#This Row],[Remise]]*Clients_Churn_Master[[#This Row],[Facture_Mensuelle]]</f>
        <v>28.899000000000001</v>
      </c>
    </row>
    <row r="542" spans="1:13" x14ac:dyDescent="0.25">
      <c r="A542" t="s">
        <v>1692</v>
      </c>
      <c r="B542" t="s">
        <v>1099</v>
      </c>
      <c r="C542" s="7">
        <f>Clients_Churn_Master[[#This Row],[Anciennete_Mois]]/12</f>
        <v>5.583333333333333</v>
      </c>
      <c r="D542" t="s">
        <v>34</v>
      </c>
      <c r="E542">
        <v>67</v>
      </c>
      <c r="F542" t="str">
        <f>IF(Clients_Churn_Master[[#This Row],[Type_Forfait]]="Pro Monde","B2B","B2C")</f>
        <v>B2B</v>
      </c>
      <c r="G542" s="4">
        <f>Clients_Churn_Master[[#This Row],[Duree_Cumulee_Panne_Min]]/1440</f>
        <v>1.8055555555555554E-2</v>
      </c>
      <c r="H542" t="s">
        <v>558</v>
      </c>
      <c r="I542">
        <v>26</v>
      </c>
      <c r="J542" s="10">
        <v>81.489999999999995</v>
      </c>
      <c r="K542">
        <v>4</v>
      </c>
      <c r="L5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42" s="9">
        <f>Clients_Churn_Master[[#This Row],[Remise]]*Clients_Churn_Master[[#This Row],[Facture_Mensuelle]]</f>
        <v>8.1489999999999991</v>
      </c>
    </row>
    <row r="543" spans="1:13" x14ac:dyDescent="0.25">
      <c r="A543" t="s">
        <v>1698</v>
      </c>
      <c r="B543" t="s">
        <v>1100</v>
      </c>
      <c r="C543" s="7">
        <f>Clients_Churn_Master[[#This Row],[Anciennete_Mois]]/12</f>
        <v>5.916666666666667</v>
      </c>
      <c r="D543" t="s">
        <v>47</v>
      </c>
      <c r="E543">
        <v>71</v>
      </c>
      <c r="F543" t="str">
        <f>IF(Clients_Churn_Master[[#This Row],[Type_Forfait]]="Pro Monde","B2B","B2C")</f>
        <v>B2C</v>
      </c>
      <c r="G543" s="4">
        <f>Clients_Churn_Master[[#This Row],[Duree_Cumulee_Panne_Min]]/1440</f>
        <v>1.0416666666666666E-2</v>
      </c>
      <c r="H543" t="s">
        <v>564</v>
      </c>
      <c r="I543">
        <v>15</v>
      </c>
      <c r="J543" s="10">
        <v>25.46</v>
      </c>
      <c r="K543">
        <v>5</v>
      </c>
      <c r="L5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43" s="9">
        <f>Clients_Churn_Master[[#This Row],[Remise]]*Clients_Churn_Master[[#This Row],[Facture_Mensuelle]]</f>
        <v>0</v>
      </c>
    </row>
    <row r="544" spans="1:13" x14ac:dyDescent="0.25">
      <c r="A544" t="s">
        <v>1693</v>
      </c>
      <c r="B544" t="s">
        <v>1101</v>
      </c>
      <c r="C544" s="7">
        <f>Clients_Churn_Master[[#This Row],[Anciennete_Mois]]/12</f>
        <v>0.83333333333333337</v>
      </c>
      <c r="D544" t="s">
        <v>49</v>
      </c>
      <c r="E544">
        <v>10</v>
      </c>
      <c r="F544" t="str">
        <f>IF(Clients_Churn_Master[[#This Row],[Type_Forfait]]="Pro Monde","B2B","B2C")</f>
        <v>B2C</v>
      </c>
      <c r="G544" s="4">
        <f>Clients_Churn_Master[[#This Row],[Duree_Cumulee_Panne_Min]]/1440</f>
        <v>0.18055555555555555</v>
      </c>
      <c r="H544" t="s">
        <v>560</v>
      </c>
      <c r="I544">
        <v>260</v>
      </c>
      <c r="J544" s="10">
        <v>37.479999999999997</v>
      </c>
      <c r="K544">
        <v>2</v>
      </c>
      <c r="L5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4" s="9">
        <f>Clients_Churn_Master[[#This Row],[Remise]]*Clients_Churn_Master[[#This Row],[Facture_Mensuelle]]</f>
        <v>16.866</v>
      </c>
    </row>
    <row r="545" spans="1:13" x14ac:dyDescent="0.25">
      <c r="A545" t="s">
        <v>1701</v>
      </c>
      <c r="B545" t="s">
        <v>1102</v>
      </c>
      <c r="C545" s="7">
        <f>Clients_Churn_Master[[#This Row],[Anciennete_Mois]]/12</f>
        <v>3.1666666666666665</v>
      </c>
      <c r="D545" t="s">
        <v>76</v>
      </c>
      <c r="E545">
        <v>38</v>
      </c>
      <c r="F545" t="str">
        <f>IF(Clients_Churn_Master[[#This Row],[Type_Forfait]]="Pro Monde","B2B","B2C")</f>
        <v>B2C</v>
      </c>
      <c r="G545" s="4">
        <f>Clients_Churn_Master[[#This Row],[Duree_Cumulee_Panne_Min]]/1440</f>
        <v>7.4999999999999997E-2</v>
      </c>
      <c r="H545" t="s">
        <v>556</v>
      </c>
      <c r="I545">
        <v>108</v>
      </c>
      <c r="J545" s="10">
        <v>72.7</v>
      </c>
      <c r="K545">
        <v>3</v>
      </c>
      <c r="L5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45" s="9">
        <f>Clients_Churn_Master[[#This Row],[Remise]]*Clients_Churn_Master[[#This Row],[Facture_Mensuelle]]</f>
        <v>0</v>
      </c>
    </row>
    <row r="546" spans="1:13" x14ac:dyDescent="0.25">
      <c r="A546" t="s">
        <v>1693</v>
      </c>
      <c r="B546" t="s">
        <v>1103</v>
      </c>
      <c r="C546" s="7">
        <f>Clients_Churn_Master[[#This Row],[Anciennete_Mois]]/12</f>
        <v>4.916666666666667</v>
      </c>
      <c r="D546" t="s">
        <v>43</v>
      </c>
      <c r="E546">
        <v>59</v>
      </c>
      <c r="F546" t="str">
        <f>IF(Clients_Churn_Master[[#This Row],[Type_Forfait]]="Pro Monde","B2B","B2C")</f>
        <v>B2C</v>
      </c>
      <c r="G546" s="4">
        <f>Clients_Churn_Master[[#This Row],[Duree_Cumulee_Panne_Min]]/1440</f>
        <v>0.10416666666666667</v>
      </c>
      <c r="H546" t="s">
        <v>556</v>
      </c>
      <c r="I546">
        <v>150</v>
      </c>
      <c r="J546" s="10">
        <v>71.13</v>
      </c>
      <c r="K546">
        <v>0</v>
      </c>
      <c r="L5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46" s="9">
        <f>Clients_Churn_Master[[#This Row],[Remise]]*Clients_Churn_Master[[#This Row],[Facture_Mensuelle]]</f>
        <v>0</v>
      </c>
    </row>
    <row r="547" spans="1:13" x14ac:dyDescent="0.25">
      <c r="A547" t="s">
        <v>1702</v>
      </c>
      <c r="B547" t="s">
        <v>1104</v>
      </c>
      <c r="C547" s="7">
        <f>Clients_Churn_Master[[#This Row],[Anciennete_Mois]]/12</f>
        <v>4.833333333333333</v>
      </c>
      <c r="D547" t="s">
        <v>133</v>
      </c>
      <c r="E547">
        <v>58</v>
      </c>
      <c r="F547" t="str">
        <f>IF(Clients_Churn_Master[[#This Row],[Type_Forfait]]="Pro Monde","B2B","B2C")</f>
        <v>B2C</v>
      </c>
      <c r="G547" s="4">
        <f>Clients_Churn_Master[[#This Row],[Duree_Cumulee_Panne_Min]]/1440</f>
        <v>0.29375000000000001</v>
      </c>
      <c r="H547" t="s">
        <v>556</v>
      </c>
      <c r="I547">
        <v>423</v>
      </c>
      <c r="J547" s="10">
        <v>80.459999999999994</v>
      </c>
      <c r="K547">
        <v>0</v>
      </c>
      <c r="L5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7" s="9">
        <f>Clients_Churn_Master[[#This Row],[Remise]]*Clients_Churn_Master[[#This Row],[Facture_Mensuelle]]</f>
        <v>36.207000000000001</v>
      </c>
    </row>
    <row r="548" spans="1:13" x14ac:dyDescent="0.25">
      <c r="A548" t="s">
        <v>1688</v>
      </c>
      <c r="B548" t="s">
        <v>1105</v>
      </c>
      <c r="C548" s="7">
        <f>Clients_Churn_Master[[#This Row],[Anciennete_Mois]]/12</f>
        <v>3</v>
      </c>
      <c r="D548" t="s">
        <v>13</v>
      </c>
      <c r="E548">
        <v>36</v>
      </c>
      <c r="F548" t="str">
        <f>IF(Clients_Churn_Master[[#This Row],[Type_Forfait]]="Pro Monde","B2B","B2C")</f>
        <v>B2C</v>
      </c>
      <c r="G548" s="4">
        <f>Clients_Churn_Master[[#This Row],[Duree_Cumulee_Panne_Min]]/1440</f>
        <v>0.34097222222222223</v>
      </c>
      <c r="H548" t="s">
        <v>556</v>
      </c>
      <c r="I548">
        <v>491</v>
      </c>
      <c r="J548" s="10">
        <v>12.13</v>
      </c>
      <c r="K548">
        <v>4</v>
      </c>
      <c r="L5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8" s="9">
        <f>Clients_Churn_Master[[#This Row],[Remise]]*Clients_Churn_Master[[#This Row],[Facture_Mensuelle]]</f>
        <v>5.4585000000000008</v>
      </c>
    </row>
    <row r="549" spans="1:13" x14ac:dyDescent="0.25">
      <c r="A549" t="s">
        <v>1693</v>
      </c>
      <c r="B549" t="s">
        <v>1106</v>
      </c>
      <c r="C549" s="7">
        <f>Clients_Churn_Master[[#This Row],[Anciennete_Mois]]/12</f>
        <v>9.25</v>
      </c>
      <c r="D549" t="s">
        <v>93</v>
      </c>
      <c r="E549">
        <v>111</v>
      </c>
      <c r="F549" t="str">
        <f>IF(Clients_Churn_Master[[#This Row],[Type_Forfait]]="Pro Monde","B2B","B2C")</f>
        <v>B2C</v>
      </c>
      <c r="G549" s="4">
        <f>Clients_Churn_Master[[#This Row],[Duree_Cumulee_Panne_Min]]/1440</f>
        <v>0.21111111111111111</v>
      </c>
      <c r="H549" t="s">
        <v>564</v>
      </c>
      <c r="I549">
        <v>304</v>
      </c>
      <c r="J549" s="10">
        <v>62.48</v>
      </c>
      <c r="K549">
        <v>5</v>
      </c>
      <c r="L5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9" s="9">
        <f>Clients_Churn_Master[[#This Row],[Remise]]*Clients_Churn_Master[[#This Row],[Facture_Mensuelle]]</f>
        <v>28.116</v>
      </c>
    </row>
    <row r="550" spans="1:13" x14ac:dyDescent="0.25">
      <c r="A550" t="s">
        <v>1692</v>
      </c>
      <c r="B550" t="s">
        <v>1107</v>
      </c>
      <c r="C550" s="7">
        <f>Clients_Churn_Master[[#This Row],[Anciennete_Mois]]/12</f>
        <v>3.3333333333333335</v>
      </c>
      <c r="D550" t="s">
        <v>27</v>
      </c>
      <c r="E550">
        <v>40</v>
      </c>
      <c r="F550" t="str">
        <f>IF(Clients_Churn_Master[[#This Row],[Type_Forfait]]="Pro Monde","B2B","B2C")</f>
        <v>B2C</v>
      </c>
      <c r="G550" s="4">
        <f>Clients_Churn_Master[[#This Row],[Duree_Cumulee_Panne_Min]]/1440</f>
        <v>0.16458333333333333</v>
      </c>
      <c r="H550" t="s">
        <v>564</v>
      </c>
      <c r="I550">
        <v>237</v>
      </c>
      <c r="J550" s="10">
        <v>24.51</v>
      </c>
      <c r="K550">
        <v>1</v>
      </c>
      <c r="L5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0" s="9">
        <f>Clients_Churn_Master[[#This Row],[Remise]]*Clients_Churn_Master[[#This Row],[Facture_Mensuelle]]</f>
        <v>11.029500000000001</v>
      </c>
    </row>
    <row r="551" spans="1:13" x14ac:dyDescent="0.25">
      <c r="A551" t="s">
        <v>1702</v>
      </c>
      <c r="B551" t="s">
        <v>1108</v>
      </c>
      <c r="C551" s="7">
        <f>Clients_Churn_Master[[#This Row],[Anciennete_Mois]]/12</f>
        <v>3</v>
      </c>
      <c r="D551" t="s">
        <v>55</v>
      </c>
      <c r="E551">
        <v>36</v>
      </c>
      <c r="F551" t="str">
        <f>IF(Clients_Churn_Master[[#This Row],[Type_Forfait]]="Pro Monde","B2B","B2C")</f>
        <v>B2C</v>
      </c>
      <c r="G551" s="4">
        <f>Clients_Churn_Master[[#This Row],[Duree_Cumulee_Panne_Min]]/1440</f>
        <v>0.17152777777777778</v>
      </c>
      <c r="H551" t="s">
        <v>556</v>
      </c>
      <c r="I551">
        <v>247</v>
      </c>
      <c r="J551" s="10">
        <v>24.53</v>
      </c>
      <c r="K551">
        <v>2</v>
      </c>
      <c r="L5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1" s="9">
        <f>Clients_Churn_Master[[#This Row],[Remise]]*Clients_Churn_Master[[#This Row],[Facture_Mensuelle]]</f>
        <v>11.038500000000001</v>
      </c>
    </row>
    <row r="552" spans="1:13" x14ac:dyDescent="0.25">
      <c r="A552" t="s">
        <v>1688</v>
      </c>
      <c r="B552" t="s">
        <v>1109</v>
      </c>
      <c r="C552" s="7">
        <f>Clients_Churn_Master[[#This Row],[Anciennete_Mois]]/12</f>
        <v>2.25</v>
      </c>
      <c r="D552" t="s">
        <v>133</v>
      </c>
      <c r="E552">
        <v>27</v>
      </c>
      <c r="F552" t="str">
        <f>IF(Clients_Churn_Master[[#This Row],[Type_Forfait]]="Pro Monde","B2B","B2C")</f>
        <v>B2C</v>
      </c>
      <c r="G552" s="4">
        <f>Clients_Churn_Master[[#This Row],[Duree_Cumulee_Panne_Min]]/1440</f>
        <v>4.2361111111111113E-2</v>
      </c>
      <c r="H552" t="s">
        <v>564</v>
      </c>
      <c r="I552">
        <v>61</v>
      </c>
      <c r="J552" s="10">
        <v>97.51</v>
      </c>
      <c r="K552">
        <v>5</v>
      </c>
      <c r="L5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2" s="9">
        <f>Clients_Churn_Master[[#This Row],[Remise]]*Clients_Churn_Master[[#This Row],[Facture_Mensuelle]]</f>
        <v>43.8795</v>
      </c>
    </row>
    <row r="553" spans="1:13" x14ac:dyDescent="0.25">
      <c r="A553" t="s">
        <v>1691</v>
      </c>
      <c r="B553" t="s">
        <v>1110</v>
      </c>
      <c r="C553" s="7">
        <f>Clients_Churn_Master[[#This Row],[Anciennete_Mois]]/12</f>
        <v>5.333333333333333</v>
      </c>
      <c r="D553" t="s">
        <v>32</v>
      </c>
      <c r="E553">
        <v>64</v>
      </c>
      <c r="F553" t="str">
        <f>IF(Clients_Churn_Master[[#This Row],[Type_Forfait]]="Pro Monde","B2B","B2C")</f>
        <v>B2B</v>
      </c>
      <c r="G553" s="4">
        <f>Clients_Churn_Master[[#This Row],[Duree_Cumulee_Panne_Min]]/1440</f>
        <v>0.20833333333333334</v>
      </c>
      <c r="H553" t="s">
        <v>558</v>
      </c>
      <c r="I553">
        <v>300</v>
      </c>
      <c r="J553" s="10">
        <v>28.11</v>
      </c>
      <c r="K553">
        <v>2</v>
      </c>
      <c r="L5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3" s="9">
        <f>Clients_Churn_Master[[#This Row],[Remise]]*Clients_Churn_Master[[#This Row],[Facture_Mensuelle]]</f>
        <v>12.6495</v>
      </c>
    </row>
    <row r="554" spans="1:13" x14ac:dyDescent="0.25">
      <c r="A554" t="s">
        <v>1693</v>
      </c>
      <c r="B554" t="s">
        <v>1111</v>
      </c>
      <c r="C554" s="7">
        <f>Clients_Churn_Master[[#This Row],[Anciennete_Mois]]/12</f>
        <v>8.5</v>
      </c>
      <c r="D554" t="s">
        <v>93</v>
      </c>
      <c r="E554">
        <v>102</v>
      </c>
      <c r="F554" t="str">
        <f>IF(Clients_Churn_Master[[#This Row],[Type_Forfait]]="Pro Monde","B2B","B2C")</f>
        <v>B2C</v>
      </c>
      <c r="G554" s="4">
        <f>Clients_Churn_Master[[#This Row],[Duree_Cumulee_Panne_Min]]/1440</f>
        <v>0.13125000000000001</v>
      </c>
      <c r="H554" t="s">
        <v>556</v>
      </c>
      <c r="I554">
        <v>189</v>
      </c>
      <c r="J554" s="10">
        <v>26.86</v>
      </c>
      <c r="K554">
        <v>5</v>
      </c>
      <c r="L5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54" s="9">
        <f>Clients_Churn_Master[[#This Row],[Remise]]*Clients_Churn_Master[[#This Row],[Facture_Mensuelle]]</f>
        <v>0</v>
      </c>
    </row>
    <row r="555" spans="1:13" x14ac:dyDescent="0.25">
      <c r="A555" t="s">
        <v>1702</v>
      </c>
      <c r="B555" t="s">
        <v>1112</v>
      </c>
      <c r="C555" s="7">
        <f>Clients_Churn_Master[[#This Row],[Anciennete_Mois]]/12</f>
        <v>1.8333333333333333</v>
      </c>
      <c r="D555" t="s">
        <v>41</v>
      </c>
      <c r="E555">
        <v>22</v>
      </c>
      <c r="F555" t="str">
        <f>IF(Clients_Churn_Master[[#This Row],[Type_Forfait]]="Pro Monde","B2B","B2C")</f>
        <v>B2C</v>
      </c>
      <c r="G555" s="4">
        <f>Clients_Churn_Master[[#This Row],[Duree_Cumulee_Panne_Min]]/1440</f>
        <v>8.2638888888888887E-2</v>
      </c>
      <c r="H555" t="s">
        <v>560</v>
      </c>
      <c r="I555">
        <v>119</v>
      </c>
      <c r="J555" s="10">
        <v>72.86</v>
      </c>
      <c r="K555">
        <v>3</v>
      </c>
      <c r="L5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55" s="9">
        <f>Clients_Churn_Master[[#This Row],[Remise]]*Clients_Churn_Master[[#This Row],[Facture_Mensuelle]]</f>
        <v>0</v>
      </c>
    </row>
    <row r="556" spans="1:13" x14ac:dyDescent="0.25">
      <c r="A556" t="s">
        <v>1692</v>
      </c>
      <c r="B556" t="s">
        <v>1113</v>
      </c>
      <c r="C556" s="7">
        <f>Clients_Churn_Master[[#This Row],[Anciennete_Mois]]/12</f>
        <v>4.166666666666667</v>
      </c>
      <c r="D556" t="s">
        <v>85</v>
      </c>
      <c r="E556">
        <v>50</v>
      </c>
      <c r="F556" t="str">
        <f>IF(Clients_Churn_Master[[#This Row],[Type_Forfait]]="Pro Monde","B2B","B2C")</f>
        <v>B2B</v>
      </c>
      <c r="G556" s="4">
        <f>Clients_Churn_Master[[#This Row],[Duree_Cumulee_Panne_Min]]/1440</f>
        <v>0.2986111111111111</v>
      </c>
      <c r="H556" t="s">
        <v>558</v>
      </c>
      <c r="I556">
        <v>430</v>
      </c>
      <c r="J556" s="10">
        <v>20.8</v>
      </c>
      <c r="K556">
        <v>2</v>
      </c>
      <c r="L5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6" s="9">
        <f>Clients_Churn_Master[[#This Row],[Remise]]*Clients_Churn_Master[[#This Row],[Facture_Mensuelle]]</f>
        <v>9.3600000000000012</v>
      </c>
    </row>
    <row r="557" spans="1:13" x14ac:dyDescent="0.25">
      <c r="A557" t="s">
        <v>1693</v>
      </c>
      <c r="B557" t="s">
        <v>1114</v>
      </c>
      <c r="C557" s="7">
        <f>Clients_Churn_Master[[#This Row],[Anciennete_Mois]]/12</f>
        <v>1.5</v>
      </c>
      <c r="D557" t="s">
        <v>133</v>
      </c>
      <c r="E557">
        <v>18</v>
      </c>
      <c r="F557" t="str">
        <f>IF(Clients_Churn_Master[[#This Row],[Type_Forfait]]="Pro Monde","B2B","B2C")</f>
        <v>B2B</v>
      </c>
      <c r="G557" s="4">
        <f>Clients_Churn_Master[[#This Row],[Duree_Cumulee_Panne_Min]]/1440</f>
        <v>5.2083333333333336E-2</v>
      </c>
      <c r="H557" t="s">
        <v>558</v>
      </c>
      <c r="I557">
        <v>75</v>
      </c>
      <c r="J557" s="10">
        <v>57.66</v>
      </c>
      <c r="K557">
        <v>1</v>
      </c>
      <c r="L5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57" s="9">
        <f>Clients_Churn_Master[[#This Row],[Remise]]*Clients_Churn_Master[[#This Row],[Facture_Mensuelle]]</f>
        <v>5.766</v>
      </c>
    </row>
    <row r="558" spans="1:13" x14ac:dyDescent="0.25">
      <c r="A558" t="s">
        <v>1690</v>
      </c>
      <c r="B558" t="s">
        <v>1115</v>
      </c>
      <c r="C558" s="7">
        <f>Clients_Churn_Master[[#This Row],[Anciennete_Mois]]/12</f>
        <v>7.916666666666667</v>
      </c>
      <c r="D558" t="s">
        <v>137</v>
      </c>
      <c r="E558">
        <v>95</v>
      </c>
      <c r="F558" t="str">
        <f>IF(Clients_Churn_Master[[#This Row],[Type_Forfait]]="Pro Monde","B2B","B2C")</f>
        <v>B2C</v>
      </c>
      <c r="G558" s="4">
        <f>Clients_Churn_Master[[#This Row],[Duree_Cumulee_Panne_Min]]/1440</f>
        <v>0.10277777777777777</v>
      </c>
      <c r="H558" t="s">
        <v>564</v>
      </c>
      <c r="I558">
        <v>148</v>
      </c>
      <c r="J558" s="10">
        <v>76.95</v>
      </c>
      <c r="K558">
        <v>5</v>
      </c>
      <c r="L5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58" s="9">
        <f>Clients_Churn_Master[[#This Row],[Remise]]*Clients_Churn_Master[[#This Row],[Facture_Mensuelle]]</f>
        <v>0</v>
      </c>
    </row>
    <row r="559" spans="1:13" x14ac:dyDescent="0.25">
      <c r="A559" t="s">
        <v>1702</v>
      </c>
      <c r="B559" t="s">
        <v>1116</v>
      </c>
      <c r="C559" s="7">
        <f>Clients_Churn_Master[[#This Row],[Anciennete_Mois]]/12</f>
        <v>9.25</v>
      </c>
      <c r="D559" t="s">
        <v>49</v>
      </c>
      <c r="E559">
        <v>111</v>
      </c>
      <c r="F559" t="str">
        <f>IF(Clients_Churn_Master[[#This Row],[Type_Forfait]]="Pro Monde","B2B","B2C")</f>
        <v>B2C</v>
      </c>
      <c r="G559" s="4">
        <f>Clients_Churn_Master[[#This Row],[Duree_Cumulee_Panne_Min]]/1440</f>
        <v>0.22500000000000001</v>
      </c>
      <c r="H559" t="s">
        <v>560</v>
      </c>
      <c r="I559">
        <v>324</v>
      </c>
      <c r="J559" s="10">
        <v>18.07</v>
      </c>
      <c r="K559">
        <v>2</v>
      </c>
      <c r="L5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9" s="9">
        <f>Clients_Churn_Master[[#This Row],[Remise]]*Clients_Churn_Master[[#This Row],[Facture_Mensuelle]]</f>
        <v>8.1315000000000008</v>
      </c>
    </row>
    <row r="560" spans="1:13" x14ac:dyDescent="0.25">
      <c r="A560" t="s">
        <v>1693</v>
      </c>
      <c r="B560" t="s">
        <v>1117</v>
      </c>
      <c r="C560" s="7">
        <f>Clients_Churn_Master[[#This Row],[Anciennete_Mois]]/12</f>
        <v>10</v>
      </c>
      <c r="D560" t="s">
        <v>13</v>
      </c>
      <c r="E560">
        <v>120</v>
      </c>
      <c r="F560" t="str">
        <f>IF(Clients_Churn_Master[[#This Row],[Type_Forfait]]="Pro Monde","B2B","B2C")</f>
        <v>B2B</v>
      </c>
      <c r="G560" s="4">
        <f>Clients_Churn_Master[[#This Row],[Duree_Cumulee_Panne_Min]]/1440</f>
        <v>4.1666666666666664E-2</v>
      </c>
      <c r="H560" t="s">
        <v>558</v>
      </c>
      <c r="I560">
        <v>60</v>
      </c>
      <c r="J560" s="10">
        <v>34.14</v>
      </c>
      <c r="K560">
        <v>3</v>
      </c>
      <c r="L5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60" s="9">
        <f>Clients_Churn_Master[[#This Row],[Remise]]*Clients_Churn_Master[[#This Row],[Facture_Mensuelle]]</f>
        <v>3.4140000000000001</v>
      </c>
    </row>
    <row r="561" spans="1:13" x14ac:dyDescent="0.25">
      <c r="A561" t="s">
        <v>1689</v>
      </c>
      <c r="B561" t="s">
        <v>1118</v>
      </c>
      <c r="C561" s="7">
        <f>Clients_Churn_Master[[#This Row],[Anciennete_Mois]]/12</f>
        <v>7.25</v>
      </c>
      <c r="D561" t="s">
        <v>137</v>
      </c>
      <c r="E561">
        <v>87</v>
      </c>
      <c r="F561" t="str">
        <f>IF(Clients_Churn_Master[[#This Row],[Type_Forfait]]="Pro Monde","B2B","B2C")</f>
        <v>B2C</v>
      </c>
      <c r="G561" s="4">
        <f>Clients_Churn_Master[[#This Row],[Duree_Cumulee_Panne_Min]]/1440</f>
        <v>0.24722222222222223</v>
      </c>
      <c r="H561" t="s">
        <v>564</v>
      </c>
      <c r="I561">
        <v>356</v>
      </c>
      <c r="J561" s="10">
        <v>12.89</v>
      </c>
      <c r="K561">
        <v>0</v>
      </c>
      <c r="L5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1" s="9">
        <f>Clients_Churn_Master[[#This Row],[Remise]]*Clients_Churn_Master[[#This Row],[Facture_Mensuelle]]</f>
        <v>5.8005000000000004</v>
      </c>
    </row>
    <row r="562" spans="1:13" x14ac:dyDescent="0.25">
      <c r="A562" t="s">
        <v>1693</v>
      </c>
      <c r="B562" t="s">
        <v>1119</v>
      </c>
      <c r="C562" s="7">
        <f>Clients_Churn_Master[[#This Row],[Anciennete_Mois]]/12</f>
        <v>2.4166666666666665</v>
      </c>
      <c r="D562" t="s">
        <v>133</v>
      </c>
      <c r="E562">
        <v>29</v>
      </c>
      <c r="F562" t="str">
        <f>IF(Clients_Churn_Master[[#This Row],[Type_Forfait]]="Pro Monde","B2B","B2C")</f>
        <v>B2C</v>
      </c>
      <c r="G562" s="4">
        <f>Clients_Churn_Master[[#This Row],[Duree_Cumulee_Panne_Min]]/1440</f>
        <v>5.5555555555555558E-3</v>
      </c>
      <c r="H562" t="s">
        <v>564</v>
      </c>
      <c r="I562">
        <v>8</v>
      </c>
      <c r="J562" s="10">
        <v>14.78</v>
      </c>
      <c r="K562">
        <v>2</v>
      </c>
      <c r="L5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2" s="9">
        <f>Clients_Churn_Master[[#This Row],[Remise]]*Clients_Churn_Master[[#This Row],[Facture_Mensuelle]]</f>
        <v>6.6509999999999998</v>
      </c>
    </row>
    <row r="563" spans="1:13" x14ac:dyDescent="0.25">
      <c r="A563" t="s">
        <v>1695</v>
      </c>
      <c r="B563" t="s">
        <v>1120</v>
      </c>
      <c r="C563" s="7">
        <f>Clients_Churn_Master[[#This Row],[Anciennete_Mois]]/12</f>
        <v>1.5</v>
      </c>
      <c r="D563" t="s">
        <v>24</v>
      </c>
      <c r="E563">
        <v>18</v>
      </c>
      <c r="F563" t="str">
        <f>IF(Clients_Churn_Master[[#This Row],[Type_Forfait]]="Pro Monde","B2B","B2C")</f>
        <v>B2C</v>
      </c>
      <c r="G563" s="4">
        <f>Clients_Churn_Master[[#This Row],[Duree_Cumulee_Panne_Min]]/1440</f>
        <v>0.11805555555555555</v>
      </c>
      <c r="H563" t="s">
        <v>560</v>
      </c>
      <c r="I563">
        <v>170</v>
      </c>
      <c r="J563" s="10">
        <v>87.34</v>
      </c>
      <c r="K563">
        <v>1</v>
      </c>
      <c r="L5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63" s="9">
        <f>Clients_Churn_Master[[#This Row],[Remise]]*Clients_Churn_Master[[#This Row],[Facture_Mensuelle]]</f>
        <v>0</v>
      </c>
    </row>
    <row r="564" spans="1:13" x14ac:dyDescent="0.25">
      <c r="A564" t="s">
        <v>1701</v>
      </c>
      <c r="B564" t="s">
        <v>1121</v>
      </c>
      <c r="C564" s="7">
        <f>Clients_Churn_Master[[#This Row],[Anciennete_Mois]]/12</f>
        <v>2.8333333333333335</v>
      </c>
      <c r="D564" t="s">
        <v>47</v>
      </c>
      <c r="E564">
        <v>34</v>
      </c>
      <c r="F564" t="str">
        <f>IF(Clients_Churn_Master[[#This Row],[Type_Forfait]]="Pro Monde","B2B","B2C")</f>
        <v>B2C</v>
      </c>
      <c r="G564" s="4">
        <f>Clients_Churn_Master[[#This Row],[Duree_Cumulee_Panne_Min]]/1440</f>
        <v>0.27847222222222223</v>
      </c>
      <c r="H564" t="s">
        <v>560</v>
      </c>
      <c r="I564">
        <v>401</v>
      </c>
      <c r="J564" s="10">
        <v>68.400000000000006</v>
      </c>
      <c r="K564">
        <v>5</v>
      </c>
      <c r="L5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4" s="9">
        <f>Clients_Churn_Master[[#This Row],[Remise]]*Clients_Churn_Master[[#This Row],[Facture_Mensuelle]]</f>
        <v>30.780000000000005</v>
      </c>
    </row>
    <row r="565" spans="1:13" x14ac:dyDescent="0.25">
      <c r="A565" t="s">
        <v>1689</v>
      </c>
      <c r="B565" t="s">
        <v>1122</v>
      </c>
      <c r="C565" s="7">
        <f>Clients_Churn_Master[[#This Row],[Anciennete_Mois]]/12</f>
        <v>9.4166666666666661</v>
      </c>
      <c r="D565" t="s">
        <v>76</v>
      </c>
      <c r="E565">
        <v>113</v>
      </c>
      <c r="F565" t="str">
        <f>IF(Clients_Churn_Master[[#This Row],[Type_Forfait]]="Pro Monde","B2B","B2C")</f>
        <v>B2C</v>
      </c>
      <c r="G565" s="4">
        <f>Clients_Churn_Master[[#This Row],[Duree_Cumulee_Panne_Min]]/1440</f>
        <v>0.29722222222222222</v>
      </c>
      <c r="H565" t="s">
        <v>560</v>
      </c>
      <c r="I565">
        <v>428</v>
      </c>
      <c r="J565" s="10">
        <v>73.84</v>
      </c>
      <c r="K565">
        <v>0</v>
      </c>
      <c r="L5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5" s="9">
        <f>Clients_Churn_Master[[#This Row],[Remise]]*Clients_Churn_Master[[#This Row],[Facture_Mensuelle]]</f>
        <v>33.228000000000002</v>
      </c>
    </row>
    <row r="566" spans="1:13" x14ac:dyDescent="0.25">
      <c r="A566" t="s">
        <v>1698</v>
      </c>
      <c r="B566" t="s">
        <v>1123</v>
      </c>
      <c r="C566" s="7">
        <f>Clients_Churn_Master[[#This Row],[Anciennete_Mois]]/12</f>
        <v>4</v>
      </c>
      <c r="D566" t="s">
        <v>76</v>
      </c>
      <c r="E566">
        <v>48</v>
      </c>
      <c r="F566" t="str">
        <f>IF(Clients_Churn_Master[[#This Row],[Type_Forfait]]="Pro Monde","B2B","B2C")</f>
        <v>B2C</v>
      </c>
      <c r="G566" s="4">
        <f>Clients_Churn_Master[[#This Row],[Duree_Cumulee_Panne_Min]]/1440</f>
        <v>0.2326388888888889</v>
      </c>
      <c r="H566" t="s">
        <v>556</v>
      </c>
      <c r="I566">
        <v>335</v>
      </c>
      <c r="J566" s="10">
        <v>85.09</v>
      </c>
      <c r="K566">
        <v>3</v>
      </c>
      <c r="L5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6" s="9">
        <f>Clients_Churn_Master[[#This Row],[Remise]]*Clients_Churn_Master[[#This Row],[Facture_Mensuelle]]</f>
        <v>38.290500000000002</v>
      </c>
    </row>
    <row r="567" spans="1:13" x14ac:dyDescent="0.25">
      <c r="A567" t="s">
        <v>1695</v>
      </c>
      <c r="B567" t="s">
        <v>1124</v>
      </c>
      <c r="C567" s="7">
        <f>Clients_Churn_Master[[#This Row],[Anciennete_Mois]]/12</f>
        <v>8.9166666666666661</v>
      </c>
      <c r="D567" t="s">
        <v>93</v>
      </c>
      <c r="E567">
        <v>107</v>
      </c>
      <c r="F567" t="str">
        <f>IF(Clients_Churn_Master[[#This Row],[Type_Forfait]]="Pro Monde","B2B","B2C")</f>
        <v>B2C</v>
      </c>
      <c r="G567" s="4">
        <f>Clients_Churn_Master[[#This Row],[Duree_Cumulee_Panne_Min]]/1440</f>
        <v>9.583333333333334E-2</v>
      </c>
      <c r="H567" t="s">
        <v>560</v>
      </c>
      <c r="I567">
        <v>138</v>
      </c>
      <c r="J567" s="10">
        <v>85.75</v>
      </c>
      <c r="K567">
        <v>1</v>
      </c>
      <c r="L5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67" s="9">
        <f>Clients_Churn_Master[[#This Row],[Remise]]*Clients_Churn_Master[[#This Row],[Facture_Mensuelle]]</f>
        <v>0</v>
      </c>
    </row>
    <row r="568" spans="1:13" x14ac:dyDescent="0.25">
      <c r="A568" t="s">
        <v>1699</v>
      </c>
      <c r="B568" t="s">
        <v>1125</v>
      </c>
      <c r="C568" s="7">
        <f>Clients_Churn_Master[[#This Row],[Anciennete_Mois]]/12</f>
        <v>3.9166666666666665</v>
      </c>
      <c r="D568" t="s">
        <v>62</v>
      </c>
      <c r="E568">
        <v>47</v>
      </c>
      <c r="F568" t="str">
        <f>IF(Clients_Churn_Master[[#This Row],[Type_Forfait]]="Pro Monde","B2B","B2C")</f>
        <v>B2C</v>
      </c>
      <c r="G568" s="4">
        <f>Clients_Churn_Master[[#This Row],[Duree_Cumulee_Panne_Min]]/1440</f>
        <v>7.7083333333333337E-2</v>
      </c>
      <c r="H568" t="s">
        <v>556</v>
      </c>
      <c r="I568">
        <v>111</v>
      </c>
      <c r="J568" s="10">
        <v>95.18</v>
      </c>
      <c r="K568">
        <v>0</v>
      </c>
      <c r="L5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68" s="9">
        <f>Clients_Churn_Master[[#This Row],[Remise]]*Clients_Churn_Master[[#This Row],[Facture_Mensuelle]]</f>
        <v>0</v>
      </c>
    </row>
    <row r="569" spans="1:13" x14ac:dyDescent="0.25">
      <c r="A569" t="s">
        <v>1688</v>
      </c>
      <c r="B569" t="s">
        <v>1126</v>
      </c>
      <c r="C569" s="7">
        <f>Clients_Churn_Master[[#This Row],[Anciennete_Mois]]/12</f>
        <v>0.83333333333333337</v>
      </c>
      <c r="D569" t="s">
        <v>62</v>
      </c>
      <c r="E569">
        <v>10</v>
      </c>
      <c r="F569" t="str">
        <f>IF(Clients_Churn_Master[[#This Row],[Type_Forfait]]="Pro Monde","B2B","B2C")</f>
        <v>B2C</v>
      </c>
      <c r="G569" s="4">
        <f>Clients_Churn_Master[[#This Row],[Duree_Cumulee_Panne_Min]]/1440</f>
        <v>0.11458333333333333</v>
      </c>
      <c r="H569" t="s">
        <v>556</v>
      </c>
      <c r="I569">
        <v>165</v>
      </c>
      <c r="J569" s="10">
        <v>38.619999999999997</v>
      </c>
      <c r="K569">
        <v>2</v>
      </c>
      <c r="L5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69" s="9">
        <f>Clients_Churn_Master[[#This Row],[Remise]]*Clients_Churn_Master[[#This Row],[Facture_Mensuelle]]</f>
        <v>0</v>
      </c>
    </row>
    <row r="570" spans="1:13" x14ac:dyDescent="0.25">
      <c r="A570" t="s">
        <v>1688</v>
      </c>
      <c r="B570" t="s">
        <v>1127</v>
      </c>
      <c r="C570" s="7">
        <f>Clients_Churn_Master[[#This Row],[Anciennete_Mois]]/12</f>
        <v>0.75</v>
      </c>
      <c r="D570" t="s">
        <v>82</v>
      </c>
      <c r="E570">
        <v>9</v>
      </c>
      <c r="F570" t="str">
        <f>IF(Clients_Churn_Master[[#This Row],[Type_Forfait]]="Pro Monde","B2B","B2C")</f>
        <v>B2B</v>
      </c>
      <c r="G570" s="4">
        <f>Clients_Churn_Master[[#This Row],[Duree_Cumulee_Panne_Min]]/1440</f>
        <v>0.17708333333333334</v>
      </c>
      <c r="H570" t="s">
        <v>558</v>
      </c>
      <c r="I570">
        <v>255</v>
      </c>
      <c r="J570" s="10">
        <v>95.13</v>
      </c>
      <c r="K570">
        <v>1</v>
      </c>
      <c r="L5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0" s="9">
        <f>Clients_Churn_Master[[#This Row],[Remise]]*Clients_Churn_Master[[#This Row],[Facture_Mensuelle]]</f>
        <v>42.808500000000002</v>
      </c>
    </row>
    <row r="571" spans="1:13" x14ac:dyDescent="0.25">
      <c r="A571" t="s">
        <v>1699</v>
      </c>
      <c r="B571" t="s">
        <v>1128</v>
      </c>
      <c r="C571" s="7">
        <f>Clients_Churn_Master[[#This Row],[Anciennete_Mois]]/12</f>
        <v>2</v>
      </c>
      <c r="D571" t="s">
        <v>21</v>
      </c>
      <c r="E571">
        <v>24</v>
      </c>
      <c r="F571" t="str">
        <f>IF(Clients_Churn_Master[[#This Row],[Type_Forfait]]="Pro Monde","B2B","B2C")</f>
        <v>B2C</v>
      </c>
      <c r="G571" s="4">
        <f>Clients_Churn_Master[[#This Row],[Duree_Cumulee_Panne_Min]]/1440</f>
        <v>0.17847222222222223</v>
      </c>
      <c r="H571" t="s">
        <v>556</v>
      </c>
      <c r="I571">
        <v>257</v>
      </c>
      <c r="J571" s="10">
        <v>41.99</v>
      </c>
      <c r="K571">
        <v>5</v>
      </c>
      <c r="L5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1" s="9">
        <f>Clients_Churn_Master[[#This Row],[Remise]]*Clients_Churn_Master[[#This Row],[Facture_Mensuelle]]</f>
        <v>18.895500000000002</v>
      </c>
    </row>
    <row r="572" spans="1:13" x14ac:dyDescent="0.25">
      <c r="A572" t="s">
        <v>1696</v>
      </c>
      <c r="B572" t="s">
        <v>1129</v>
      </c>
      <c r="C572" s="7">
        <f>Clients_Churn_Master[[#This Row],[Anciennete_Mois]]/12</f>
        <v>6</v>
      </c>
      <c r="D572" t="s">
        <v>82</v>
      </c>
      <c r="E572">
        <v>72</v>
      </c>
      <c r="F572" t="str">
        <f>IF(Clients_Churn_Master[[#This Row],[Type_Forfait]]="Pro Monde","B2B","B2C")</f>
        <v>B2C</v>
      </c>
      <c r="G572" s="4">
        <f>Clients_Churn_Master[[#This Row],[Duree_Cumulee_Panne_Min]]/1440</f>
        <v>0.29652777777777778</v>
      </c>
      <c r="H572" t="s">
        <v>556</v>
      </c>
      <c r="I572">
        <v>427</v>
      </c>
      <c r="J572" s="10">
        <v>31.44</v>
      </c>
      <c r="K572">
        <v>2</v>
      </c>
      <c r="L5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2" s="9">
        <f>Clients_Churn_Master[[#This Row],[Remise]]*Clients_Churn_Master[[#This Row],[Facture_Mensuelle]]</f>
        <v>14.148000000000001</v>
      </c>
    </row>
    <row r="573" spans="1:13" x14ac:dyDescent="0.25">
      <c r="A573" t="s">
        <v>1696</v>
      </c>
      <c r="B573" t="s">
        <v>1130</v>
      </c>
      <c r="C573" s="7">
        <f>Clients_Churn_Master[[#This Row],[Anciennete_Mois]]/12</f>
        <v>2.75</v>
      </c>
      <c r="D573" t="s">
        <v>13</v>
      </c>
      <c r="E573">
        <v>33</v>
      </c>
      <c r="F573" t="str">
        <f>IF(Clients_Churn_Master[[#This Row],[Type_Forfait]]="Pro Monde","B2B","B2C")</f>
        <v>B2C</v>
      </c>
      <c r="G573" s="4">
        <f>Clients_Churn_Master[[#This Row],[Duree_Cumulee_Panne_Min]]/1440</f>
        <v>1.2500000000000001E-2</v>
      </c>
      <c r="H573" t="s">
        <v>560</v>
      </c>
      <c r="I573">
        <v>18</v>
      </c>
      <c r="J573" s="10">
        <v>47.18</v>
      </c>
      <c r="K573">
        <v>4</v>
      </c>
      <c r="L5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73" s="9">
        <f>Clients_Churn_Master[[#This Row],[Remise]]*Clients_Churn_Master[[#This Row],[Facture_Mensuelle]]</f>
        <v>0</v>
      </c>
    </row>
    <row r="574" spans="1:13" x14ac:dyDescent="0.25">
      <c r="A574" t="s">
        <v>1698</v>
      </c>
      <c r="B574" t="s">
        <v>1131</v>
      </c>
      <c r="C574" s="7">
        <f>Clients_Churn_Master[[#This Row],[Anciennete_Mois]]/12</f>
        <v>5.333333333333333</v>
      </c>
      <c r="D574" t="s">
        <v>137</v>
      </c>
      <c r="E574">
        <v>64</v>
      </c>
      <c r="F574" t="str">
        <f>IF(Clients_Churn_Master[[#This Row],[Type_Forfait]]="Pro Monde","B2B","B2C")</f>
        <v>B2B</v>
      </c>
      <c r="G574" s="4">
        <f>Clients_Churn_Master[[#This Row],[Duree_Cumulee_Panne_Min]]/1440</f>
        <v>0.25694444444444442</v>
      </c>
      <c r="H574" t="s">
        <v>558</v>
      </c>
      <c r="I574">
        <v>370</v>
      </c>
      <c r="J574" s="10">
        <v>95.74</v>
      </c>
      <c r="K574">
        <v>1</v>
      </c>
      <c r="L5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4" s="9">
        <f>Clients_Churn_Master[[#This Row],[Remise]]*Clients_Churn_Master[[#This Row],[Facture_Mensuelle]]</f>
        <v>43.082999999999998</v>
      </c>
    </row>
    <row r="575" spans="1:13" x14ac:dyDescent="0.25">
      <c r="A575" t="s">
        <v>1688</v>
      </c>
      <c r="B575" t="s">
        <v>1132</v>
      </c>
      <c r="C575" s="7">
        <f>Clients_Churn_Master[[#This Row],[Anciennete_Mois]]/12</f>
        <v>5</v>
      </c>
      <c r="D575" t="s">
        <v>96</v>
      </c>
      <c r="E575">
        <v>60</v>
      </c>
      <c r="F575" t="str">
        <f>IF(Clients_Churn_Master[[#This Row],[Type_Forfait]]="Pro Monde","B2B","B2C")</f>
        <v>B2C</v>
      </c>
      <c r="G575" s="4">
        <f>Clients_Churn_Master[[#This Row],[Duree_Cumulee_Panne_Min]]/1440</f>
        <v>0.10694444444444444</v>
      </c>
      <c r="H575" t="s">
        <v>560</v>
      </c>
      <c r="I575">
        <v>154</v>
      </c>
      <c r="J575" s="10">
        <v>13.41</v>
      </c>
      <c r="K575">
        <v>5</v>
      </c>
      <c r="L5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75" s="9">
        <f>Clients_Churn_Master[[#This Row],[Remise]]*Clients_Churn_Master[[#This Row],[Facture_Mensuelle]]</f>
        <v>0</v>
      </c>
    </row>
    <row r="576" spans="1:13" x14ac:dyDescent="0.25">
      <c r="A576" t="s">
        <v>1700</v>
      </c>
      <c r="B576" t="s">
        <v>1133</v>
      </c>
      <c r="C576" s="7">
        <f>Clients_Churn_Master[[#This Row],[Anciennete_Mois]]/12</f>
        <v>4.25</v>
      </c>
      <c r="D576" t="s">
        <v>27</v>
      </c>
      <c r="E576">
        <v>51</v>
      </c>
      <c r="F576" t="str">
        <f>IF(Clients_Churn_Master[[#This Row],[Type_Forfait]]="Pro Monde","B2B","B2C")</f>
        <v>B2B</v>
      </c>
      <c r="G576" s="4">
        <f>Clients_Churn_Master[[#This Row],[Duree_Cumulee_Panne_Min]]/1440</f>
        <v>0.27013888888888887</v>
      </c>
      <c r="H576" t="s">
        <v>558</v>
      </c>
      <c r="I576">
        <v>389</v>
      </c>
      <c r="J576" s="10">
        <v>50.45</v>
      </c>
      <c r="K576">
        <v>3</v>
      </c>
      <c r="L5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6" s="9">
        <f>Clients_Churn_Master[[#This Row],[Remise]]*Clients_Churn_Master[[#This Row],[Facture_Mensuelle]]</f>
        <v>22.702500000000001</v>
      </c>
    </row>
    <row r="577" spans="1:13" x14ac:dyDescent="0.25">
      <c r="A577" t="s">
        <v>1702</v>
      </c>
      <c r="B577" t="s">
        <v>1134</v>
      </c>
      <c r="C577" s="7">
        <f>Clients_Churn_Master[[#This Row],[Anciennete_Mois]]/12</f>
        <v>5.833333333333333</v>
      </c>
      <c r="D577" t="s">
        <v>93</v>
      </c>
      <c r="E577">
        <v>70</v>
      </c>
      <c r="F577" t="str">
        <f>IF(Clients_Churn_Master[[#This Row],[Type_Forfait]]="Pro Monde","B2B","B2C")</f>
        <v>B2C</v>
      </c>
      <c r="G577" s="4">
        <f>Clients_Churn_Master[[#This Row],[Duree_Cumulee_Panne_Min]]/1440</f>
        <v>2.1527777777777778E-2</v>
      </c>
      <c r="H577" t="s">
        <v>556</v>
      </c>
      <c r="I577">
        <v>31</v>
      </c>
      <c r="J577" s="10">
        <v>71.2</v>
      </c>
      <c r="K577">
        <v>4</v>
      </c>
      <c r="L5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77" s="9">
        <f>Clients_Churn_Master[[#This Row],[Remise]]*Clients_Churn_Master[[#This Row],[Facture_Mensuelle]]</f>
        <v>0</v>
      </c>
    </row>
    <row r="578" spans="1:13" x14ac:dyDescent="0.25">
      <c r="A578" t="s">
        <v>1702</v>
      </c>
      <c r="B578" t="s">
        <v>1135</v>
      </c>
      <c r="C578" s="7">
        <f>Clients_Churn_Master[[#This Row],[Anciennete_Mois]]/12</f>
        <v>8.5833333333333339</v>
      </c>
      <c r="D578" t="s">
        <v>133</v>
      </c>
      <c r="E578">
        <v>103</v>
      </c>
      <c r="F578" t="str">
        <f>IF(Clients_Churn_Master[[#This Row],[Type_Forfait]]="Pro Monde","B2B","B2C")</f>
        <v>B2C</v>
      </c>
      <c r="G578" s="4">
        <f>Clients_Churn_Master[[#This Row],[Duree_Cumulee_Panne_Min]]/1440</f>
        <v>0.20833333333333334</v>
      </c>
      <c r="H578" t="s">
        <v>556</v>
      </c>
      <c r="I578">
        <v>300</v>
      </c>
      <c r="J578" s="10">
        <v>13.76</v>
      </c>
      <c r="K578">
        <v>4</v>
      </c>
      <c r="L5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8" s="9">
        <f>Clients_Churn_Master[[#This Row],[Remise]]*Clients_Churn_Master[[#This Row],[Facture_Mensuelle]]</f>
        <v>6.1920000000000002</v>
      </c>
    </row>
    <row r="579" spans="1:13" x14ac:dyDescent="0.25">
      <c r="A579" t="s">
        <v>1696</v>
      </c>
      <c r="B579" t="s">
        <v>1136</v>
      </c>
      <c r="C579" s="7">
        <f>Clients_Churn_Master[[#This Row],[Anciennete_Mois]]/12</f>
        <v>1.1666666666666667</v>
      </c>
      <c r="D579" t="s">
        <v>41</v>
      </c>
      <c r="E579">
        <v>14</v>
      </c>
      <c r="F579" t="str">
        <f>IF(Clients_Churn_Master[[#This Row],[Type_Forfait]]="Pro Monde","B2B","B2C")</f>
        <v>B2C</v>
      </c>
      <c r="G579" s="4">
        <f>Clients_Churn_Master[[#This Row],[Duree_Cumulee_Panne_Min]]/1440</f>
        <v>2.5694444444444443E-2</v>
      </c>
      <c r="H579" t="s">
        <v>556</v>
      </c>
      <c r="I579">
        <v>37</v>
      </c>
      <c r="J579" s="10">
        <v>20.399999999999999</v>
      </c>
      <c r="K579">
        <v>2</v>
      </c>
      <c r="L5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79" s="9">
        <f>Clients_Churn_Master[[#This Row],[Remise]]*Clients_Churn_Master[[#This Row],[Facture_Mensuelle]]</f>
        <v>0</v>
      </c>
    </row>
    <row r="580" spans="1:13" x14ac:dyDescent="0.25">
      <c r="A580" t="s">
        <v>1695</v>
      </c>
      <c r="B580" t="s">
        <v>1137</v>
      </c>
      <c r="C580" s="7">
        <f>Clients_Churn_Master[[#This Row],[Anciennete_Mois]]/12</f>
        <v>0.58333333333333337</v>
      </c>
      <c r="D580" t="s">
        <v>24</v>
      </c>
      <c r="E580">
        <v>7</v>
      </c>
      <c r="F580" t="str">
        <f>IF(Clients_Churn_Master[[#This Row],[Type_Forfait]]="Pro Monde","B2B","B2C")</f>
        <v>B2B</v>
      </c>
      <c r="G580" s="4">
        <f>Clients_Churn_Master[[#This Row],[Duree_Cumulee_Panne_Min]]/1440</f>
        <v>0.31041666666666667</v>
      </c>
      <c r="H580" t="s">
        <v>558</v>
      </c>
      <c r="I580">
        <v>447</v>
      </c>
      <c r="J580" s="10">
        <v>84.95</v>
      </c>
      <c r="K580">
        <v>2</v>
      </c>
      <c r="L5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0" s="9">
        <f>Clients_Churn_Master[[#This Row],[Remise]]*Clients_Churn_Master[[#This Row],[Facture_Mensuelle]]</f>
        <v>38.227499999999999</v>
      </c>
    </row>
    <row r="581" spans="1:13" x14ac:dyDescent="0.25">
      <c r="A581" t="s">
        <v>1695</v>
      </c>
      <c r="B581" t="s">
        <v>1138</v>
      </c>
      <c r="C581" s="7">
        <f>Clients_Churn_Master[[#This Row],[Anciennete_Mois]]/12</f>
        <v>8.4166666666666661</v>
      </c>
      <c r="D581" t="s">
        <v>85</v>
      </c>
      <c r="E581">
        <v>101</v>
      </c>
      <c r="F581" t="str">
        <f>IF(Clients_Churn_Master[[#This Row],[Type_Forfait]]="Pro Monde","B2B","B2C")</f>
        <v>B2B</v>
      </c>
      <c r="G581" s="4">
        <f>Clients_Churn_Master[[#This Row],[Duree_Cumulee_Panne_Min]]/1440</f>
        <v>0.10277777777777777</v>
      </c>
      <c r="H581" t="s">
        <v>558</v>
      </c>
      <c r="I581">
        <v>148</v>
      </c>
      <c r="J581" s="10">
        <v>26.63</v>
      </c>
      <c r="K581">
        <v>3</v>
      </c>
      <c r="L5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81" s="9">
        <f>Clients_Churn_Master[[#This Row],[Remise]]*Clients_Churn_Master[[#This Row],[Facture_Mensuelle]]</f>
        <v>2.6630000000000003</v>
      </c>
    </row>
    <row r="582" spans="1:13" x14ac:dyDescent="0.25">
      <c r="A582" t="s">
        <v>1698</v>
      </c>
      <c r="B582" t="s">
        <v>1139</v>
      </c>
      <c r="C582" s="7">
        <f>Clients_Churn_Master[[#This Row],[Anciennete_Mois]]/12</f>
        <v>7</v>
      </c>
      <c r="D582" t="s">
        <v>85</v>
      </c>
      <c r="E582">
        <v>84</v>
      </c>
      <c r="F582" t="str">
        <f>IF(Clients_Churn_Master[[#This Row],[Type_Forfait]]="Pro Monde","B2B","B2C")</f>
        <v>B2C</v>
      </c>
      <c r="G582" s="4">
        <f>Clients_Churn_Master[[#This Row],[Duree_Cumulee_Panne_Min]]/1440</f>
        <v>0.26874999999999999</v>
      </c>
      <c r="H582" t="s">
        <v>564</v>
      </c>
      <c r="I582">
        <v>387</v>
      </c>
      <c r="J582" s="10">
        <v>58.1</v>
      </c>
      <c r="K582">
        <v>3</v>
      </c>
      <c r="L5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2" s="9">
        <f>Clients_Churn_Master[[#This Row],[Remise]]*Clients_Churn_Master[[#This Row],[Facture_Mensuelle]]</f>
        <v>26.145</v>
      </c>
    </row>
    <row r="583" spans="1:13" x14ac:dyDescent="0.25">
      <c r="A583" t="s">
        <v>1701</v>
      </c>
      <c r="B583" t="s">
        <v>1140</v>
      </c>
      <c r="C583" s="7">
        <f>Clients_Churn_Master[[#This Row],[Anciennete_Mois]]/12</f>
        <v>3.8333333333333335</v>
      </c>
      <c r="D583" t="s">
        <v>82</v>
      </c>
      <c r="E583">
        <v>46</v>
      </c>
      <c r="F583" t="str">
        <f>IF(Clients_Churn_Master[[#This Row],[Type_Forfait]]="Pro Monde","B2B","B2C")</f>
        <v>B2B</v>
      </c>
      <c r="G583" s="4">
        <f>Clients_Churn_Master[[#This Row],[Duree_Cumulee_Panne_Min]]/1440</f>
        <v>0.15</v>
      </c>
      <c r="H583" t="s">
        <v>558</v>
      </c>
      <c r="I583">
        <v>216</v>
      </c>
      <c r="J583" s="10">
        <v>63.74</v>
      </c>
      <c r="K583">
        <v>4</v>
      </c>
      <c r="L5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83" s="9">
        <f>Clients_Churn_Master[[#This Row],[Remise]]*Clients_Churn_Master[[#This Row],[Facture_Mensuelle]]</f>
        <v>6.3740000000000006</v>
      </c>
    </row>
    <row r="584" spans="1:13" x14ac:dyDescent="0.25">
      <c r="A584" t="s">
        <v>1695</v>
      </c>
      <c r="B584" t="s">
        <v>1141</v>
      </c>
      <c r="C584" s="7">
        <f>Clients_Churn_Master[[#This Row],[Anciennete_Mois]]/12</f>
        <v>6</v>
      </c>
      <c r="D584" t="s">
        <v>32</v>
      </c>
      <c r="E584">
        <v>72</v>
      </c>
      <c r="F584" t="str">
        <f>IF(Clients_Churn_Master[[#This Row],[Type_Forfait]]="Pro Monde","B2B","B2C")</f>
        <v>B2B</v>
      </c>
      <c r="G584" s="4">
        <f>Clients_Churn_Master[[#This Row],[Duree_Cumulee_Panne_Min]]/1440</f>
        <v>0.22013888888888888</v>
      </c>
      <c r="H584" t="s">
        <v>558</v>
      </c>
      <c r="I584">
        <v>317</v>
      </c>
      <c r="J584" s="10">
        <v>54.58</v>
      </c>
      <c r="K584">
        <v>1</v>
      </c>
      <c r="L5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4" s="9">
        <f>Clients_Churn_Master[[#This Row],[Remise]]*Clients_Churn_Master[[#This Row],[Facture_Mensuelle]]</f>
        <v>24.561</v>
      </c>
    </row>
    <row r="585" spans="1:13" x14ac:dyDescent="0.25">
      <c r="A585" t="s">
        <v>1692</v>
      </c>
      <c r="B585" t="s">
        <v>1142</v>
      </c>
      <c r="C585" s="7">
        <f>Clients_Churn_Master[[#This Row],[Anciennete_Mois]]/12</f>
        <v>5.75</v>
      </c>
      <c r="D585" t="s">
        <v>82</v>
      </c>
      <c r="E585">
        <v>69</v>
      </c>
      <c r="F585" t="str">
        <f>IF(Clients_Churn_Master[[#This Row],[Type_Forfait]]="Pro Monde","B2B","B2C")</f>
        <v>B2C</v>
      </c>
      <c r="G585" s="4">
        <f>Clients_Churn_Master[[#This Row],[Duree_Cumulee_Panne_Min]]/1440</f>
        <v>0.33750000000000002</v>
      </c>
      <c r="H585" t="s">
        <v>564</v>
      </c>
      <c r="I585">
        <v>486</v>
      </c>
      <c r="J585" s="10">
        <v>34.770000000000003</v>
      </c>
      <c r="K585">
        <v>0</v>
      </c>
      <c r="L5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5" s="9">
        <f>Clients_Churn_Master[[#This Row],[Remise]]*Clients_Churn_Master[[#This Row],[Facture_Mensuelle]]</f>
        <v>15.646500000000001</v>
      </c>
    </row>
    <row r="586" spans="1:13" x14ac:dyDescent="0.25">
      <c r="A586" t="s">
        <v>1697</v>
      </c>
      <c r="B586" t="s">
        <v>1143</v>
      </c>
      <c r="C586" s="7">
        <f>Clients_Churn_Master[[#This Row],[Anciennete_Mois]]/12</f>
        <v>4.75</v>
      </c>
      <c r="D586" t="s">
        <v>85</v>
      </c>
      <c r="E586">
        <v>57</v>
      </c>
      <c r="F586" t="str">
        <f>IF(Clients_Churn_Master[[#This Row],[Type_Forfait]]="Pro Monde","B2B","B2C")</f>
        <v>B2C</v>
      </c>
      <c r="G586" s="4">
        <f>Clients_Churn_Master[[#This Row],[Duree_Cumulee_Panne_Min]]/1440</f>
        <v>0.22847222222222222</v>
      </c>
      <c r="H586" t="s">
        <v>560</v>
      </c>
      <c r="I586">
        <v>329</v>
      </c>
      <c r="J586" s="10">
        <v>50.39</v>
      </c>
      <c r="K586">
        <v>5</v>
      </c>
      <c r="L5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6" s="9">
        <f>Clients_Churn_Master[[#This Row],[Remise]]*Clients_Churn_Master[[#This Row],[Facture_Mensuelle]]</f>
        <v>22.6755</v>
      </c>
    </row>
    <row r="587" spans="1:13" x14ac:dyDescent="0.25">
      <c r="A587" t="s">
        <v>1700</v>
      </c>
      <c r="B587" t="s">
        <v>1144</v>
      </c>
      <c r="C587" s="7">
        <f>Clients_Churn_Master[[#This Row],[Anciennete_Mois]]/12</f>
        <v>9</v>
      </c>
      <c r="D587" t="s">
        <v>62</v>
      </c>
      <c r="E587">
        <v>108</v>
      </c>
      <c r="F587" t="str">
        <f>IF(Clients_Churn_Master[[#This Row],[Type_Forfait]]="Pro Monde","B2B","B2C")</f>
        <v>B2C</v>
      </c>
      <c r="G587" s="4">
        <f>Clients_Churn_Master[[#This Row],[Duree_Cumulee_Panne_Min]]/1440</f>
        <v>5.4166666666666669E-2</v>
      </c>
      <c r="H587" t="s">
        <v>564</v>
      </c>
      <c r="I587">
        <v>78</v>
      </c>
      <c r="J587" s="10">
        <v>90.05</v>
      </c>
      <c r="K587">
        <v>2</v>
      </c>
      <c r="L5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87" s="9">
        <f>Clients_Churn_Master[[#This Row],[Remise]]*Clients_Churn_Master[[#This Row],[Facture_Mensuelle]]</f>
        <v>0</v>
      </c>
    </row>
    <row r="588" spans="1:13" x14ac:dyDescent="0.25">
      <c r="A588" t="s">
        <v>1699</v>
      </c>
      <c r="B588" t="s">
        <v>1145</v>
      </c>
      <c r="C588" s="7">
        <f>Clients_Churn_Master[[#This Row],[Anciennete_Mois]]/12</f>
        <v>7.666666666666667</v>
      </c>
      <c r="D588" t="s">
        <v>17</v>
      </c>
      <c r="E588">
        <v>92</v>
      </c>
      <c r="F588" t="str">
        <f>IF(Clients_Churn_Master[[#This Row],[Type_Forfait]]="Pro Monde","B2B","B2C")</f>
        <v>B2C</v>
      </c>
      <c r="G588" s="4">
        <f>Clients_Churn_Master[[#This Row],[Duree_Cumulee_Panne_Min]]/1440</f>
        <v>2.7777777777777779E-3</v>
      </c>
      <c r="H588" t="s">
        <v>556</v>
      </c>
      <c r="I588">
        <v>4</v>
      </c>
      <c r="J588" s="10">
        <v>22.03</v>
      </c>
      <c r="K588">
        <v>3</v>
      </c>
      <c r="L5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88" s="9">
        <f>Clients_Churn_Master[[#This Row],[Remise]]*Clients_Churn_Master[[#This Row],[Facture_Mensuelle]]</f>
        <v>0</v>
      </c>
    </row>
    <row r="589" spans="1:13" x14ac:dyDescent="0.25">
      <c r="A589" t="s">
        <v>1691</v>
      </c>
      <c r="B589" t="s">
        <v>1146</v>
      </c>
      <c r="C589" s="7">
        <f>Clients_Churn_Master[[#This Row],[Anciennete_Mois]]/12</f>
        <v>6.916666666666667</v>
      </c>
      <c r="D589" t="s">
        <v>17</v>
      </c>
      <c r="E589">
        <v>83</v>
      </c>
      <c r="F589" t="str">
        <f>IF(Clients_Churn_Master[[#This Row],[Type_Forfait]]="Pro Monde","B2B","B2C")</f>
        <v>B2B</v>
      </c>
      <c r="G589" s="4">
        <f>Clients_Churn_Master[[#This Row],[Duree_Cumulee_Panne_Min]]/1440</f>
        <v>0.15208333333333332</v>
      </c>
      <c r="H589" t="s">
        <v>558</v>
      </c>
      <c r="I589">
        <v>219</v>
      </c>
      <c r="J589" s="10">
        <v>52.26</v>
      </c>
      <c r="K589">
        <v>1</v>
      </c>
      <c r="L5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89" s="9">
        <f>Clients_Churn_Master[[#This Row],[Remise]]*Clients_Churn_Master[[#This Row],[Facture_Mensuelle]]</f>
        <v>5.226</v>
      </c>
    </row>
    <row r="590" spans="1:13" x14ac:dyDescent="0.25">
      <c r="A590" t="s">
        <v>1691</v>
      </c>
      <c r="B590" t="s">
        <v>1147</v>
      </c>
      <c r="C590" s="7">
        <f>Clients_Churn_Master[[#This Row],[Anciennete_Mois]]/12</f>
        <v>9.5</v>
      </c>
      <c r="D590" t="s">
        <v>30</v>
      </c>
      <c r="E590">
        <v>114</v>
      </c>
      <c r="F590" t="str">
        <f>IF(Clients_Churn_Master[[#This Row],[Type_Forfait]]="Pro Monde","B2B","B2C")</f>
        <v>B2C</v>
      </c>
      <c r="G590" s="4">
        <f>Clients_Churn_Master[[#This Row],[Duree_Cumulee_Panne_Min]]/1440</f>
        <v>0.21111111111111111</v>
      </c>
      <c r="H590" t="s">
        <v>556</v>
      </c>
      <c r="I590">
        <v>304</v>
      </c>
      <c r="J590" s="10">
        <v>52.07</v>
      </c>
      <c r="K590">
        <v>1</v>
      </c>
      <c r="L5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0" s="9">
        <f>Clients_Churn_Master[[#This Row],[Remise]]*Clients_Churn_Master[[#This Row],[Facture_Mensuelle]]</f>
        <v>23.4315</v>
      </c>
    </row>
    <row r="591" spans="1:13" x14ac:dyDescent="0.25">
      <c r="A591" t="s">
        <v>1698</v>
      </c>
      <c r="B591" t="s">
        <v>1148</v>
      </c>
      <c r="C591" s="7">
        <f>Clients_Churn_Master[[#This Row],[Anciennete_Mois]]/12</f>
        <v>6.25</v>
      </c>
      <c r="D591" t="s">
        <v>67</v>
      </c>
      <c r="E591">
        <v>75</v>
      </c>
      <c r="F591" t="str">
        <f>IF(Clients_Churn_Master[[#This Row],[Type_Forfait]]="Pro Monde","B2B","B2C")</f>
        <v>B2B</v>
      </c>
      <c r="G591" s="4">
        <f>Clients_Churn_Master[[#This Row],[Duree_Cumulee_Panne_Min]]/1440</f>
        <v>0.16805555555555557</v>
      </c>
      <c r="H591" t="s">
        <v>558</v>
      </c>
      <c r="I591">
        <v>242</v>
      </c>
      <c r="J591" s="10">
        <v>64.27</v>
      </c>
      <c r="K591">
        <v>2</v>
      </c>
      <c r="L5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1" s="9">
        <f>Clients_Churn_Master[[#This Row],[Remise]]*Clients_Churn_Master[[#This Row],[Facture_Mensuelle]]</f>
        <v>28.921499999999998</v>
      </c>
    </row>
    <row r="592" spans="1:13" x14ac:dyDescent="0.25">
      <c r="A592" t="s">
        <v>1697</v>
      </c>
      <c r="B592" t="s">
        <v>1149</v>
      </c>
      <c r="C592" s="7">
        <f>Clients_Churn_Master[[#This Row],[Anciennete_Mois]]/12</f>
        <v>9.5833333333333339</v>
      </c>
      <c r="D592" t="s">
        <v>17</v>
      </c>
      <c r="E592">
        <v>115</v>
      </c>
      <c r="F592" t="str">
        <f>IF(Clients_Churn_Master[[#This Row],[Type_Forfait]]="Pro Monde","B2B","B2C")</f>
        <v>B2C</v>
      </c>
      <c r="G592" s="4">
        <f>Clients_Churn_Master[[#This Row],[Duree_Cumulee_Panne_Min]]/1440</f>
        <v>0.12222222222222222</v>
      </c>
      <c r="H592" t="s">
        <v>556</v>
      </c>
      <c r="I592">
        <v>176</v>
      </c>
      <c r="J592" s="10">
        <v>33.28</v>
      </c>
      <c r="K592">
        <v>4</v>
      </c>
      <c r="L5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2" s="9">
        <f>Clients_Churn_Master[[#This Row],[Remise]]*Clients_Churn_Master[[#This Row],[Facture_Mensuelle]]</f>
        <v>0</v>
      </c>
    </row>
    <row r="593" spans="1:13" x14ac:dyDescent="0.25">
      <c r="A593" t="s">
        <v>1693</v>
      </c>
      <c r="B593" t="s">
        <v>1150</v>
      </c>
      <c r="C593" s="7">
        <f>Clients_Churn_Master[[#This Row],[Anciennete_Mois]]/12</f>
        <v>1</v>
      </c>
      <c r="D593" t="s">
        <v>34</v>
      </c>
      <c r="E593">
        <v>12</v>
      </c>
      <c r="F593" t="str">
        <f>IF(Clients_Churn_Master[[#This Row],[Type_Forfait]]="Pro Monde","B2B","B2C")</f>
        <v>B2C</v>
      </c>
      <c r="G593" s="4">
        <f>Clients_Churn_Master[[#This Row],[Duree_Cumulee_Panne_Min]]/1440</f>
        <v>0.16319444444444445</v>
      </c>
      <c r="H593" t="s">
        <v>560</v>
      </c>
      <c r="I593">
        <v>235</v>
      </c>
      <c r="J593" s="10">
        <v>33.96</v>
      </c>
      <c r="K593">
        <v>4</v>
      </c>
      <c r="L5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3" s="9">
        <f>Clients_Churn_Master[[#This Row],[Remise]]*Clients_Churn_Master[[#This Row],[Facture_Mensuelle]]</f>
        <v>0</v>
      </c>
    </row>
    <row r="594" spans="1:13" x14ac:dyDescent="0.25">
      <c r="A594" t="s">
        <v>1688</v>
      </c>
      <c r="B594" t="s">
        <v>1151</v>
      </c>
      <c r="C594" s="7">
        <f>Clients_Churn_Master[[#This Row],[Anciennete_Mois]]/12</f>
        <v>3.6666666666666665</v>
      </c>
      <c r="D594" t="s">
        <v>34</v>
      </c>
      <c r="E594">
        <v>44</v>
      </c>
      <c r="F594" t="str">
        <f>IF(Clients_Churn_Master[[#This Row],[Type_Forfait]]="Pro Monde","B2B","B2C")</f>
        <v>B2C</v>
      </c>
      <c r="G594" s="4">
        <f>Clients_Churn_Master[[#This Row],[Duree_Cumulee_Panne_Min]]/1440</f>
        <v>0.13819444444444445</v>
      </c>
      <c r="H594" t="s">
        <v>556</v>
      </c>
      <c r="I594">
        <v>199</v>
      </c>
      <c r="J594" s="10">
        <v>67.650000000000006</v>
      </c>
      <c r="K594">
        <v>0</v>
      </c>
      <c r="L5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4" s="9">
        <f>Clients_Churn_Master[[#This Row],[Remise]]*Clients_Churn_Master[[#This Row],[Facture_Mensuelle]]</f>
        <v>0</v>
      </c>
    </row>
    <row r="595" spans="1:13" x14ac:dyDescent="0.25">
      <c r="A595" t="s">
        <v>1693</v>
      </c>
      <c r="B595" t="s">
        <v>1152</v>
      </c>
      <c r="C595" s="7">
        <f>Clients_Churn_Master[[#This Row],[Anciennete_Mois]]/12</f>
        <v>4</v>
      </c>
      <c r="D595" t="s">
        <v>24</v>
      </c>
      <c r="E595">
        <v>48</v>
      </c>
      <c r="F595" t="str">
        <f>IF(Clients_Churn_Master[[#This Row],[Type_Forfait]]="Pro Monde","B2B","B2C")</f>
        <v>B2C</v>
      </c>
      <c r="G595" s="4">
        <f>Clients_Churn_Master[[#This Row],[Duree_Cumulee_Panne_Min]]/1440</f>
        <v>0.23472222222222222</v>
      </c>
      <c r="H595" t="s">
        <v>564</v>
      </c>
      <c r="I595">
        <v>338</v>
      </c>
      <c r="J595" s="10">
        <v>74.42</v>
      </c>
      <c r="K595">
        <v>0</v>
      </c>
      <c r="L5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5" s="9">
        <f>Clients_Churn_Master[[#This Row],[Remise]]*Clients_Churn_Master[[#This Row],[Facture_Mensuelle]]</f>
        <v>33.489000000000004</v>
      </c>
    </row>
    <row r="596" spans="1:13" x14ac:dyDescent="0.25">
      <c r="A596" t="s">
        <v>1692</v>
      </c>
      <c r="B596" t="s">
        <v>1153</v>
      </c>
      <c r="C596" s="7">
        <f>Clients_Churn_Master[[#This Row],[Anciennete_Mois]]/12</f>
        <v>4.25</v>
      </c>
      <c r="D596" t="s">
        <v>137</v>
      </c>
      <c r="E596">
        <v>51</v>
      </c>
      <c r="F596" t="str">
        <f>IF(Clients_Churn_Master[[#This Row],[Type_Forfait]]="Pro Monde","B2B","B2C")</f>
        <v>B2C</v>
      </c>
      <c r="G596" s="4">
        <f>Clients_Churn_Master[[#This Row],[Duree_Cumulee_Panne_Min]]/1440</f>
        <v>0.15416666666666667</v>
      </c>
      <c r="H596" t="s">
        <v>564</v>
      </c>
      <c r="I596">
        <v>222</v>
      </c>
      <c r="J596" s="10">
        <v>18.95</v>
      </c>
      <c r="K596">
        <v>4</v>
      </c>
      <c r="L5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6" s="9">
        <f>Clients_Churn_Master[[#This Row],[Remise]]*Clients_Churn_Master[[#This Row],[Facture_Mensuelle]]</f>
        <v>8.5274999999999999</v>
      </c>
    </row>
    <row r="597" spans="1:13" x14ac:dyDescent="0.25">
      <c r="A597" t="s">
        <v>1688</v>
      </c>
      <c r="B597" t="s">
        <v>1154</v>
      </c>
      <c r="C597" s="7">
        <f>Clients_Churn_Master[[#This Row],[Anciennete_Mois]]/12</f>
        <v>4.75</v>
      </c>
      <c r="D597" t="s">
        <v>13</v>
      </c>
      <c r="E597">
        <v>57</v>
      </c>
      <c r="F597" t="str">
        <f>IF(Clients_Churn_Master[[#This Row],[Type_Forfait]]="Pro Monde","B2B","B2C")</f>
        <v>B2C</v>
      </c>
      <c r="G597" s="4">
        <f>Clients_Churn_Master[[#This Row],[Duree_Cumulee_Panne_Min]]/1440</f>
        <v>0.30208333333333331</v>
      </c>
      <c r="H597" t="s">
        <v>560</v>
      </c>
      <c r="I597">
        <v>435</v>
      </c>
      <c r="J597" s="10">
        <v>56.88</v>
      </c>
      <c r="K597">
        <v>4</v>
      </c>
      <c r="L5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7" s="9">
        <f>Clients_Churn_Master[[#This Row],[Remise]]*Clients_Churn_Master[[#This Row],[Facture_Mensuelle]]</f>
        <v>25.596</v>
      </c>
    </row>
    <row r="598" spans="1:13" x14ac:dyDescent="0.25">
      <c r="A598" t="s">
        <v>1690</v>
      </c>
      <c r="B598" t="s">
        <v>1155</v>
      </c>
      <c r="C598" s="7">
        <f>Clients_Churn_Master[[#This Row],[Anciennete_Mois]]/12</f>
        <v>3.0833333333333335</v>
      </c>
      <c r="D598" t="s">
        <v>34</v>
      </c>
      <c r="E598">
        <v>37</v>
      </c>
      <c r="F598" t="str">
        <f>IF(Clients_Churn_Master[[#This Row],[Type_Forfait]]="Pro Monde","B2B","B2C")</f>
        <v>B2C</v>
      </c>
      <c r="G598" s="4">
        <f>Clients_Churn_Master[[#This Row],[Duree_Cumulee_Panne_Min]]/1440</f>
        <v>6.0416666666666667E-2</v>
      </c>
      <c r="H598" t="s">
        <v>556</v>
      </c>
      <c r="I598">
        <v>87</v>
      </c>
      <c r="J598" s="10">
        <v>26.4</v>
      </c>
      <c r="K598">
        <v>3</v>
      </c>
      <c r="L5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8" s="9">
        <f>Clients_Churn_Master[[#This Row],[Remise]]*Clients_Churn_Master[[#This Row],[Facture_Mensuelle]]</f>
        <v>0</v>
      </c>
    </row>
    <row r="599" spans="1:13" x14ac:dyDescent="0.25">
      <c r="A599" t="s">
        <v>1693</v>
      </c>
      <c r="B599" t="s">
        <v>1156</v>
      </c>
      <c r="C599" s="7">
        <f>Clients_Churn_Master[[#This Row],[Anciennete_Mois]]/12</f>
        <v>1.8333333333333333</v>
      </c>
      <c r="D599" t="s">
        <v>55</v>
      </c>
      <c r="E599">
        <v>22</v>
      </c>
      <c r="F599" t="str">
        <f>IF(Clients_Churn_Master[[#This Row],[Type_Forfait]]="Pro Monde","B2B","B2C")</f>
        <v>B2B</v>
      </c>
      <c r="G599" s="4">
        <f>Clients_Churn_Master[[#This Row],[Duree_Cumulee_Panne_Min]]/1440</f>
        <v>0.25972222222222224</v>
      </c>
      <c r="H599" t="s">
        <v>558</v>
      </c>
      <c r="I599">
        <v>374</v>
      </c>
      <c r="J599" s="10">
        <v>40.06</v>
      </c>
      <c r="K599">
        <v>5</v>
      </c>
      <c r="L5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9" s="9">
        <f>Clients_Churn_Master[[#This Row],[Remise]]*Clients_Churn_Master[[#This Row],[Facture_Mensuelle]]</f>
        <v>18.027000000000001</v>
      </c>
    </row>
    <row r="600" spans="1:13" x14ac:dyDescent="0.25">
      <c r="A600" t="s">
        <v>1695</v>
      </c>
      <c r="B600" t="s">
        <v>1157</v>
      </c>
      <c r="C600" s="7">
        <f>Clients_Churn_Master[[#This Row],[Anciennete_Mois]]/12</f>
        <v>1.75</v>
      </c>
      <c r="D600" t="s">
        <v>96</v>
      </c>
      <c r="E600">
        <v>21</v>
      </c>
      <c r="F600" t="str">
        <f>IF(Clients_Churn_Master[[#This Row],[Type_Forfait]]="Pro Monde","B2B","B2C")</f>
        <v>B2C</v>
      </c>
      <c r="G600" s="4">
        <f>Clients_Churn_Master[[#This Row],[Duree_Cumulee_Panne_Min]]/1440</f>
        <v>0.31944444444444442</v>
      </c>
      <c r="H600" t="s">
        <v>560</v>
      </c>
      <c r="I600">
        <v>460</v>
      </c>
      <c r="J600" s="10">
        <v>70.81</v>
      </c>
      <c r="K600">
        <v>2</v>
      </c>
      <c r="L6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0" s="9">
        <f>Clients_Churn_Master[[#This Row],[Remise]]*Clients_Churn_Master[[#This Row],[Facture_Mensuelle]]</f>
        <v>31.864500000000003</v>
      </c>
    </row>
    <row r="601" spans="1:13" x14ac:dyDescent="0.25">
      <c r="A601" t="s">
        <v>1691</v>
      </c>
      <c r="B601" t="s">
        <v>1158</v>
      </c>
      <c r="C601" s="7">
        <f>Clients_Churn_Master[[#This Row],[Anciennete_Mois]]/12</f>
        <v>5.583333333333333</v>
      </c>
      <c r="D601" t="s">
        <v>82</v>
      </c>
      <c r="E601">
        <v>67</v>
      </c>
      <c r="F601" t="str">
        <f>IF(Clients_Churn_Master[[#This Row],[Type_Forfait]]="Pro Monde","B2B","B2C")</f>
        <v>B2B</v>
      </c>
      <c r="G601" s="4">
        <f>Clients_Churn_Master[[#This Row],[Duree_Cumulee_Panne_Min]]/1440</f>
        <v>3.8194444444444448E-2</v>
      </c>
      <c r="H601" t="s">
        <v>558</v>
      </c>
      <c r="I601">
        <v>55</v>
      </c>
      <c r="J601" s="10">
        <v>27.04</v>
      </c>
      <c r="K601">
        <v>1</v>
      </c>
      <c r="L6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01" s="9">
        <f>Clients_Churn_Master[[#This Row],[Remise]]*Clients_Churn_Master[[#This Row],[Facture_Mensuelle]]</f>
        <v>2.7040000000000002</v>
      </c>
    </row>
    <row r="602" spans="1:13" x14ac:dyDescent="0.25">
      <c r="A602" t="s">
        <v>1688</v>
      </c>
      <c r="B602" t="s">
        <v>1159</v>
      </c>
      <c r="C602" s="7">
        <f>Clients_Churn_Master[[#This Row],[Anciennete_Mois]]/12</f>
        <v>1.9166666666666667</v>
      </c>
      <c r="D602" t="s">
        <v>45</v>
      </c>
      <c r="E602">
        <v>23</v>
      </c>
      <c r="F602" t="str">
        <f>IF(Clients_Churn_Master[[#This Row],[Type_Forfait]]="Pro Monde","B2B","B2C")</f>
        <v>B2B</v>
      </c>
      <c r="G602" s="4">
        <f>Clients_Churn_Master[[#This Row],[Duree_Cumulee_Panne_Min]]/1440</f>
        <v>0.32847222222222222</v>
      </c>
      <c r="H602" t="s">
        <v>558</v>
      </c>
      <c r="I602">
        <v>473</v>
      </c>
      <c r="J602" s="10">
        <v>71.86</v>
      </c>
      <c r="K602">
        <v>3</v>
      </c>
      <c r="L6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2" s="9">
        <f>Clients_Churn_Master[[#This Row],[Remise]]*Clients_Churn_Master[[#This Row],[Facture_Mensuelle]]</f>
        <v>32.337000000000003</v>
      </c>
    </row>
    <row r="603" spans="1:13" x14ac:dyDescent="0.25">
      <c r="A603" t="s">
        <v>1697</v>
      </c>
      <c r="B603" t="s">
        <v>1160</v>
      </c>
      <c r="C603" s="7">
        <f>Clients_Churn_Master[[#This Row],[Anciennete_Mois]]/12</f>
        <v>1.6666666666666667</v>
      </c>
      <c r="D603" t="s">
        <v>82</v>
      </c>
      <c r="E603">
        <v>20</v>
      </c>
      <c r="F603" t="str">
        <f>IF(Clients_Churn_Master[[#This Row],[Type_Forfait]]="Pro Monde","B2B","B2C")</f>
        <v>B2C</v>
      </c>
      <c r="G603" s="4">
        <f>Clients_Churn_Master[[#This Row],[Duree_Cumulee_Panne_Min]]/1440</f>
        <v>2.7777777777777779E-3</v>
      </c>
      <c r="H603" t="s">
        <v>560</v>
      </c>
      <c r="I603">
        <v>4</v>
      </c>
      <c r="J603" s="10">
        <v>84.9</v>
      </c>
      <c r="K603">
        <v>3</v>
      </c>
      <c r="L6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03" s="9">
        <f>Clients_Churn_Master[[#This Row],[Remise]]*Clients_Churn_Master[[#This Row],[Facture_Mensuelle]]</f>
        <v>0</v>
      </c>
    </row>
    <row r="604" spans="1:13" x14ac:dyDescent="0.25">
      <c r="A604" t="s">
        <v>1702</v>
      </c>
      <c r="B604" t="s">
        <v>1161</v>
      </c>
      <c r="C604" s="7">
        <f>Clients_Churn_Master[[#This Row],[Anciennete_Mois]]/12</f>
        <v>1</v>
      </c>
      <c r="D604" t="s">
        <v>13</v>
      </c>
      <c r="E604">
        <v>12</v>
      </c>
      <c r="F604" t="str">
        <f>IF(Clients_Churn_Master[[#This Row],[Type_Forfait]]="Pro Monde","B2B","B2C")</f>
        <v>B2C</v>
      </c>
      <c r="G604" s="4">
        <f>Clients_Churn_Master[[#This Row],[Duree_Cumulee_Panne_Min]]/1440</f>
        <v>0.14444444444444443</v>
      </c>
      <c r="H604" t="s">
        <v>564</v>
      </c>
      <c r="I604">
        <v>208</v>
      </c>
      <c r="J604" s="10">
        <v>16.29</v>
      </c>
      <c r="K604">
        <v>4</v>
      </c>
      <c r="L6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4" s="9">
        <f>Clients_Churn_Master[[#This Row],[Remise]]*Clients_Churn_Master[[#This Row],[Facture_Mensuelle]]</f>
        <v>7.3304999999999998</v>
      </c>
    </row>
    <row r="605" spans="1:13" x14ac:dyDescent="0.25">
      <c r="A605" t="s">
        <v>1702</v>
      </c>
      <c r="B605" t="s">
        <v>1162</v>
      </c>
      <c r="C605" s="7">
        <f>Clients_Churn_Master[[#This Row],[Anciennete_Mois]]/12</f>
        <v>0.5</v>
      </c>
      <c r="D605" t="s">
        <v>133</v>
      </c>
      <c r="E605">
        <v>6</v>
      </c>
      <c r="F605" t="str">
        <f>IF(Clients_Churn_Master[[#This Row],[Type_Forfait]]="Pro Monde","B2B","B2C")</f>
        <v>B2C</v>
      </c>
      <c r="G605" s="4">
        <f>Clients_Churn_Master[[#This Row],[Duree_Cumulee_Panne_Min]]/1440</f>
        <v>0.1125</v>
      </c>
      <c r="H605" t="s">
        <v>564</v>
      </c>
      <c r="I605">
        <v>162</v>
      </c>
      <c r="J605" s="10">
        <v>99.93</v>
      </c>
      <c r="K605">
        <v>0</v>
      </c>
      <c r="L6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5" s="9">
        <f>Clients_Churn_Master[[#This Row],[Remise]]*Clients_Churn_Master[[#This Row],[Facture_Mensuelle]]</f>
        <v>44.968500000000006</v>
      </c>
    </row>
    <row r="606" spans="1:13" x14ac:dyDescent="0.25">
      <c r="A606" t="s">
        <v>1700</v>
      </c>
      <c r="B606" t="s">
        <v>1163</v>
      </c>
      <c r="C606" s="7">
        <f>Clients_Churn_Master[[#This Row],[Anciennete_Mois]]/12</f>
        <v>2.0833333333333335</v>
      </c>
      <c r="D606" t="s">
        <v>67</v>
      </c>
      <c r="E606">
        <v>25</v>
      </c>
      <c r="F606" t="str">
        <f>IF(Clients_Churn_Master[[#This Row],[Type_Forfait]]="Pro Monde","B2B","B2C")</f>
        <v>B2C</v>
      </c>
      <c r="G606" s="4">
        <f>Clients_Churn_Master[[#This Row],[Duree_Cumulee_Panne_Min]]/1440</f>
        <v>3.472222222222222E-3</v>
      </c>
      <c r="H606" t="s">
        <v>556</v>
      </c>
      <c r="I606">
        <v>5</v>
      </c>
      <c r="J606" s="10">
        <v>27.93</v>
      </c>
      <c r="K606">
        <v>0</v>
      </c>
      <c r="L6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06" s="9">
        <f>Clients_Churn_Master[[#This Row],[Remise]]*Clients_Churn_Master[[#This Row],[Facture_Mensuelle]]</f>
        <v>0</v>
      </c>
    </row>
    <row r="607" spans="1:13" x14ac:dyDescent="0.25">
      <c r="A607" t="s">
        <v>1689</v>
      </c>
      <c r="B607" t="s">
        <v>1164</v>
      </c>
      <c r="C607" s="7">
        <f>Clients_Churn_Master[[#This Row],[Anciennete_Mois]]/12</f>
        <v>3.25</v>
      </c>
      <c r="D607" t="s">
        <v>49</v>
      </c>
      <c r="E607">
        <v>39</v>
      </c>
      <c r="F607" t="str">
        <f>IF(Clients_Churn_Master[[#This Row],[Type_Forfait]]="Pro Monde","B2B","B2C")</f>
        <v>B2B</v>
      </c>
      <c r="G607" s="4">
        <f>Clients_Churn_Master[[#This Row],[Duree_Cumulee_Panne_Min]]/1440</f>
        <v>3.7499999999999999E-2</v>
      </c>
      <c r="H607" t="s">
        <v>558</v>
      </c>
      <c r="I607">
        <v>54</v>
      </c>
      <c r="J607" s="10">
        <v>88.84</v>
      </c>
      <c r="K607">
        <v>0</v>
      </c>
      <c r="L6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07" s="9">
        <f>Clients_Churn_Master[[#This Row],[Remise]]*Clients_Churn_Master[[#This Row],[Facture_Mensuelle]]</f>
        <v>8.8840000000000003</v>
      </c>
    </row>
    <row r="608" spans="1:13" x14ac:dyDescent="0.25">
      <c r="A608" t="s">
        <v>1689</v>
      </c>
      <c r="B608" t="s">
        <v>1165</v>
      </c>
      <c r="C608" s="7">
        <f>Clients_Churn_Master[[#This Row],[Anciennete_Mois]]/12</f>
        <v>10</v>
      </c>
      <c r="D608" t="s">
        <v>55</v>
      </c>
      <c r="E608">
        <v>120</v>
      </c>
      <c r="F608" t="str">
        <f>IF(Clients_Churn_Master[[#This Row],[Type_Forfait]]="Pro Monde","B2B","B2C")</f>
        <v>B2C</v>
      </c>
      <c r="G608" s="4">
        <f>Clients_Churn_Master[[#This Row],[Duree_Cumulee_Panne_Min]]/1440</f>
        <v>0.27152777777777776</v>
      </c>
      <c r="H608" t="s">
        <v>564</v>
      </c>
      <c r="I608">
        <v>391</v>
      </c>
      <c r="J608" s="10">
        <v>67.77</v>
      </c>
      <c r="K608">
        <v>4</v>
      </c>
      <c r="L6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8" s="9">
        <f>Clients_Churn_Master[[#This Row],[Remise]]*Clients_Churn_Master[[#This Row],[Facture_Mensuelle]]</f>
        <v>30.496499999999997</v>
      </c>
    </row>
    <row r="609" spans="1:13" x14ac:dyDescent="0.25">
      <c r="A609" t="s">
        <v>1691</v>
      </c>
      <c r="B609" t="s">
        <v>1166</v>
      </c>
      <c r="C609" s="7">
        <f>Clients_Churn_Master[[#This Row],[Anciennete_Mois]]/12</f>
        <v>4.25</v>
      </c>
      <c r="D609" t="s">
        <v>37</v>
      </c>
      <c r="E609">
        <v>51</v>
      </c>
      <c r="F609" t="str">
        <f>IF(Clients_Churn_Master[[#This Row],[Type_Forfait]]="Pro Monde","B2B","B2C")</f>
        <v>B2C</v>
      </c>
      <c r="G609" s="4">
        <f>Clients_Churn_Master[[#This Row],[Duree_Cumulee_Panne_Min]]/1440</f>
        <v>0.18055555555555555</v>
      </c>
      <c r="H609" t="s">
        <v>556</v>
      </c>
      <c r="I609">
        <v>260</v>
      </c>
      <c r="J609" s="10">
        <v>92.8</v>
      </c>
      <c r="K609">
        <v>5</v>
      </c>
      <c r="L6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9" s="9">
        <f>Clients_Churn_Master[[#This Row],[Remise]]*Clients_Churn_Master[[#This Row],[Facture_Mensuelle]]</f>
        <v>41.76</v>
      </c>
    </row>
    <row r="610" spans="1:13" x14ac:dyDescent="0.25">
      <c r="A610" t="s">
        <v>1698</v>
      </c>
      <c r="B610" t="s">
        <v>1167</v>
      </c>
      <c r="C610" s="7">
        <f>Clients_Churn_Master[[#This Row],[Anciennete_Mois]]/12</f>
        <v>0.91666666666666663</v>
      </c>
      <c r="D610" t="s">
        <v>21</v>
      </c>
      <c r="E610">
        <v>11</v>
      </c>
      <c r="F610" t="str">
        <f>IF(Clients_Churn_Master[[#This Row],[Type_Forfait]]="Pro Monde","B2B","B2C")</f>
        <v>B2C</v>
      </c>
      <c r="G610" s="4">
        <f>Clients_Churn_Master[[#This Row],[Duree_Cumulee_Panne_Min]]/1440</f>
        <v>0.13263888888888889</v>
      </c>
      <c r="H610" t="s">
        <v>564</v>
      </c>
      <c r="I610">
        <v>191</v>
      </c>
      <c r="J610" s="10">
        <v>87.37</v>
      </c>
      <c r="K610">
        <v>3</v>
      </c>
      <c r="L6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0" s="9">
        <f>Clients_Churn_Master[[#This Row],[Remise]]*Clients_Churn_Master[[#This Row],[Facture_Mensuelle]]</f>
        <v>39.316500000000005</v>
      </c>
    </row>
    <row r="611" spans="1:13" x14ac:dyDescent="0.25">
      <c r="A611" t="s">
        <v>1701</v>
      </c>
      <c r="B611" t="s">
        <v>1168</v>
      </c>
      <c r="C611" s="7">
        <f>Clients_Churn_Master[[#This Row],[Anciennete_Mois]]/12</f>
        <v>3.9166666666666665</v>
      </c>
      <c r="D611" t="s">
        <v>32</v>
      </c>
      <c r="E611">
        <v>47</v>
      </c>
      <c r="F611" t="str">
        <f>IF(Clients_Churn_Master[[#This Row],[Type_Forfait]]="Pro Monde","B2B","B2C")</f>
        <v>B2C</v>
      </c>
      <c r="G611" s="4">
        <f>Clients_Churn_Master[[#This Row],[Duree_Cumulee_Panne_Min]]/1440</f>
        <v>0.31736111111111109</v>
      </c>
      <c r="H611" t="s">
        <v>564</v>
      </c>
      <c r="I611">
        <v>457</v>
      </c>
      <c r="J611" s="10">
        <v>84.93</v>
      </c>
      <c r="K611">
        <v>2</v>
      </c>
      <c r="L6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1" s="9">
        <f>Clients_Churn_Master[[#This Row],[Remise]]*Clients_Churn_Master[[#This Row],[Facture_Mensuelle]]</f>
        <v>38.218500000000006</v>
      </c>
    </row>
    <row r="612" spans="1:13" x14ac:dyDescent="0.25">
      <c r="A612" t="s">
        <v>1700</v>
      </c>
      <c r="B612" t="s">
        <v>1169</v>
      </c>
      <c r="C612" s="7">
        <f>Clients_Churn_Master[[#This Row],[Anciennete_Mois]]/12</f>
        <v>8.1666666666666661</v>
      </c>
      <c r="D612" t="s">
        <v>93</v>
      </c>
      <c r="E612">
        <v>98</v>
      </c>
      <c r="F612" t="str">
        <f>IF(Clients_Churn_Master[[#This Row],[Type_Forfait]]="Pro Monde","B2B","B2C")</f>
        <v>B2C</v>
      </c>
      <c r="G612" s="4">
        <f>Clients_Churn_Master[[#This Row],[Duree_Cumulee_Panne_Min]]/1440</f>
        <v>7.6388888888888895E-2</v>
      </c>
      <c r="H612" t="s">
        <v>560</v>
      </c>
      <c r="I612">
        <v>110</v>
      </c>
      <c r="J612" s="10">
        <v>96.23</v>
      </c>
      <c r="K612">
        <v>2</v>
      </c>
      <c r="L6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12" s="9">
        <f>Clients_Churn_Master[[#This Row],[Remise]]*Clients_Churn_Master[[#This Row],[Facture_Mensuelle]]</f>
        <v>0</v>
      </c>
    </row>
    <row r="613" spans="1:13" x14ac:dyDescent="0.25">
      <c r="A613" t="s">
        <v>1698</v>
      </c>
      <c r="B613" t="s">
        <v>1170</v>
      </c>
      <c r="C613" s="7">
        <f>Clients_Churn_Master[[#This Row],[Anciennete_Mois]]/12</f>
        <v>2.3333333333333335</v>
      </c>
      <c r="D613" t="s">
        <v>37</v>
      </c>
      <c r="E613">
        <v>28</v>
      </c>
      <c r="F613" t="str">
        <f>IF(Clients_Churn_Master[[#This Row],[Type_Forfait]]="Pro Monde","B2B","B2C")</f>
        <v>B2C</v>
      </c>
      <c r="G613" s="4">
        <f>Clients_Churn_Master[[#This Row],[Duree_Cumulee_Panne_Min]]/1440</f>
        <v>6.6666666666666666E-2</v>
      </c>
      <c r="H613" t="s">
        <v>564</v>
      </c>
      <c r="I613">
        <v>96</v>
      </c>
      <c r="J613" s="10">
        <v>72.010000000000005</v>
      </c>
      <c r="K613">
        <v>4</v>
      </c>
      <c r="L6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3" s="9">
        <f>Clients_Churn_Master[[#This Row],[Remise]]*Clients_Churn_Master[[#This Row],[Facture_Mensuelle]]</f>
        <v>32.404500000000006</v>
      </c>
    </row>
    <row r="614" spans="1:13" x14ac:dyDescent="0.25">
      <c r="A614" t="s">
        <v>1689</v>
      </c>
      <c r="B614" t="s">
        <v>1171</v>
      </c>
      <c r="C614" s="7">
        <f>Clients_Churn_Master[[#This Row],[Anciennete_Mois]]/12</f>
        <v>6.416666666666667</v>
      </c>
      <c r="D614" t="s">
        <v>17</v>
      </c>
      <c r="E614">
        <v>77</v>
      </c>
      <c r="F614" t="str">
        <f>IF(Clients_Churn_Master[[#This Row],[Type_Forfait]]="Pro Monde","B2B","B2C")</f>
        <v>B2C</v>
      </c>
      <c r="G614" s="4">
        <f>Clients_Churn_Master[[#This Row],[Duree_Cumulee_Panne_Min]]/1440</f>
        <v>0.26041666666666669</v>
      </c>
      <c r="H614" t="s">
        <v>560</v>
      </c>
      <c r="I614">
        <v>375</v>
      </c>
      <c r="J614" s="10">
        <v>24.03</v>
      </c>
      <c r="K614">
        <v>1</v>
      </c>
      <c r="L6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4" s="9">
        <f>Clients_Churn_Master[[#This Row],[Remise]]*Clients_Churn_Master[[#This Row],[Facture_Mensuelle]]</f>
        <v>10.813500000000001</v>
      </c>
    </row>
    <row r="615" spans="1:13" x14ac:dyDescent="0.25">
      <c r="A615" t="s">
        <v>1691</v>
      </c>
      <c r="B615" t="s">
        <v>1172</v>
      </c>
      <c r="C615" s="7">
        <f>Clients_Churn_Master[[#This Row],[Anciennete_Mois]]/12</f>
        <v>4.666666666666667</v>
      </c>
      <c r="D615" t="s">
        <v>34</v>
      </c>
      <c r="E615">
        <v>56</v>
      </c>
      <c r="F615" t="str">
        <f>IF(Clients_Churn_Master[[#This Row],[Type_Forfait]]="Pro Monde","B2B","B2C")</f>
        <v>B2C</v>
      </c>
      <c r="G615" s="4">
        <f>Clients_Churn_Master[[#This Row],[Duree_Cumulee_Panne_Min]]/1440</f>
        <v>0.23125000000000001</v>
      </c>
      <c r="H615" t="s">
        <v>556</v>
      </c>
      <c r="I615">
        <v>333</v>
      </c>
      <c r="J615" s="10">
        <v>23.01</v>
      </c>
      <c r="K615">
        <v>2</v>
      </c>
      <c r="L6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5" s="9">
        <f>Clients_Churn_Master[[#This Row],[Remise]]*Clients_Churn_Master[[#This Row],[Facture_Mensuelle]]</f>
        <v>10.354500000000002</v>
      </c>
    </row>
    <row r="616" spans="1:13" x14ac:dyDescent="0.25">
      <c r="A616" t="s">
        <v>1698</v>
      </c>
      <c r="B616" t="s">
        <v>1173</v>
      </c>
      <c r="C616" s="7">
        <f>Clients_Churn_Master[[#This Row],[Anciennete_Mois]]/12</f>
        <v>5.5</v>
      </c>
      <c r="D616" t="s">
        <v>13</v>
      </c>
      <c r="E616">
        <v>66</v>
      </c>
      <c r="F616" t="str">
        <f>IF(Clients_Churn_Master[[#This Row],[Type_Forfait]]="Pro Monde","B2B","B2C")</f>
        <v>B2C</v>
      </c>
      <c r="G616" s="4">
        <f>Clients_Churn_Master[[#This Row],[Duree_Cumulee_Panne_Min]]/1440</f>
        <v>0.26874999999999999</v>
      </c>
      <c r="H616" t="s">
        <v>560</v>
      </c>
      <c r="I616">
        <v>387</v>
      </c>
      <c r="J616" s="10">
        <v>82.94</v>
      </c>
      <c r="K616">
        <v>3</v>
      </c>
      <c r="L6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6" s="9">
        <f>Clients_Churn_Master[[#This Row],[Remise]]*Clients_Churn_Master[[#This Row],[Facture_Mensuelle]]</f>
        <v>37.323</v>
      </c>
    </row>
    <row r="617" spans="1:13" x14ac:dyDescent="0.25">
      <c r="A617" t="s">
        <v>1698</v>
      </c>
      <c r="B617" t="s">
        <v>1174</v>
      </c>
      <c r="C617" s="7">
        <f>Clients_Churn_Master[[#This Row],[Anciennete_Mois]]/12</f>
        <v>6.25</v>
      </c>
      <c r="D617" t="s">
        <v>133</v>
      </c>
      <c r="E617">
        <v>75</v>
      </c>
      <c r="F617" t="str">
        <f>IF(Clients_Churn_Master[[#This Row],[Type_Forfait]]="Pro Monde","B2B","B2C")</f>
        <v>B2C</v>
      </c>
      <c r="G617" s="4">
        <f>Clients_Churn_Master[[#This Row],[Duree_Cumulee_Panne_Min]]/1440</f>
        <v>0.19583333333333333</v>
      </c>
      <c r="H617" t="s">
        <v>556</v>
      </c>
      <c r="I617">
        <v>282</v>
      </c>
      <c r="J617" s="10">
        <v>45.16</v>
      </c>
      <c r="K617">
        <v>5</v>
      </c>
      <c r="L6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7" s="9">
        <f>Clients_Churn_Master[[#This Row],[Remise]]*Clients_Churn_Master[[#This Row],[Facture_Mensuelle]]</f>
        <v>20.321999999999999</v>
      </c>
    </row>
    <row r="618" spans="1:13" x14ac:dyDescent="0.25">
      <c r="A618" t="s">
        <v>1699</v>
      </c>
      <c r="B618" t="s">
        <v>1175</v>
      </c>
      <c r="C618" s="7">
        <f>Clients_Churn_Master[[#This Row],[Anciennete_Mois]]/12</f>
        <v>3.25</v>
      </c>
      <c r="D618" t="s">
        <v>17</v>
      </c>
      <c r="E618">
        <v>39</v>
      </c>
      <c r="F618" t="str">
        <f>IF(Clients_Churn_Master[[#This Row],[Type_Forfait]]="Pro Monde","B2B","B2C")</f>
        <v>B2C</v>
      </c>
      <c r="G618" s="4">
        <f>Clients_Churn_Master[[#This Row],[Duree_Cumulee_Panne_Min]]/1440</f>
        <v>6.9444444444444447E-4</v>
      </c>
      <c r="H618" t="s">
        <v>564</v>
      </c>
      <c r="I618">
        <v>1</v>
      </c>
      <c r="J618" s="10">
        <v>66.94</v>
      </c>
      <c r="K618">
        <v>5</v>
      </c>
      <c r="L6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8" s="9">
        <f>Clients_Churn_Master[[#This Row],[Remise]]*Clients_Churn_Master[[#This Row],[Facture_Mensuelle]]</f>
        <v>30.123000000000001</v>
      </c>
    </row>
    <row r="619" spans="1:13" x14ac:dyDescent="0.25">
      <c r="A619" t="s">
        <v>1692</v>
      </c>
      <c r="B619" t="s">
        <v>1176</v>
      </c>
      <c r="C619" s="7">
        <f>Clients_Churn_Master[[#This Row],[Anciennete_Mois]]/12</f>
        <v>8.5</v>
      </c>
      <c r="D619" t="s">
        <v>137</v>
      </c>
      <c r="E619">
        <v>102</v>
      </c>
      <c r="F619" t="str">
        <f>IF(Clients_Churn_Master[[#This Row],[Type_Forfait]]="Pro Monde","B2B","B2C")</f>
        <v>B2C</v>
      </c>
      <c r="G619" s="4">
        <f>Clients_Churn_Master[[#This Row],[Duree_Cumulee_Panne_Min]]/1440</f>
        <v>6.3194444444444442E-2</v>
      </c>
      <c r="H619" t="s">
        <v>556</v>
      </c>
      <c r="I619">
        <v>91</v>
      </c>
      <c r="J619" s="10">
        <v>34.64</v>
      </c>
      <c r="K619">
        <v>2</v>
      </c>
      <c r="L6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19" s="9">
        <f>Clients_Churn_Master[[#This Row],[Remise]]*Clients_Churn_Master[[#This Row],[Facture_Mensuelle]]</f>
        <v>0</v>
      </c>
    </row>
    <row r="620" spans="1:13" x14ac:dyDescent="0.25">
      <c r="A620" t="s">
        <v>1698</v>
      </c>
      <c r="B620" t="s">
        <v>1177</v>
      </c>
      <c r="C620" s="7">
        <f>Clients_Churn_Master[[#This Row],[Anciennete_Mois]]/12</f>
        <v>4.583333333333333</v>
      </c>
      <c r="D620" t="s">
        <v>32</v>
      </c>
      <c r="E620">
        <v>55</v>
      </c>
      <c r="F620" t="str">
        <f>IF(Clients_Churn_Master[[#This Row],[Type_Forfait]]="Pro Monde","B2B","B2C")</f>
        <v>B2C</v>
      </c>
      <c r="G620" s="4">
        <f>Clients_Churn_Master[[#This Row],[Duree_Cumulee_Panne_Min]]/1440</f>
        <v>0.27361111111111114</v>
      </c>
      <c r="H620" t="s">
        <v>564</v>
      </c>
      <c r="I620">
        <v>394</v>
      </c>
      <c r="J620" s="10">
        <v>26.8</v>
      </c>
      <c r="K620">
        <v>4</v>
      </c>
      <c r="L6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0" s="9">
        <f>Clients_Churn_Master[[#This Row],[Remise]]*Clients_Churn_Master[[#This Row],[Facture_Mensuelle]]</f>
        <v>12.06</v>
      </c>
    </row>
    <row r="621" spans="1:13" x14ac:dyDescent="0.25">
      <c r="A621" t="s">
        <v>1688</v>
      </c>
      <c r="B621" t="s">
        <v>1178</v>
      </c>
      <c r="C621" s="7">
        <f>Clients_Churn_Master[[#This Row],[Anciennete_Mois]]/12</f>
        <v>6.5</v>
      </c>
      <c r="D621" t="s">
        <v>9</v>
      </c>
      <c r="E621">
        <v>78</v>
      </c>
      <c r="F621" t="str">
        <f>IF(Clients_Churn_Master[[#This Row],[Type_Forfait]]="Pro Monde","B2B","B2C")</f>
        <v>B2C</v>
      </c>
      <c r="G621" s="4">
        <f>Clients_Churn_Master[[#This Row],[Duree_Cumulee_Panne_Min]]/1440</f>
        <v>0.13750000000000001</v>
      </c>
      <c r="H621" t="s">
        <v>560</v>
      </c>
      <c r="I621">
        <v>198</v>
      </c>
      <c r="J621" s="10">
        <v>69.849999999999994</v>
      </c>
      <c r="K621">
        <v>0</v>
      </c>
      <c r="L6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21" s="9">
        <f>Clients_Churn_Master[[#This Row],[Remise]]*Clients_Churn_Master[[#This Row],[Facture_Mensuelle]]</f>
        <v>0</v>
      </c>
    </row>
    <row r="622" spans="1:13" x14ac:dyDescent="0.25">
      <c r="A622" t="s">
        <v>1694</v>
      </c>
      <c r="B622" t="s">
        <v>1179</v>
      </c>
      <c r="C622" s="7">
        <f>Clients_Churn_Master[[#This Row],[Anciennete_Mois]]/12</f>
        <v>0.41666666666666669</v>
      </c>
      <c r="D622" t="s">
        <v>21</v>
      </c>
      <c r="E622">
        <v>5</v>
      </c>
      <c r="F622" t="str">
        <f>IF(Clients_Churn_Master[[#This Row],[Type_Forfait]]="Pro Monde","B2B","B2C")</f>
        <v>B2C</v>
      </c>
      <c r="G622" s="4">
        <f>Clients_Churn_Master[[#This Row],[Duree_Cumulee_Panne_Min]]/1440</f>
        <v>0.26666666666666666</v>
      </c>
      <c r="H622" t="s">
        <v>564</v>
      </c>
      <c r="I622">
        <v>384</v>
      </c>
      <c r="J622" s="10">
        <v>97.26</v>
      </c>
      <c r="K622">
        <v>3</v>
      </c>
      <c r="L6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2" s="9">
        <f>Clients_Churn_Master[[#This Row],[Remise]]*Clients_Churn_Master[[#This Row],[Facture_Mensuelle]]</f>
        <v>43.767000000000003</v>
      </c>
    </row>
    <row r="623" spans="1:13" x14ac:dyDescent="0.25">
      <c r="A623" t="s">
        <v>1696</v>
      </c>
      <c r="B623" t="s">
        <v>1180</v>
      </c>
      <c r="C623" s="7">
        <f>Clients_Churn_Master[[#This Row],[Anciennete_Mois]]/12</f>
        <v>7.25</v>
      </c>
      <c r="D623" t="s">
        <v>55</v>
      </c>
      <c r="E623">
        <v>87</v>
      </c>
      <c r="F623" t="str">
        <f>IF(Clients_Churn_Master[[#This Row],[Type_Forfait]]="Pro Monde","B2B","B2C")</f>
        <v>B2B</v>
      </c>
      <c r="G623" s="4">
        <f>Clients_Churn_Master[[#This Row],[Duree_Cumulee_Panne_Min]]/1440</f>
        <v>0.33750000000000002</v>
      </c>
      <c r="H623" t="s">
        <v>558</v>
      </c>
      <c r="I623">
        <v>486</v>
      </c>
      <c r="J623" s="10">
        <v>58.26</v>
      </c>
      <c r="K623">
        <v>0</v>
      </c>
      <c r="L6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3" s="9">
        <f>Clients_Churn_Master[[#This Row],[Remise]]*Clients_Churn_Master[[#This Row],[Facture_Mensuelle]]</f>
        <v>26.216999999999999</v>
      </c>
    </row>
    <row r="624" spans="1:13" x14ac:dyDescent="0.25">
      <c r="A624" t="s">
        <v>1702</v>
      </c>
      <c r="B624" t="s">
        <v>1181</v>
      </c>
      <c r="C624" s="7">
        <f>Clients_Churn_Master[[#This Row],[Anciennete_Mois]]/12</f>
        <v>3.5</v>
      </c>
      <c r="D624" t="s">
        <v>133</v>
      </c>
      <c r="E624">
        <v>42</v>
      </c>
      <c r="F624" t="str">
        <f>IF(Clients_Churn_Master[[#This Row],[Type_Forfait]]="Pro Monde","B2B","B2C")</f>
        <v>B2C</v>
      </c>
      <c r="G624" s="4">
        <f>Clients_Churn_Master[[#This Row],[Duree_Cumulee_Panne_Min]]/1440</f>
        <v>0.2673611111111111</v>
      </c>
      <c r="H624" t="s">
        <v>560</v>
      </c>
      <c r="I624">
        <v>385</v>
      </c>
      <c r="J624" s="10">
        <v>96.52</v>
      </c>
      <c r="K624">
        <v>1</v>
      </c>
      <c r="L6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4" s="9">
        <f>Clients_Churn_Master[[#This Row],[Remise]]*Clients_Churn_Master[[#This Row],[Facture_Mensuelle]]</f>
        <v>43.433999999999997</v>
      </c>
    </row>
    <row r="625" spans="1:13" x14ac:dyDescent="0.25">
      <c r="A625" t="s">
        <v>1695</v>
      </c>
      <c r="B625" t="s">
        <v>1182</v>
      </c>
      <c r="C625" s="7">
        <f>Clients_Churn_Master[[#This Row],[Anciennete_Mois]]/12</f>
        <v>8.5833333333333339</v>
      </c>
      <c r="D625" t="s">
        <v>45</v>
      </c>
      <c r="E625">
        <v>103</v>
      </c>
      <c r="F625" t="str">
        <f>IF(Clients_Churn_Master[[#This Row],[Type_Forfait]]="Pro Monde","B2B","B2C")</f>
        <v>B2C</v>
      </c>
      <c r="G625" s="4">
        <f>Clients_Churn_Master[[#This Row],[Duree_Cumulee_Panne_Min]]/1440</f>
        <v>0.26805555555555555</v>
      </c>
      <c r="H625" t="s">
        <v>564</v>
      </c>
      <c r="I625">
        <v>386</v>
      </c>
      <c r="J625" s="10">
        <v>10.58</v>
      </c>
      <c r="K625">
        <v>0</v>
      </c>
      <c r="L6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5" s="9">
        <f>Clients_Churn_Master[[#This Row],[Remise]]*Clients_Churn_Master[[#This Row],[Facture_Mensuelle]]</f>
        <v>4.7610000000000001</v>
      </c>
    </row>
    <row r="626" spans="1:13" x14ac:dyDescent="0.25">
      <c r="A626" t="s">
        <v>1688</v>
      </c>
      <c r="B626" t="s">
        <v>1183</v>
      </c>
      <c r="C626" s="7">
        <f>Clients_Churn_Master[[#This Row],[Anciennete_Mois]]/12</f>
        <v>5.25</v>
      </c>
      <c r="D626" t="s">
        <v>17</v>
      </c>
      <c r="E626">
        <v>63</v>
      </c>
      <c r="F626" t="str">
        <f>IF(Clients_Churn_Master[[#This Row],[Type_Forfait]]="Pro Monde","B2B","B2C")</f>
        <v>B2C</v>
      </c>
      <c r="G626" s="4">
        <f>Clients_Churn_Master[[#This Row],[Duree_Cumulee_Panne_Min]]/1440</f>
        <v>0.2722222222222222</v>
      </c>
      <c r="H626" t="s">
        <v>556</v>
      </c>
      <c r="I626">
        <v>392</v>
      </c>
      <c r="J626" s="10">
        <v>93.11</v>
      </c>
      <c r="K626">
        <v>3</v>
      </c>
      <c r="L6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6" s="9">
        <f>Clients_Churn_Master[[#This Row],[Remise]]*Clients_Churn_Master[[#This Row],[Facture_Mensuelle]]</f>
        <v>41.899500000000003</v>
      </c>
    </row>
    <row r="627" spans="1:13" x14ac:dyDescent="0.25">
      <c r="A627" t="s">
        <v>1700</v>
      </c>
      <c r="B627" t="s">
        <v>1184</v>
      </c>
      <c r="C627" s="7">
        <f>Clients_Churn_Master[[#This Row],[Anciennete_Mois]]/12</f>
        <v>4.333333333333333</v>
      </c>
      <c r="D627" t="s">
        <v>82</v>
      </c>
      <c r="E627">
        <v>52</v>
      </c>
      <c r="F627" t="str">
        <f>IF(Clients_Churn_Master[[#This Row],[Type_Forfait]]="Pro Monde","B2B","B2C")</f>
        <v>B2C</v>
      </c>
      <c r="G627" s="4">
        <f>Clients_Churn_Master[[#This Row],[Duree_Cumulee_Panne_Min]]/1440</f>
        <v>0.21319444444444444</v>
      </c>
      <c r="H627" t="s">
        <v>556</v>
      </c>
      <c r="I627">
        <v>307</v>
      </c>
      <c r="J627" s="10">
        <v>81.38</v>
      </c>
      <c r="K627">
        <v>2</v>
      </c>
      <c r="L6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7" s="9">
        <f>Clients_Churn_Master[[#This Row],[Remise]]*Clients_Churn_Master[[#This Row],[Facture_Mensuelle]]</f>
        <v>36.621000000000002</v>
      </c>
    </row>
    <row r="628" spans="1:13" x14ac:dyDescent="0.25">
      <c r="A628" t="s">
        <v>1702</v>
      </c>
      <c r="B628" t="s">
        <v>1185</v>
      </c>
      <c r="C628" s="7">
        <f>Clients_Churn_Master[[#This Row],[Anciennete_Mois]]/12</f>
        <v>4.75</v>
      </c>
      <c r="D628" t="s">
        <v>47</v>
      </c>
      <c r="E628">
        <v>57</v>
      </c>
      <c r="F628" t="str">
        <f>IF(Clients_Churn_Master[[#This Row],[Type_Forfait]]="Pro Monde","B2B","B2C")</f>
        <v>B2C</v>
      </c>
      <c r="G628" s="4">
        <f>Clients_Churn_Master[[#This Row],[Duree_Cumulee_Panne_Min]]/1440</f>
        <v>0.14444444444444443</v>
      </c>
      <c r="H628" t="s">
        <v>556</v>
      </c>
      <c r="I628">
        <v>208</v>
      </c>
      <c r="J628" s="10">
        <v>85.66</v>
      </c>
      <c r="K628">
        <v>5</v>
      </c>
      <c r="L6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28" s="9">
        <f>Clients_Churn_Master[[#This Row],[Remise]]*Clients_Churn_Master[[#This Row],[Facture_Mensuelle]]</f>
        <v>0</v>
      </c>
    </row>
    <row r="629" spans="1:13" x14ac:dyDescent="0.25">
      <c r="A629" t="s">
        <v>1692</v>
      </c>
      <c r="B629" t="s">
        <v>1186</v>
      </c>
      <c r="C629" s="7">
        <f>Clients_Churn_Master[[#This Row],[Anciennete_Mois]]/12</f>
        <v>4.583333333333333</v>
      </c>
      <c r="D629" t="s">
        <v>17</v>
      </c>
      <c r="E629">
        <v>55</v>
      </c>
      <c r="F629" t="str">
        <f>IF(Clients_Churn_Master[[#This Row],[Type_Forfait]]="Pro Monde","B2B","B2C")</f>
        <v>B2C</v>
      </c>
      <c r="G629" s="4">
        <f>Clients_Churn_Master[[#This Row],[Duree_Cumulee_Panne_Min]]/1440</f>
        <v>5.9722222222222225E-2</v>
      </c>
      <c r="H629" t="s">
        <v>564</v>
      </c>
      <c r="I629">
        <v>86</v>
      </c>
      <c r="J629" s="10">
        <v>17.440000000000001</v>
      </c>
      <c r="K629">
        <v>2</v>
      </c>
      <c r="L6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9" s="9">
        <f>Clients_Churn_Master[[#This Row],[Remise]]*Clients_Churn_Master[[#This Row],[Facture_Mensuelle]]</f>
        <v>7.8480000000000008</v>
      </c>
    </row>
    <row r="630" spans="1:13" x14ac:dyDescent="0.25">
      <c r="A630" t="s">
        <v>1689</v>
      </c>
      <c r="B630" t="s">
        <v>1187</v>
      </c>
      <c r="C630" s="7">
        <f>Clients_Churn_Master[[#This Row],[Anciennete_Mois]]/12</f>
        <v>4.833333333333333</v>
      </c>
      <c r="D630" t="s">
        <v>43</v>
      </c>
      <c r="E630">
        <v>58</v>
      </c>
      <c r="F630" t="str">
        <f>IF(Clients_Churn_Master[[#This Row],[Type_Forfait]]="Pro Monde","B2B","B2C")</f>
        <v>B2C</v>
      </c>
      <c r="G630" s="4">
        <f>Clients_Churn_Master[[#This Row],[Duree_Cumulee_Panne_Min]]/1440</f>
        <v>0.33680555555555558</v>
      </c>
      <c r="H630" t="s">
        <v>564</v>
      </c>
      <c r="I630">
        <v>485</v>
      </c>
      <c r="J630" s="10">
        <v>64.290000000000006</v>
      </c>
      <c r="K630">
        <v>4</v>
      </c>
      <c r="L6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30" s="9">
        <f>Clients_Churn_Master[[#This Row],[Remise]]*Clients_Churn_Master[[#This Row],[Facture_Mensuelle]]</f>
        <v>28.930500000000002</v>
      </c>
    </row>
    <row r="631" spans="1:13" x14ac:dyDescent="0.25">
      <c r="A631" t="s">
        <v>1695</v>
      </c>
      <c r="B631" t="s">
        <v>1188</v>
      </c>
      <c r="C631" s="7">
        <f>Clients_Churn_Master[[#This Row],[Anciennete_Mois]]/12</f>
        <v>0.75</v>
      </c>
      <c r="D631" t="s">
        <v>13</v>
      </c>
      <c r="E631">
        <v>9</v>
      </c>
      <c r="F631" t="str">
        <f>IF(Clients_Churn_Master[[#This Row],[Type_Forfait]]="Pro Monde","B2B","B2C")</f>
        <v>B2C</v>
      </c>
      <c r="G631" s="4">
        <f>Clients_Churn_Master[[#This Row],[Duree_Cumulee_Panne_Min]]/1440</f>
        <v>1.8749999999999999E-2</v>
      </c>
      <c r="H631" t="s">
        <v>556</v>
      </c>
      <c r="I631">
        <v>27</v>
      </c>
      <c r="J631" s="10">
        <v>99.02</v>
      </c>
      <c r="K631">
        <v>3</v>
      </c>
      <c r="L6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1" s="9">
        <f>Clients_Churn_Master[[#This Row],[Remise]]*Clients_Churn_Master[[#This Row],[Facture_Mensuelle]]</f>
        <v>0</v>
      </c>
    </row>
    <row r="632" spans="1:13" x14ac:dyDescent="0.25">
      <c r="A632" t="s">
        <v>1701</v>
      </c>
      <c r="B632" t="s">
        <v>1189</v>
      </c>
      <c r="C632" s="7">
        <f>Clients_Churn_Master[[#This Row],[Anciennete_Mois]]/12</f>
        <v>7</v>
      </c>
      <c r="D632" t="s">
        <v>62</v>
      </c>
      <c r="E632">
        <v>84</v>
      </c>
      <c r="F632" t="str">
        <f>IF(Clients_Churn_Master[[#This Row],[Type_Forfait]]="Pro Monde","B2B","B2C")</f>
        <v>B2C</v>
      </c>
      <c r="G632" s="4">
        <f>Clients_Churn_Master[[#This Row],[Duree_Cumulee_Panne_Min]]/1440</f>
        <v>0.25277777777777777</v>
      </c>
      <c r="H632" t="s">
        <v>556</v>
      </c>
      <c r="I632">
        <v>364</v>
      </c>
      <c r="J632" s="10">
        <v>87.79</v>
      </c>
      <c r="K632">
        <v>3</v>
      </c>
      <c r="L6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32" s="9">
        <f>Clients_Churn_Master[[#This Row],[Remise]]*Clients_Churn_Master[[#This Row],[Facture_Mensuelle]]</f>
        <v>39.505500000000005</v>
      </c>
    </row>
    <row r="633" spans="1:13" x14ac:dyDescent="0.25">
      <c r="A633" t="s">
        <v>1697</v>
      </c>
      <c r="B633" t="s">
        <v>1190</v>
      </c>
      <c r="C633" s="7">
        <f>Clients_Churn_Master[[#This Row],[Anciennete_Mois]]/12</f>
        <v>2.25</v>
      </c>
      <c r="D633" t="s">
        <v>43</v>
      </c>
      <c r="E633">
        <v>27</v>
      </c>
      <c r="F633" t="str">
        <f>IF(Clients_Churn_Master[[#This Row],[Type_Forfait]]="Pro Monde","B2B","B2C")</f>
        <v>B2C</v>
      </c>
      <c r="G633" s="4">
        <f>Clients_Churn_Master[[#This Row],[Duree_Cumulee_Panne_Min]]/1440</f>
        <v>0.19097222222222221</v>
      </c>
      <c r="H633" t="s">
        <v>556</v>
      </c>
      <c r="I633">
        <v>275</v>
      </c>
      <c r="J633" s="10">
        <v>80.069999999999993</v>
      </c>
      <c r="K633">
        <v>1</v>
      </c>
      <c r="L6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33" s="9">
        <f>Clients_Churn_Master[[#This Row],[Remise]]*Clients_Churn_Master[[#This Row],[Facture_Mensuelle]]</f>
        <v>36.031500000000001</v>
      </c>
    </row>
    <row r="634" spans="1:13" x14ac:dyDescent="0.25">
      <c r="A634" t="s">
        <v>1699</v>
      </c>
      <c r="B634" t="s">
        <v>1191</v>
      </c>
      <c r="C634" s="7">
        <f>Clients_Churn_Master[[#This Row],[Anciennete_Mois]]/12</f>
        <v>4.666666666666667</v>
      </c>
      <c r="D634" t="s">
        <v>32</v>
      </c>
      <c r="E634">
        <v>56</v>
      </c>
      <c r="F634" t="str">
        <f>IF(Clients_Churn_Master[[#This Row],[Type_Forfait]]="Pro Monde","B2B","B2C")</f>
        <v>B2C</v>
      </c>
      <c r="G634" s="4">
        <f>Clients_Churn_Master[[#This Row],[Duree_Cumulee_Panne_Min]]/1440</f>
        <v>7.9166666666666663E-2</v>
      </c>
      <c r="H634" t="s">
        <v>556</v>
      </c>
      <c r="I634">
        <v>114</v>
      </c>
      <c r="J634" s="10">
        <v>64.39</v>
      </c>
      <c r="K634">
        <v>1</v>
      </c>
      <c r="L6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4" s="9">
        <f>Clients_Churn_Master[[#This Row],[Remise]]*Clients_Churn_Master[[#This Row],[Facture_Mensuelle]]</f>
        <v>0</v>
      </c>
    </row>
    <row r="635" spans="1:13" x14ac:dyDescent="0.25">
      <c r="A635" t="s">
        <v>1700</v>
      </c>
      <c r="B635" t="s">
        <v>1192</v>
      </c>
      <c r="C635" s="7">
        <f>Clients_Churn_Master[[#This Row],[Anciennete_Mois]]/12</f>
        <v>4.25</v>
      </c>
      <c r="D635" t="s">
        <v>52</v>
      </c>
      <c r="E635">
        <v>51</v>
      </c>
      <c r="F635" t="str">
        <f>IF(Clients_Churn_Master[[#This Row],[Type_Forfait]]="Pro Monde","B2B","B2C")</f>
        <v>B2C</v>
      </c>
      <c r="G635" s="4">
        <f>Clients_Churn_Master[[#This Row],[Duree_Cumulee_Panne_Min]]/1440</f>
        <v>0.10555555555555556</v>
      </c>
      <c r="H635" t="s">
        <v>560</v>
      </c>
      <c r="I635">
        <v>152</v>
      </c>
      <c r="J635" s="10">
        <v>34.630000000000003</v>
      </c>
      <c r="K635">
        <v>2</v>
      </c>
      <c r="L6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5" s="9">
        <f>Clients_Churn_Master[[#This Row],[Remise]]*Clients_Churn_Master[[#This Row],[Facture_Mensuelle]]</f>
        <v>0</v>
      </c>
    </row>
    <row r="636" spans="1:13" x14ac:dyDescent="0.25">
      <c r="A636" t="s">
        <v>1698</v>
      </c>
      <c r="B636" t="s">
        <v>1193</v>
      </c>
      <c r="C636" s="7">
        <f>Clients_Churn_Master[[#This Row],[Anciennete_Mois]]/12</f>
        <v>2.1666666666666665</v>
      </c>
      <c r="D636" t="s">
        <v>137</v>
      </c>
      <c r="E636">
        <v>26</v>
      </c>
      <c r="F636" t="str">
        <f>IF(Clients_Churn_Master[[#This Row],[Type_Forfait]]="Pro Monde","B2B","B2C")</f>
        <v>B2C</v>
      </c>
      <c r="G636" s="4">
        <f>Clients_Churn_Master[[#This Row],[Duree_Cumulee_Panne_Min]]/1440</f>
        <v>0.12083333333333333</v>
      </c>
      <c r="H636" t="s">
        <v>556</v>
      </c>
      <c r="I636">
        <v>174</v>
      </c>
      <c r="J636" s="10">
        <v>90.53</v>
      </c>
      <c r="K636">
        <v>3</v>
      </c>
      <c r="L6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6" s="9">
        <f>Clients_Churn_Master[[#This Row],[Remise]]*Clients_Churn_Master[[#This Row],[Facture_Mensuelle]]</f>
        <v>0</v>
      </c>
    </row>
    <row r="637" spans="1:13" x14ac:dyDescent="0.25">
      <c r="A637" t="s">
        <v>1691</v>
      </c>
      <c r="B637" t="s">
        <v>1194</v>
      </c>
      <c r="C637" s="7">
        <f>Clients_Churn_Master[[#This Row],[Anciennete_Mois]]/12</f>
        <v>5</v>
      </c>
      <c r="D637" t="s">
        <v>49</v>
      </c>
      <c r="E637">
        <v>60</v>
      </c>
      <c r="F637" t="str">
        <f>IF(Clients_Churn_Master[[#This Row],[Type_Forfait]]="Pro Monde","B2B","B2C")</f>
        <v>B2C</v>
      </c>
      <c r="G637" s="4">
        <f>Clients_Churn_Master[[#This Row],[Duree_Cumulee_Panne_Min]]/1440</f>
        <v>0.11666666666666667</v>
      </c>
      <c r="H637" t="s">
        <v>556</v>
      </c>
      <c r="I637">
        <v>168</v>
      </c>
      <c r="J637" s="10">
        <v>67.650000000000006</v>
      </c>
      <c r="K637">
        <v>1</v>
      </c>
      <c r="L6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7" s="9">
        <f>Clients_Churn_Master[[#This Row],[Remise]]*Clients_Churn_Master[[#This Row],[Facture_Mensuelle]]</f>
        <v>0</v>
      </c>
    </row>
    <row r="638" spans="1:13" x14ac:dyDescent="0.25">
      <c r="A638" t="s">
        <v>1697</v>
      </c>
      <c r="B638" t="s">
        <v>1195</v>
      </c>
      <c r="C638" s="7">
        <f>Clients_Churn_Master[[#This Row],[Anciennete_Mois]]/12</f>
        <v>3.9166666666666665</v>
      </c>
      <c r="D638" t="s">
        <v>13</v>
      </c>
      <c r="E638">
        <v>47</v>
      </c>
      <c r="F638" t="str">
        <f>IF(Clients_Churn_Master[[#This Row],[Type_Forfait]]="Pro Monde","B2B","B2C")</f>
        <v>B2C</v>
      </c>
      <c r="G638" s="4">
        <f>Clients_Churn_Master[[#This Row],[Duree_Cumulee_Panne_Min]]/1440</f>
        <v>0.13819444444444445</v>
      </c>
      <c r="H638" t="s">
        <v>556</v>
      </c>
      <c r="I638">
        <v>199</v>
      </c>
      <c r="J638" s="10">
        <v>23.19</v>
      </c>
      <c r="K638">
        <v>2</v>
      </c>
      <c r="L6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8" s="9">
        <f>Clients_Churn_Master[[#This Row],[Remise]]*Clients_Churn_Master[[#This Row],[Facture_Mensuelle]]</f>
        <v>0</v>
      </c>
    </row>
    <row r="639" spans="1:13" x14ac:dyDescent="0.25">
      <c r="A639" t="s">
        <v>1693</v>
      </c>
      <c r="B639" t="s">
        <v>1196</v>
      </c>
      <c r="C639" s="7">
        <f>Clients_Churn_Master[[#This Row],[Anciennete_Mois]]/12</f>
        <v>0.58333333333333337</v>
      </c>
      <c r="D639" t="s">
        <v>34</v>
      </c>
      <c r="E639">
        <v>7</v>
      </c>
      <c r="F639" t="str">
        <f>IF(Clients_Churn_Master[[#This Row],[Type_Forfait]]="Pro Monde","B2B","B2C")</f>
        <v>B2C</v>
      </c>
      <c r="G639" s="4">
        <f>Clients_Churn_Master[[#This Row],[Duree_Cumulee_Panne_Min]]/1440</f>
        <v>0.17847222222222223</v>
      </c>
      <c r="H639" t="s">
        <v>556</v>
      </c>
      <c r="I639">
        <v>257</v>
      </c>
      <c r="J639" s="10">
        <v>73.040000000000006</v>
      </c>
      <c r="K639">
        <v>3</v>
      </c>
      <c r="L6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39" s="9">
        <f>Clients_Churn_Master[[#This Row],[Remise]]*Clients_Churn_Master[[#This Row],[Facture_Mensuelle]]</f>
        <v>32.868000000000002</v>
      </c>
    </row>
    <row r="640" spans="1:13" x14ac:dyDescent="0.25">
      <c r="A640" t="s">
        <v>1692</v>
      </c>
      <c r="B640" t="s">
        <v>1197</v>
      </c>
      <c r="C640" s="7">
        <f>Clients_Churn_Master[[#This Row],[Anciennete_Mois]]/12</f>
        <v>4.916666666666667</v>
      </c>
      <c r="D640" t="s">
        <v>62</v>
      </c>
      <c r="E640">
        <v>59</v>
      </c>
      <c r="F640" t="str">
        <f>IF(Clients_Churn_Master[[#This Row],[Type_Forfait]]="Pro Monde","B2B","B2C")</f>
        <v>B2B</v>
      </c>
      <c r="G640" s="4">
        <f>Clients_Churn_Master[[#This Row],[Duree_Cumulee_Panne_Min]]/1440</f>
        <v>0.25624999999999998</v>
      </c>
      <c r="H640" t="s">
        <v>558</v>
      </c>
      <c r="I640">
        <v>369</v>
      </c>
      <c r="J640" s="10">
        <v>26.64</v>
      </c>
      <c r="K640">
        <v>4</v>
      </c>
      <c r="L6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0" s="9">
        <f>Clients_Churn_Master[[#This Row],[Remise]]*Clients_Churn_Master[[#This Row],[Facture_Mensuelle]]</f>
        <v>11.988000000000001</v>
      </c>
    </row>
    <row r="641" spans="1:13" x14ac:dyDescent="0.25">
      <c r="A641" t="s">
        <v>1693</v>
      </c>
      <c r="B641" t="s">
        <v>1198</v>
      </c>
      <c r="C641" s="7">
        <f>Clients_Churn_Master[[#This Row],[Anciennete_Mois]]/12</f>
        <v>8.6666666666666661</v>
      </c>
      <c r="D641" t="s">
        <v>93</v>
      </c>
      <c r="E641">
        <v>104</v>
      </c>
      <c r="F641" t="str">
        <f>IF(Clients_Churn_Master[[#This Row],[Type_Forfait]]="Pro Monde","B2B","B2C")</f>
        <v>B2C</v>
      </c>
      <c r="G641" s="4">
        <f>Clients_Churn_Master[[#This Row],[Duree_Cumulee_Panne_Min]]/1440</f>
        <v>0.16875000000000001</v>
      </c>
      <c r="H641" t="s">
        <v>556</v>
      </c>
      <c r="I641">
        <v>243</v>
      </c>
      <c r="J641" s="10">
        <v>65.819999999999993</v>
      </c>
      <c r="K641">
        <v>0</v>
      </c>
      <c r="L6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1" s="9">
        <f>Clients_Churn_Master[[#This Row],[Remise]]*Clients_Churn_Master[[#This Row],[Facture_Mensuelle]]</f>
        <v>29.618999999999996</v>
      </c>
    </row>
    <row r="642" spans="1:13" x14ac:dyDescent="0.25">
      <c r="A642" t="s">
        <v>1694</v>
      </c>
      <c r="B642" t="s">
        <v>1199</v>
      </c>
      <c r="C642" s="7">
        <f>Clients_Churn_Master[[#This Row],[Anciennete_Mois]]/12</f>
        <v>4</v>
      </c>
      <c r="D642" t="s">
        <v>55</v>
      </c>
      <c r="E642">
        <v>48</v>
      </c>
      <c r="F642" t="str">
        <f>IF(Clients_Churn_Master[[#This Row],[Type_Forfait]]="Pro Monde","B2B","B2C")</f>
        <v>B2C</v>
      </c>
      <c r="G642" s="4">
        <f>Clients_Churn_Master[[#This Row],[Duree_Cumulee_Panne_Min]]/1440</f>
        <v>1.0416666666666666E-2</v>
      </c>
      <c r="H642" t="s">
        <v>560</v>
      </c>
      <c r="I642">
        <v>15</v>
      </c>
      <c r="J642" s="10">
        <v>50.67</v>
      </c>
      <c r="K642">
        <v>1</v>
      </c>
      <c r="L6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42" s="9">
        <f>Clients_Churn_Master[[#This Row],[Remise]]*Clients_Churn_Master[[#This Row],[Facture_Mensuelle]]</f>
        <v>0</v>
      </c>
    </row>
    <row r="643" spans="1:13" x14ac:dyDescent="0.25">
      <c r="A643" t="s">
        <v>1688</v>
      </c>
      <c r="B643" t="s">
        <v>1200</v>
      </c>
      <c r="C643" s="7">
        <f>Clients_Churn_Master[[#This Row],[Anciennete_Mois]]/12</f>
        <v>5.916666666666667</v>
      </c>
      <c r="D643" t="s">
        <v>55</v>
      </c>
      <c r="E643">
        <v>71</v>
      </c>
      <c r="F643" t="str">
        <f>IF(Clients_Churn_Master[[#This Row],[Type_Forfait]]="Pro Monde","B2B","B2C")</f>
        <v>B2C</v>
      </c>
      <c r="G643" s="4">
        <f>Clients_Churn_Master[[#This Row],[Duree_Cumulee_Panne_Min]]/1440</f>
        <v>0.25277777777777777</v>
      </c>
      <c r="H643" t="s">
        <v>556</v>
      </c>
      <c r="I643">
        <v>364</v>
      </c>
      <c r="J643" s="10">
        <v>39.58</v>
      </c>
      <c r="K643">
        <v>1</v>
      </c>
      <c r="L6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3" s="9">
        <f>Clients_Churn_Master[[#This Row],[Remise]]*Clients_Churn_Master[[#This Row],[Facture_Mensuelle]]</f>
        <v>17.811</v>
      </c>
    </row>
    <row r="644" spans="1:13" x14ac:dyDescent="0.25">
      <c r="A644" t="s">
        <v>1692</v>
      </c>
      <c r="B644" t="s">
        <v>1201</v>
      </c>
      <c r="C644" s="7">
        <f>Clients_Churn_Master[[#This Row],[Anciennete_Mois]]/12</f>
        <v>7.333333333333333</v>
      </c>
      <c r="D644" t="s">
        <v>13</v>
      </c>
      <c r="E644">
        <v>88</v>
      </c>
      <c r="F644" t="str">
        <f>IF(Clients_Churn_Master[[#This Row],[Type_Forfait]]="Pro Monde","B2B","B2C")</f>
        <v>B2C</v>
      </c>
      <c r="G644" s="4">
        <f>Clients_Churn_Master[[#This Row],[Duree_Cumulee_Panne_Min]]/1440</f>
        <v>0.10694444444444444</v>
      </c>
      <c r="H644" t="s">
        <v>560</v>
      </c>
      <c r="I644">
        <v>154</v>
      </c>
      <c r="J644" s="10">
        <v>62.62</v>
      </c>
      <c r="K644">
        <v>5</v>
      </c>
      <c r="L6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44" s="9">
        <f>Clients_Churn_Master[[#This Row],[Remise]]*Clients_Churn_Master[[#This Row],[Facture_Mensuelle]]</f>
        <v>0</v>
      </c>
    </row>
    <row r="645" spans="1:13" x14ac:dyDescent="0.25">
      <c r="A645" t="s">
        <v>1701</v>
      </c>
      <c r="B645" t="s">
        <v>1202</v>
      </c>
      <c r="C645" s="7">
        <f>Clients_Churn_Master[[#This Row],[Anciennete_Mois]]/12</f>
        <v>9.9166666666666661</v>
      </c>
      <c r="D645" t="s">
        <v>93</v>
      </c>
      <c r="E645">
        <v>119</v>
      </c>
      <c r="F645" t="str">
        <f>IF(Clients_Churn_Master[[#This Row],[Type_Forfait]]="Pro Monde","B2B","B2C")</f>
        <v>B2C</v>
      </c>
      <c r="G645" s="4">
        <f>Clients_Churn_Master[[#This Row],[Duree_Cumulee_Panne_Min]]/1440</f>
        <v>0.16041666666666668</v>
      </c>
      <c r="H645" t="s">
        <v>560</v>
      </c>
      <c r="I645">
        <v>231</v>
      </c>
      <c r="J645" s="10">
        <v>20.22</v>
      </c>
      <c r="K645">
        <v>2</v>
      </c>
      <c r="L6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45" s="9">
        <f>Clients_Churn_Master[[#This Row],[Remise]]*Clients_Churn_Master[[#This Row],[Facture_Mensuelle]]</f>
        <v>0</v>
      </c>
    </row>
    <row r="646" spans="1:13" x14ac:dyDescent="0.25">
      <c r="A646" t="s">
        <v>1694</v>
      </c>
      <c r="B646" t="s">
        <v>1203</v>
      </c>
      <c r="C646" s="7">
        <f>Clients_Churn_Master[[#This Row],[Anciennete_Mois]]/12</f>
        <v>6.75</v>
      </c>
      <c r="D646" t="s">
        <v>55</v>
      </c>
      <c r="E646">
        <v>81</v>
      </c>
      <c r="F646" t="str">
        <f>IF(Clients_Churn_Master[[#This Row],[Type_Forfait]]="Pro Monde","B2B","B2C")</f>
        <v>B2B</v>
      </c>
      <c r="G646" s="4">
        <f>Clients_Churn_Master[[#This Row],[Duree_Cumulee_Panne_Min]]/1440</f>
        <v>0.20694444444444443</v>
      </c>
      <c r="H646" t="s">
        <v>558</v>
      </c>
      <c r="I646">
        <v>298</v>
      </c>
      <c r="J646" s="10">
        <v>53.61</v>
      </c>
      <c r="K646">
        <v>2</v>
      </c>
      <c r="L6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6" s="9">
        <f>Clients_Churn_Master[[#This Row],[Remise]]*Clients_Churn_Master[[#This Row],[Facture_Mensuelle]]</f>
        <v>24.124500000000001</v>
      </c>
    </row>
    <row r="647" spans="1:13" x14ac:dyDescent="0.25">
      <c r="A647" t="s">
        <v>1689</v>
      </c>
      <c r="B647" t="s">
        <v>1204</v>
      </c>
      <c r="C647" s="7">
        <f>Clients_Churn_Master[[#This Row],[Anciennete_Mois]]/12</f>
        <v>3.75</v>
      </c>
      <c r="D647" t="s">
        <v>62</v>
      </c>
      <c r="E647">
        <v>45</v>
      </c>
      <c r="F647" t="str">
        <f>IF(Clients_Churn_Master[[#This Row],[Type_Forfait]]="Pro Monde","B2B","B2C")</f>
        <v>B2C</v>
      </c>
      <c r="G647" s="4">
        <f>Clients_Churn_Master[[#This Row],[Duree_Cumulee_Panne_Min]]/1440</f>
        <v>0.16944444444444445</v>
      </c>
      <c r="H647" t="s">
        <v>564</v>
      </c>
      <c r="I647">
        <v>244</v>
      </c>
      <c r="J647" s="10">
        <v>55.17</v>
      </c>
      <c r="K647">
        <v>2</v>
      </c>
      <c r="L6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7" s="9">
        <f>Clients_Churn_Master[[#This Row],[Remise]]*Clients_Churn_Master[[#This Row],[Facture_Mensuelle]]</f>
        <v>24.826500000000003</v>
      </c>
    </row>
    <row r="648" spans="1:13" x14ac:dyDescent="0.25">
      <c r="A648" t="s">
        <v>1697</v>
      </c>
      <c r="B648" t="s">
        <v>1205</v>
      </c>
      <c r="C648" s="7">
        <f>Clients_Churn_Master[[#This Row],[Anciennete_Mois]]/12</f>
        <v>7.166666666666667</v>
      </c>
      <c r="D648" t="s">
        <v>32</v>
      </c>
      <c r="E648">
        <v>86</v>
      </c>
      <c r="F648" t="str">
        <f>IF(Clients_Churn_Master[[#This Row],[Type_Forfait]]="Pro Monde","B2B","B2C")</f>
        <v>B2C</v>
      </c>
      <c r="G648" s="4">
        <f>Clients_Churn_Master[[#This Row],[Duree_Cumulee_Panne_Min]]/1440</f>
        <v>0.32708333333333334</v>
      </c>
      <c r="H648" t="s">
        <v>564</v>
      </c>
      <c r="I648">
        <v>471</v>
      </c>
      <c r="J648" s="10">
        <v>33.380000000000003</v>
      </c>
      <c r="K648">
        <v>4</v>
      </c>
      <c r="L6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8" s="9">
        <f>Clients_Churn_Master[[#This Row],[Remise]]*Clients_Churn_Master[[#This Row],[Facture_Mensuelle]]</f>
        <v>15.021000000000001</v>
      </c>
    </row>
    <row r="649" spans="1:13" x14ac:dyDescent="0.25">
      <c r="A649" t="s">
        <v>1694</v>
      </c>
      <c r="B649" t="s">
        <v>1206</v>
      </c>
      <c r="C649" s="7">
        <f>Clients_Churn_Master[[#This Row],[Anciennete_Mois]]/12</f>
        <v>2.75</v>
      </c>
      <c r="D649" t="s">
        <v>82</v>
      </c>
      <c r="E649">
        <v>33</v>
      </c>
      <c r="F649" t="str">
        <f>IF(Clients_Churn_Master[[#This Row],[Type_Forfait]]="Pro Monde","B2B","B2C")</f>
        <v>B2C</v>
      </c>
      <c r="G649" s="4">
        <f>Clients_Churn_Master[[#This Row],[Duree_Cumulee_Panne_Min]]/1440</f>
        <v>0.30833333333333335</v>
      </c>
      <c r="H649" t="s">
        <v>564</v>
      </c>
      <c r="I649">
        <v>444</v>
      </c>
      <c r="J649" s="10">
        <v>10.28</v>
      </c>
      <c r="K649">
        <v>5</v>
      </c>
      <c r="L6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9" s="9">
        <f>Clients_Churn_Master[[#This Row],[Remise]]*Clients_Churn_Master[[#This Row],[Facture_Mensuelle]]</f>
        <v>4.6259999999999994</v>
      </c>
    </row>
    <row r="650" spans="1:13" x14ac:dyDescent="0.25">
      <c r="A650" t="s">
        <v>1691</v>
      </c>
      <c r="B650" t="s">
        <v>1207</v>
      </c>
      <c r="C650" s="7">
        <f>Clients_Churn_Master[[#This Row],[Anciennete_Mois]]/12</f>
        <v>8.6666666666666661</v>
      </c>
      <c r="D650" t="s">
        <v>32</v>
      </c>
      <c r="E650">
        <v>104</v>
      </c>
      <c r="F650" t="str">
        <f>IF(Clients_Churn_Master[[#This Row],[Type_Forfait]]="Pro Monde","B2B","B2C")</f>
        <v>B2B</v>
      </c>
      <c r="G650" s="4">
        <f>Clients_Churn_Master[[#This Row],[Duree_Cumulee_Panne_Min]]/1440</f>
        <v>0.22013888888888888</v>
      </c>
      <c r="H650" t="s">
        <v>558</v>
      </c>
      <c r="I650">
        <v>317</v>
      </c>
      <c r="J650" s="10">
        <v>79.150000000000006</v>
      </c>
      <c r="K650">
        <v>1</v>
      </c>
      <c r="L6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0" s="9">
        <f>Clients_Churn_Master[[#This Row],[Remise]]*Clients_Churn_Master[[#This Row],[Facture_Mensuelle]]</f>
        <v>35.617500000000007</v>
      </c>
    </row>
    <row r="651" spans="1:13" x14ac:dyDescent="0.25">
      <c r="A651" t="s">
        <v>1693</v>
      </c>
      <c r="B651" t="s">
        <v>1208</v>
      </c>
      <c r="C651" s="7">
        <f>Clients_Churn_Master[[#This Row],[Anciennete_Mois]]/12</f>
        <v>7.5</v>
      </c>
      <c r="D651" t="s">
        <v>9</v>
      </c>
      <c r="E651">
        <v>90</v>
      </c>
      <c r="F651" t="str">
        <f>IF(Clients_Churn_Master[[#This Row],[Type_Forfait]]="Pro Monde","B2B","B2C")</f>
        <v>B2B</v>
      </c>
      <c r="G651" s="4">
        <f>Clients_Churn_Master[[#This Row],[Duree_Cumulee_Panne_Min]]/1440</f>
        <v>0.13541666666666666</v>
      </c>
      <c r="H651" t="s">
        <v>558</v>
      </c>
      <c r="I651">
        <v>195</v>
      </c>
      <c r="J651" s="10">
        <v>52.71</v>
      </c>
      <c r="K651">
        <v>2</v>
      </c>
      <c r="L6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51" s="9">
        <f>Clients_Churn_Master[[#This Row],[Remise]]*Clients_Churn_Master[[#This Row],[Facture_Mensuelle]]</f>
        <v>5.2710000000000008</v>
      </c>
    </row>
    <row r="652" spans="1:13" x14ac:dyDescent="0.25">
      <c r="A652" t="s">
        <v>1697</v>
      </c>
      <c r="B652" t="s">
        <v>1209</v>
      </c>
      <c r="C652" s="7">
        <f>Clients_Churn_Master[[#This Row],[Anciennete_Mois]]/12</f>
        <v>9</v>
      </c>
      <c r="D652" t="s">
        <v>133</v>
      </c>
      <c r="E652">
        <v>108</v>
      </c>
      <c r="F652" t="str">
        <f>IF(Clients_Churn_Master[[#This Row],[Type_Forfait]]="Pro Monde","B2B","B2C")</f>
        <v>B2C</v>
      </c>
      <c r="G652" s="4">
        <f>Clients_Churn_Master[[#This Row],[Duree_Cumulee_Panne_Min]]/1440</f>
        <v>0.19305555555555556</v>
      </c>
      <c r="H652" t="s">
        <v>560</v>
      </c>
      <c r="I652">
        <v>278</v>
      </c>
      <c r="J652" s="10">
        <v>40.51</v>
      </c>
      <c r="K652">
        <v>3</v>
      </c>
      <c r="L6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2" s="9">
        <f>Clients_Churn_Master[[#This Row],[Remise]]*Clients_Churn_Master[[#This Row],[Facture_Mensuelle]]</f>
        <v>18.229499999999998</v>
      </c>
    </row>
    <row r="653" spans="1:13" x14ac:dyDescent="0.25">
      <c r="A653" t="s">
        <v>1696</v>
      </c>
      <c r="B653" t="s">
        <v>1210</v>
      </c>
      <c r="C653" s="7">
        <f>Clients_Churn_Master[[#This Row],[Anciennete_Mois]]/12</f>
        <v>4.75</v>
      </c>
      <c r="D653" t="s">
        <v>21</v>
      </c>
      <c r="E653">
        <v>57</v>
      </c>
      <c r="F653" t="str">
        <f>IF(Clients_Churn_Master[[#This Row],[Type_Forfait]]="Pro Monde","B2B","B2C")</f>
        <v>B2C</v>
      </c>
      <c r="G653" s="4">
        <f>Clients_Churn_Master[[#This Row],[Duree_Cumulee_Panne_Min]]/1440</f>
        <v>0.26041666666666669</v>
      </c>
      <c r="H653" t="s">
        <v>560</v>
      </c>
      <c r="I653">
        <v>375</v>
      </c>
      <c r="J653" s="10">
        <v>64.73</v>
      </c>
      <c r="K653">
        <v>1</v>
      </c>
      <c r="L6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3" s="9">
        <f>Clients_Churn_Master[[#This Row],[Remise]]*Clients_Churn_Master[[#This Row],[Facture_Mensuelle]]</f>
        <v>29.128500000000003</v>
      </c>
    </row>
    <row r="654" spans="1:13" x14ac:dyDescent="0.25">
      <c r="A654" t="s">
        <v>1689</v>
      </c>
      <c r="B654" t="s">
        <v>1211</v>
      </c>
      <c r="C654" s="7">
        <f>Clients_Churn_Master[[#This Row],[Anciennete_Mois]]/12</f>
        <v>8.4166666666666661</v>
      </c>
      <c r="D654" t="s">
        <v>41</v>
      </c>
      <c r="E654">
        <v>101</v>
      </c>
      <c r="F654" t="str">
        <f>IF(Clients_Churn_Master[[#This Row],[Type_Forfait]]="Pro Monde","B2B","B2C")</f>
        <v>B2B</v>
      </c>
      <c r="G654" s="4">
        <f>Clients_Churn_Master[[#This Row],[Duree_Cumulee_Panne_Min]]/1440</f>
        <v>0.14583333333333334</v>
      </c>
      <c r="H654" t="s">
        <v>558</v>
      </c>
      <c r="I654">
        <v>210</v>
      </c>
      <c r="J654" s="10">
        <v>35.4</v>
      </c>
      <c r="K654">
        <v>1</v>
      </c>
      <c r="L6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54" s="9">
        <f>Clients_Churn_Master[[#This Row],[Remise]]*Clients_Churn_Master[[#This Row],[Facture_Mensuelle]]</f>
        <v>3.54</v>
      </c>
    </row>
    <row r="655" spans="1:13" x14ac:dyDescent="0.25">
      <c r="A655" t="s">
        <v>1702</v>
      </c>
      <c r="B655" t="s">
        <v>1212</v>
      </c>
      <c r="C655" s="7">
        <f>Clients_Churn_Master[[#This Row],[Anciennete_Mois]]/12</f>
        <v>6</v>
      </c>
      <c r="D655" t="s">
        <v>82</v>
      </c>
      <c r="E655">
        <v>72</v>
      </c>
      <c r="F655" t="str">
        <f>IF(Clients_Churn_Master[[#This Row],[Type_Forfait]]="Pro Monde","B2B","B2C")</f>
        <v>B2B</v>
      </c>
      <c r="G655" s="4">
        <f>Clients_Churn_Master[[#This Row],[Duree_Cumulee_Panne_Min]]/1440</f>
        <v>0.23125000000000001</v>
      </c>
      <c r="H655" t="s">
        <v>558</v>
      </c>
      <c r="I655">
        <v>333</v>
      </c>
      <c r="J655" s="10">
        <v>34.57</v>
      </c>
      <c r="K655">
        <v>2</v>
      </c>
      <c r="L6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5" s="9">
        <f>Clients_Churn_Master[[#This Row],[Remise]]*Clients_Churn_Master[[#This Row],[Facture_Mensuelle]]</f>
        <v>15.5565</v>
      </c>
    </row>
    <row r="656" spans="1:13" x14ac:dyDescent="0.25">
      <c r="A656" t="s">
        <v>1694</v>
      </c>
      <c r="B656" t="s">
        <v>1213</v>
      </c>
      <c r="C656" s="7">
        <f>Clients_Churn_Master[[#This Row],[Anciennete_Mois]]/12</f>
        <v>7.583333333333333</v>
      </c>
      <c r="D656" t="s">
        <v>34</v>
      </c>
      <c r="E656">
        <v>91</v>
      </c>
      <c r="F656" t="str">
        <f>IF(Clients_Churn_Master[[#This Row],[Type_Forfait]]="Pro Monde","B2B","B2C")</f>
        <v>B2C</v>
      </c>
      <c r="G656" s="4">
        <f>Clients_Churn_Master[[#This Row],[Duree_Cumulee_Panne_Min]]/1440</f>
        <v>0.28055555555555556</v>
      </c>
      <c r="H656" t="s">
        <v>560</v>
      </c>
      <c r="I656">
        <v>404</v>
      </c>
      <c r="J656" s="10">
        <v>76.53</v>
      </c>
      <c r="K656">
        <v>5</v>
      </c>
      <c r="L6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6" s="9">
        <f>Clients_Churn_Master[[#This Row],[Remise]]*Clients_Churn_Master[[#This Row],[Facture_Mensuelle]]</f>
        <v>34.438500000000005</v>
      </c>
    </row>
    <row r="657" spans="1:13" x14ac:dyDescent="0.25">
      <c r="A657" t="s">
        <v>1698</v>
      </c>
      <c r="B657" t="s">
        <v>1214</v>
      </c>
      <c r="C657" s="7">
        <f>Clients_Churn_Master[[#This Row],[Anciennete_Mois]]/12</f>
        <v>9.8333333333333339</v>
      </c>
      <c r="D657" t="s">
        <v>32</v>
      </c>
      <c r="E657">
        <v>118</v>
      </c>
      <c r="F657" t="str">
        <f>IF(Clients_Churn_Master[[#This Row],[Type_Forfait]]="Pro Monde","B2B","B2C")</f>
        <v>B2C</v>
      </c>
      <c r="G657" s="4">
        <f>Clients_Churn_Master[[#This Row],[Duree_Cumulee_Panne_Min]]/1440</f>
        <v>0.20833333333333334</v>
      </c>
      <c r="H657" t="s">
        <v>556</v>
      </c>
      <c r="I657">
        <v>300</v>
      </c>
      <c r="J657" s="10">
        <v>98.22</v>
      </c>
      <c r="K657">
        <v>4</v>
      </c>
      <c r="L6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7" s="9">
        <f>Clients_Churn_Master[[#This Row],[Remise]]*Clients_Churn_Master[[#This Row],[Facture_Mensuelle]]</f>
        <v>44.198999999999998</v>
      </c>
    </row>
    <row r="658" spans="1:13" x14ac:dyDescent="0.25">
      <c r="A658" t="s">
        <v>1697</v>
      </c>
      <c r="B658" t="s">
        <v>1215</v>
      </c>
      <c r="C658" s="7">
        <f>Clients_Churn_Master[[#This Row],[Anciennete_Mois]]/12</f>
        <v>6.583333333333333</v>
      </c>
      <c r="D658" t="s">
        <v>41</v>
      </c>
      <c r="E658">
        <v>79</v>
      </c>
      <c r="F658" t="str">
        <f>IF(Clients_Churn_Master[[#This Row],[Type_Forfait]]="Pro Monde","B2B","B2C")</f>
        <v>B2C</v>
      </c>
      <c r="G658" s="4">
        <f>Clients_Churn_Master[[#This Row],[Duree_Cumulee_Panne_Min]]/1440</f>
        <v>0.24791666666666667</v>
      </c>
      <c r="H658" t="s">
        <v>556</v>
      </c>
      <c r="I658">
        <v>357</v>
      </c>
      <c r="J658" s="10">
        <v>69.900000000000006</v>
      </c>
      <c r="K658">
        <v>5</v>
      </c>
      <c r="L6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8" s="9">
        <f>Clients_Churn_Master[[#This Row],[Remise]]*Clients_Churn_Master[[#This Row],[Facture_Mensuelle]]</f>
        <v>31.455000000000002</v>
      </c>
    </row>
    <row r="659" spans="1:13" x14ac:dyDescent="0.25">
      <c r="A659" t="s">
        <v>1693</v>
      </c>
      <c r="B659" t="s">
        <v>1216</v>
      </c>
      <c r="C659" s="7">
        <f>Clients_Churn_Master[[#This Row],[Anciennete_Mois]]/12</f>
        <v>9.3333333333333339</v>
      </c>
      <c r="D659" t="s">
        <v>62</v>
      </c>
      <c r="E659">
        <v>112</v>
      </c>
      <c r="F659" t="str">
        <f>IF(Clients_Churn_Master[[#This Row],[Type_Forfait]]="Pro Monde","B2B","B2C")</f>
        <v>B2C</v>
      </c>
      <c r="G659" s="4">
        <f>Clients_Churn_Master[[#This Row],[Duree_Cumulee_Panne_Min]]/1440</f>
        <v>0.19513888888888889</v>
      </c>
      <c r="H659" t="s">
        <v>560</v>
      </c>
      <c r="I659">
        <v>281</v>
      </c>
      <c r="J659" s="10">
        <v>80.72</v>
      </c>
      <c r="K659">
        <v>2</v>
      </c>
      <c r="L6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9" s="9">
        <f>Clients_Churn_Master[[#This Row],[Remise]]*Clients_Churn_Master[[#This Row],[Facture_Mensuelle]]</f>
        <v>36.323999999999998</v>
      </c>
    </row>
    <row r="660" spans="1:13" x14ac:dyDescent="0.25">
      <c r="A660" t="s">
        <v>1689</v>
      </c>
      <c r="B660" t="s">
        <v>1217</v>
      </c>
      <c r="C660" s="7">
        <f>Clients_Churn_Master[[#This Row],[Anciennete_Mois]]/12</f>
        <v>7.75</v>
      </c>
      <c r="D660" t="s">
        <v>24</v>
      </c>
      <c r="E660">
        <v>93</v>
      </c>
      <c r="F660" t="str">
        <f>IF(Clients_Churn_Master[[#This Row],[Type_Forfait]]="Pro Monde","B2B","B2C")</f>
        <v>B2B</v>
      </c>
      <c r="G660" s="4">
        <f>Clients_Churn_Master[[#This Row],[Duree_Cumulee_Panne_Min]]/1440</f>
        <v>0.10625</v>
      </c>
      <c r="H660" t="s">
        <v>558</v>
      </c>
      <c r="I660">
        <v>153</v>
      </c>
      <c r="J660" s="10">
        <v>86.19</v>
      </c>
      <c r="K660">
        <v>0</v>
      </c>
      <c r="L6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60" s="9">
        <f>Clients_Churn_Master[[#This Row],[Remise]]*Clients_Churn_Master[[#This Row],[Facture_Mensuelle]]</f>
        <v>8.6189999999999998</v>
      </c>
    </row>
    <row r="661" spans="1:13" x14ac:dyDescent="0.25">
      <c r="A661" t="s">
        <v>1701</v>
      </c>
      <c r="B661" t="s">
        <v>1218</v>
      </c>
      <c r="C661" s="7">
        <f>Clients_Churn_Master[[#This Row],[Anciennete_Mois]]/12</f>
        <v>4</v>
      </c>
      <c r="D661" t="s">
        <v>85</v>
      </c>
      <c r="E661">
        <v>48</v>
      </c>
      <c r="F661" t="str">
        <f>IF(Clients_Churn_Master[[#This Row],[Type_Forfait]]="Pro Monde","B2B","B2C")</f>
        <v>B2C</v>
      </c>
      <c r="G661" s="4">
        <f>Clients_Churn_Master[[#This Row],[Duree_Cumulee_Panne_Min]]/1440</f>
        <v>0.3347222222222222</v>
      </c>
      <c r="H661" t="s">
        <v>556</v>
      </c>
      <c r="I661">
        <v>482</v>
      </c>
      <c r="J661" s="10">
        <v>83.24</v>
      </c>
      <c r="K661">
        <v>0</v>
      </c>
      <c r="L6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1" s="9">
        <f>Clients_Churn_Master[[#This Row],[Remise]]*Clients_Churn_Master[[#This Row],[Facture_Mensuelle]]</f>
        <v>37.457999999999998</v>
      </c>
    </row>
    <row r="662" spans="1:13" x14ac:dyDescent="0.25">
      <c r="A662" t="s">
        <v>1690</v>
      </c>
      <c r="B662" t="s">
        <v>1219</v>
      </c>
      <c r="C662" s="7">
        <f>Clients_Churn_Master[[#This Row],[Anciennete_Mois]]/12</f>
        <v>1.8333333333333333</v>
      </c>
      <c r="D662" t="s">
        <v>49</v>
      </c>
      <c r="E662">
        <v>22</v>
      </c>
      <c r="F662" t="str">
        <f>IF(Clients_Churn_Master[[#This Row],[Type_Forfait]]="Pro Monde","B2B","B2C")</f>
        <v>B2B</v>
      </c>
      <c r="G662" s="4">
        <f>Clients_Churn_Master[[#This Row],[Duree_Cumulee_Panne_Min]]/1440</f>
        <v>8.819444444444445E-2</v>
      </c>
      <c r="H662" t="s">
        <v>558</v>
      </c>
      <c r="I662">
        <v>127</v>
      </c>
      <c r="J662" s="10">
        <v>49.06</v>
      </c>
      <c r="K662">
        <v>2</v>
      </c>
      <c r="L6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62" s="9">
        <f>Clients_Churn_Master[[#This Row],[Remise]]*Clients_Churn_Master[[#This Row],[Facture_Mensuelle]]</f>
        <v>4.9060000000000006</v>
      </c>
    </row>
    <row r="663" spans="1:13" x14ac:dyDescent="0.25">
      <c r="A663" t="s">
        <v>1688</v>
      </c>
      <c r="B663" t="s">
        <v>1220</v>
      </c>
      <c r="C663" s="7">
        <f>Clients_Churn_Master[[#This Row],[Anciennete_Mois]]/12</f>
        <v>7.25</v>
      </c>
      <c r="D663" t="s">
        <v>43</v>
      </c>
      <c r="E663">
        <v>87</v>
      </c>
      <c r="F663" t="str">
        <f>IF(Clients_Churn_Master[[#This Row],[Type_Forfait]]="Pro Monde","B2B","B2C")</f>
        <v>B2B</v>
      </c>
      <c r="G663" s="4">
        <f>Clients_Churn_Master[[#This Row],[Duree_Cumulee_Panne_Min]]/1440</f>
        <v>0.1423611111111111</v>
      </c>
      <c r="H663" t="s">
        <v>558</v>
      </c>
      <c r="I663">
        <v>205</v>
      </c>
      <c r="J663" s="10">
        <v>40.159999999999997</v>
      </c>
      <c r="K663">
        <v>5</v>
      </c>
      <c r="L6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63" s="9">
        <f>Clients_Churn_Master[[#This Row],[Remise]]*Clients_Churn_Master[[#This Row],[Facture_Mensuelle]]</f>
        <v>4.016</v>
      </c>
    </row>
    <row r="664" spans="1:13" x14ac:dyDescent="0.25">
      <c r="A664" t="s">
        <v>1690</v>
      </c>
      <c r="B664" t="s">
        <v>1221</v>
      </c>
      <c r="C664" s="7">
        <f>Clients_Churn_Master[[#This Row],[Anciennete_Mois]]/12</f>
        <v>8.3333333333333339</v>
      </c>
      <c r="D664" t="s">
        <v>34</v>
      </c>
      <c r="E664">
        <v>100</v>
      </c>
      <c r="F664" t="str">
        <f>IF(Clients_Churn_Master[[#This Row],[Type_Forfait]]="Pro Monde","B2B","B2C")</f>
        <v>B2C</v>
      </c>
      <c r="G664" s="4">
        <f>Clients_Churn_Master[[#This Row],[Duree_Cumulee_Panne_Min]]/1440</f>
        <v>0.32708333333333334</v>
      </c>
      <c r="H664" t="s">
        <v>556</v>
      </c>
      <c r="I664">
        <v>471</v>
      </c>
      <c r="J664" s="10">
        <v>61.2</v>
      </c>
      <c r="K664">
        <v>3</v>
      </c>
      <c r="L6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4" s="9">
        <f>Clients_Churn_Master[[#This Row],[Remise]]*Clients_Churn_Master[[#This Row],[Facture_Mensuelle]]</f>
        <v>27.540000000000003</v>
      </c>
    </row>
    <row r="665" spans="1:13" x14ac:dyDescent="0.25">
      <c r="A665" t="s">
        <v>1698</v>
      </c>
      <c r="B665" t="s">
        <v>1222</v>
      </c>
      <c r="C665" s="7">
        <f>Clients_Churn_Master[[#This Row],[Anciennete_Mois]]/12</f>
        <v>4.25</v>
      </c>
      <c r="D665" t="s">
        <v>21</v>
      </c>
      <c r="E665">
        <v>51</v>
      </c>
      <c r="F665" t="str">
        <f>IF(Clients_Churn_Master[[#This Row],[Type_Forfait]]="Pro Monde","B2B","B2C")</f>
        <v>B2C</v>
      </c>
      <c r="G665" s="4">
        <f>Clients_Churn_Master[[#This Row],[Duree_Cumulee_Panne_Min]]/1440</f>
        <v>0.30069444444444443</v>
      </c>
      <c r="H665" t="s">
        <v>560</v>
      </c>
      <c r="I665">
        <v>433</v>
      </c>
      <c r="J665" s="10">
        <v>12.89</v>
      </c>
      <c r="K665">
        <v>1</v>
      </c>
      <c r="L6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5" s="9">
        <f>Clients_Churn_Master[[#This Row],[Remise]]*Clients_Churn_Master[[#This Row],[Facture_Mensuelle]]</f>
        <v>5.8005000000000004</v>
      </c>
    </row>
    <row r="666" spans="1:13" x14ac:dyDescent="0.25">
      <c r="A666" t="s">
        <v>1696</v>
      </c>
      <c r="B666" t="s">
        <v>1223</v>
      </c>
      <c r="C666" s="7">
        <f>Clients_Churn_Master[[#This Row],[Anciennete_Mois]]/12</f>
        <v>1.25</v>
      </c>
      <c r="D666" t="s">
        <v>43</v>
      </c>
      <c r="E666">
        <v>15</v>
      </c>
      <c r="F666" t="str">
        <f>IF(Clients_Churn_Master[[#This Row],[Type_Forfait]]="Pro Monde","B2B","B2C")</f>
        <v>B2C</v>
      </c>
      <c r="G666" s="4">
        <f>Clients_Churn_Master[[#This Row],[Duree_Cumulee_Panne_Min]]/1440</f>
        <v>2.0833333333333332E-2</v>
      </c>
      <c r="H666" t="s">
        <v>556</v>
      </c>
      <c r="I666">
        <v>30</v>
      </c>
      <c r="J666" s="10">
        <v>30.5</v>
      </c>
      <c r="K666">
        <v>1</v>
      </c>
      <c r="L6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66" s="9">
        <f>Clients_Churn_Master[[#This Row],[Remise]]*Clients_Churn_Master[[#This Row],[Facture_Mensuelle]]</f>
        <v>0</v>
      </c>
    </row>
    <row r="667" spans="1:13" x14ac:dyDescent="0.25">
      <c r="A667" t="s">
        <v>1691</v>
      </c>
      <c r="B667" t="s">
        <v>1224</v>
      </c>
      <c r="C667" s="7">
        <f>Clients_Churn_Master[[#This Row],[Anciennete_Mois]]/12</f>
        <v>4.583333333333333</v>
      </c>
      <c r="D667" t="s">
        <v>17</v>
      </c>
      <c r="E667">
        <v>55</v>
      </c>
      <c r="F667" t="str">
        <f>IF(Clients_Churn_Master[[#This Row],[Type_Forfait]]="Pro Monde","B2B","B2C")</f>
        <v>B2C</v>
      </c>
      <c r="G667" s="4">
        <f>Clients_Churn_Master[[#This Row],[Duree_Cumulee_Panne_Min]]/1440</f>
        <v>0.28263888888888888</v>
      </c>
      <c r="H667" t="s">
        <v>556</v>
      </c>
      <c r="I667">
        <v>407</v>
      </c>
      <c r="J667" s="10">
        <v>23.11</v>
      </c>
      <c r="K667">
        <v>0</v>
      </c>
      <c r="L6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7" s="9">
        <f>Clients_Churn_Master[[#This Row],[Remise]]*Clients_Churn_Master[[#This Row],[Facture_Mensuelle]]</f>
        <v>10.3995</v>
      </c>
    </row>
    <row r="668" spans="1:13" x14ac:dyDescent="0.25">
      <c r="A668" t="s">
        <v>1701</v>
      </c>
      <c r="B668" t="s">
        <v>1225</v>
      </c>
      <c r="C668" s="7">
        <f>Clients_Churn_Master[[#This Row],[Anciennete_Mois]]/12</f>
        <v>8.25</v>
      </c>
      <c r="D668" t="s">
        <v>24</v>
      </c>
      <c r="E668">
        <v>99</v>
      </c>
      <c r="F668" t="str">
        <f>IF(Clients_Churn_Master[[#This Row],[Type_Forfait]]="Pro Monde","B2B","B2C")</f>
        <v>B2B</v>
      </c>
      <c r="G668" s="4">
        <f>Clients_Churn_Master[[#This Row],[Duree_Cumulee_Panne_Min]]/1440</f>
        <v>2.9166666666666667E-2</v>
      </c>
      <c r="H668" t="s">
        <v>558</v>
      </c>
      <c r="I668">
        <v>42</v>
      </c>
      <c r="J668" s="10">
        <v>98.77</v>
      </c>
      <c r="K668">
        <v>3</v>
      </c>
      <c r="L6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68" s="9">
        <f>Clients_Churn_Master[[#This Row],[Remise]]*Clients_Churn_Master[[#This Row],[Facture_Mensuelle]]</f>
        <v>9.8770000000000007</v>
      </c>
    </row>
    <row r="669" spans="1:13" x14ac:dyDescent="0.25">
      <c r="A669" t="s">
        <v>1702</v>
      </c>
      <c r="B669" t="s">
        <v>1226</v>
      </c>
      <c r="C669" s="7">
        <f>Clients_Churn_Master[[#This Row],[Anciennete_Mois]]/12</f>
        <v>4.166666666666667</v>
      </c>
      <c r="D669" t="s">
        <v>76</v>
      </c>
      <c r="E669">
        <v>50</v>
      </c>
      <c r="F669" t="str">
        <f>IF(Clients_Churn_Master[[#This Row],[Type_Forfait]]="Pro Monde","B2B","B2C")</f>
        <v>B2C</v>
      </c>
      <c r="G669" s="4">
        <f>Clients_Churn_Master[[#This Row],[Duree_Cumulee_Panne_Min]]/1440</f>
        <v>0.17916666666666667</v>
      </c>
      <c r="H669" t="s">
        <v>556</v>
      </c>
      <c r="I669">
        <v>258</v>
      </c>
      <c r="J669" s="10">
        <v>25.06</v>
      </c>
      <c r="K669">
        <v>4</v>
      </c>
      <c r="L6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9" s="9">
        <f>Clients_Churn_Master[[#This Row],[Remise]]*Clients_Churn_Master[[#This Row],[Facture_Mensuelle]]</f>
        <v>11.276999999999999</v>
      </c>
    </row>
    <row r="670" spans="1:13" x14ac:dyDescent="0.25">
      <c r="A670" t="s">
        <v>1697</v>
      </c>
      <c r="B670" t="s">
        <v>1227</v>
      </c>
      <c r="C670" s="7">
        <f>Clients_Churn_Master[[#This Row],[Anciennete_Mois]]/12</f>
        <v>1.8333333333333333</v>
      </c>
      <c r="D670" t="s">
        <v>96</v>
      </c>
      <c r="E670">
        <v>22</v>
      </c>
      <c r="F670" t="str">
        <f>IF(Clients_Churn_Master[[#This Row],[Type_Forfait]]="Pro Monde","B2B","B2C")</f>
        <v>B2C</v>
      </c>
      <c r="G670" s="4">
        <f>Clients_Churn_Master[[#This Row],[Duree_Cumulee_Panne_Min]]/1440</f>
        <v>0.31319444444444444</v>
      </c>
      <c r="H670" t="s">
        <v>560</v>
      </c>
      <c r="I670">
        <v>451</v>
      </c>
      <c r="J670" s="10">
        <v>76.38</v>
      </c>
      <c r="K670">
        <v>3</v>
      </c>
      <c r="L6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0" s="9">
        <f>Clients_Churn_Master[[#This Row],[Remise]]*Clients_Churn_Master[[#This Row],[Facture_Mensuelle]]</f>
        <v>34.371000000000002</v>
      </c>
    </row>
    <row r="671" spans="1:13" x14ac:dyDescent="0.25">
      <c r="A671" t="s">
        <v>1700</v>
      </c>
      <c r="B671" t="s">
        <v>1228</v>
      </c>
      <c r="C671" s="7">
        <f>Clients_Churn_Master[[#This Row],[Anciennete_Mois]]/12</f>
        <v>6.916666666666667</v>
      </c>
      <c r="D671" t="s">
        <v>49</v>
      </c>
      <c r="E671">
        <v>83</v>
      </c>
      <c r="F671" t="str">
        <f>IF(Clients_Churn_Master[[#This Row],[Type_Forfait]]="Pro Monde","B2B","B2C")</f>
        <v>B2B</v>
      </c>
      <c r="G671" s="4">
        <f>Clients_Churn_Master[[#This Row],[Duree_Cumulee_Panne_Min]]/1440</f>
        <v>6.3194444444444442E-2</v>
      </c>
      <c r="H671" t="s">
        <v>558</v>
      </c>
      <c r="I671">
        <v>91</v>
      </c>
      <c r="J671" s="10">
        <v>73.73</v>
      </c>
      <c r="K671">
        <v>2</v>
      </c>
      <c r="L6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71" s="9">
        <f>Clients_Churn_Master[[#This Row],[Remise]]*Clients_Churn_Master[[#This Row],[Facture_Mensuelle]]</f>
        <v>7.3730000000000011</v>
      </c>
    </row>
    <row r="672" spans="1:13" x14ac:dyDescent="0.25">
      <c r="A672" t="s">
        <v>1690</v>
      </c>
      <c r="B672" t="s">
        <v>1229</v>
      </c>
      <c r="C672" s="7">
        <f>Clients_Churn_Master[[#This Row],[Anciennete_Mois]]/12</f>
        <v>2.9166666666666665</v>
      </c>
      <c r="D672" t="s">
        <v>9</v>
      </c>
      <c r="E672">
        <v>35</v>
      </c>
      <c r="F672" t="str">
        <f>IF(Clients_Churn_Master[[#This Row],[Type_Forfait]]="Pro Monde","B2B","B2C")</f>
        <v>B2C</v>
      </c>
      <c r="G672" s="4">
        <f>Clients_Churn_Master[[#This Row],[Duree_Cumulee_Panne_Min]]/1440</f>
        <v>0.29236111111111113</v>
      </c>
      <c r="H672" t="s">
        <v>560</v>
      </c>
      <c r="I672">
        <v>421</v>
      </c>
      <c r="J672" s="10">
        <v>29.57</v>
      </c>
      <c r="K672">
        <v>5</v>
      </c>
      <c r="L6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2" s="9">
        <f>Clients_Churn_Master[[#This Row],[Remise]]*Clients_Churn_Master[[#This Row],[Facture_Mensuelle]]</f>
        <v>13.3065</v>
      </c>
    </row>
    <row r="673" spans="1:13" x14ac:dyDescent="0.25">
      <c r="A673" t="s">
        <v>1700</v>
      </c>
      <c r="B673" t="s">
        <v>1230</v>
      </c>
      <c r="C673" s="7">
        <f>Clients_Churn_Master[[#This Row],[Anciennete_Mois]]/12</f>
        <v>8.25</v>
      </c>
      <c r="D673" t="s">
        <v>49</v>
      </c>
      <c r="E673">
        <v>99</v>
      </c>
      <c r="F673" t="str">
        <f>IF(Clients_Churn_Master[[#This Row],[Type_Forfait]]="Pro Monde","B2B","B2C")</f>
        <v>B2C</v>
      </c>
      <c r="G673" s="4">
        <f>Clients_Churn_Master[[#This Row],[Duree_Cumulee_Panne_Min]]/1440</f>
        <v>9.5138888888888884E-2</v>
      </c>
      <c r="H673" t="s">
        <v>560</v>
      </c>
      <c r="I673">
        <v>137</v>
      </c>
      <c r="J673" s="10">
        <v>23.05</v>
      </c>
      <c r="K673">
        <v>4</v>
      </c>
      <c r="L6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73" s="9">
        <f>Clients_Churn_Master[[#This Row],[Remise]]*Clients_Churn_Master[[#This Row],[Facture_Mensuelle]]</f>
        <v>0</v>
      </c>
    </row>
    <row r="674" spans="1:13" x14ac:dyDescent="0.25">
      <c r="A674" t="s">
        <v>1699</v>
      </c>
      <c r="B674" t="s">
        <v>1231</v>
      </c>
      <c r="C674" s="7">
        <f>Clients_Churn_Master[[#This Row],[Anciennete_Mois]]/12</f>
        <v>9.5833333333333339</v>
      </c>
      <c r="D674" t="s">
        <v>17</v>
      </c>
      <c r="E674">
        <v>115</v>
      </c>
      <c r="F674" t="str">
        <f>IF(Clients_Churn_Master[[#This Row],[Type_Forfait]]="Pro Monde","B2B","B2C")</f>
        <v>B2B</v>
      </c>
      <c r="G674" s="4">
        <f>Clients_Churn_Master[[#This Row],[Duree_Cumulee_Panne_Min]]/1440</f>
        <v>0.18194444444444444</v>
      </c>
      <c r="H674" t="s">
        <v>558</v>
      </c>
      <c r="I674">
        <v>262</v>
      </c>
      <c r="J674" s="10">
        <v>66.34</v>
      </c>
      <c r="K674">
        <v>3</v>
      </c>
      <c r="L6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4" s="9">
        <f>Clients_Churn_Master[[#This Row],[Remise]]*Clients_Churn_Master[[#This Row],[Facture_Mensuelle]]</f>
        <v>29.853000000000002</v>
      </c>
    </row>
    <row r="675" spans="1:13" x14ac:dyDescent="0.25">
      <c r="A675" t="s">
        <v>1690</v>
      </c>
      <c r="B675" t="s">
        <v>1232</v>
      </c>
      <c r="C675" s="7">
        <f>Clients_Churn_Master[[#This Row],[Anciennete_Mois]]/12</f>
        <v>9.3333333333333339</v>
      </c>
      <c r="D675" t="s">
        <v>45</v>
      </c>
      <c r="E675">
        <v>112</v>
      </c>
      <c r="F675" t="str">
        <f>IF(Clients_Churn_Master[[#This Row],[Type_Forfait]]="Pro Monde","B2B","B2C")</f>
        <v>B2C</v>
      </c>
      <c r="G675" s="4">
        <f>Clients_Churn_Master[[#This Row],[Duree_Cumulee_Panne_Min]]/1440</f>
        <v>0.33541666666666664</v>
      </c>
      <c r="H675" t="s">
        <v>560</v>
      </c>
      <c r="I675">
        <v>483</v>
      </c>
      <c r="J675" s="10">
        <v>93.98</v>
      </c>
      <c r="K675">
        <v>0</v>
      </c>
      <c r="L6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5" s="9">
        <f>Clients_Churn_Master[[#This Row],[Remise]]*Clients_Churn_Master[[#This Row],[Facture_Mensuelle]]</f>
        <v>42.291000000000004</v>
      </c>
    </row>
    <row r="676" spans="1:13" x14ac:dyDescent="0.25">
      <c r="A676" t="s">
        <v>1699</v>
      </c>
      <c r="B676" t="s">
        <v>1233</v>
      </c>
      <c r="C676" s="7">
        <f>Clients_Churn_Master[[#This Row],[Anciennete_Mois]]/12</f>
        <v>0.58333333333333337</v>
      </c>
      <c r="D676" t="s">
        <v>82</v>
      </c>
      <c r="E676">
        <v>7</v>
      </c>
      <c r="F676" t="str">
        <f>IF(Clients_Churn_Master[[#This Row],[Type_Forfait]]="Pro Monde","B2B","B2C")</f>
        <v>B2C</v>
      </c>
      <c r="G676" s="4">
        <f>Clients_Churn_Master[[#This Row],[Duree_Cumulee_Panne_Min]]/1440</f>
        <v>0.16180555555555556</v>
      </c>
      <c r="H676" t="s">
        <v>556</v>
      </c>
      <c r="I676">
        <v>233</v>
      </c>
      <c r="J676" s="10">
        <v>10.94</v>
      </c>
      <c r="K676">
        <v>0</v>
      </c>
      <c r="L6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76" s="9">
        <f>Clients_Churn_Master[[#This Row],[Remise]]*Clients_Churn_Master[[#This Row],[Facture_Mensuelle]]</f>
        <v>0</v>
      </c>
    </row>
    <row r="677" spans="1:13" x14ac:dyDescent="0.25">
      <c r="A677" t="s">
        <v>1698</v>
      </c>
      <c r="B677" t="s">
        <v>1234</v>
      </c>
      <c r="C677" s="7">
        <f>Clients_Churn_Master[[#This Row],[Anciennete_Mois]]/12</f>
        <v>3.5</v>
      </c>
      <c r="D677" t="s">
        <v>49</v>
      </c>
      <c r="E677">
        <v>42</v>
      </c>
      <c r="F677" t="str">
        <f>IF(Clients_Churn_Master[[#This Row],[Type_Forfait]]="Pro Monde","B2B","B2C")</f>
        <v>B2B</v>
      </c>
      <c r="G677" s="4">
        <f>Clients_Churn_Master[[#This Row],[Duree_Cumulee_Panne_Min]]/1440</f>
        <v>0.27013888888888887</v>
      </c>
      <c r="H677" t="s">
        <v>558</v>
      </c>
      <c r="I677">
        <v>389</v>
      </c>
      <c r="J677" s="10">
        <v>80.08</v>
      </c>
      <c r="K677">
        <v>1</v>
      </c>
      <c r="L6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7" s="9">
        <f>Clients_Churn_Master[[#This Row],[Remise]]*Clients_Churn_Master[[#This Row],[Facture_Mensuelle]]</f>
        <v>36.036000000000001</v>
      </c>
    </row>
    <row r="678" spans="1:13" x14ac:dyDescent="0.25">
      <c r="A678" t="s">
        <v>1696</v>
      </c>
      <c r="B678" t="s">
        <v>1235</v>
      </c>
      <c r="C678" s="7">
        <f>Clients_Churn_Master[[#This Row],[Anciennete_Mois]]/12</f>
        <v>8.6666666666666661</v>
      </c>
      <c r="D678" t="s">
        <v>85</v>
      </c>
      <c r="E678">
        <v>104</v>
      </c>
      <c r="F678" t="str">
        <f>IF(Clients_Churn_Master[[#This Row],[Type_Forfait]]="Pro Monde","B2B","B2C")</f>
        <v>B2C</v>
      </c>
      <c r="G678" s="4">
        <f>Clients_Churn_Master[[#This Row],[Duree_Cumulee_Panne_Min]]/1440</f>
        <v>0.1701388888888889</v>
      </c>
      <c r="H678" t="s">
        <v>556</v>
      </c>
      <c r="I678">
        <v>245</v>
      </c>
      <c r="J678" s="10">
        <v>38.270000000000003</v>
      </c>
      <c r="K678">
        <v>0</v>
      </c>
      <c r="L6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8" s="9">
        <f>Clients_Churn_Master[[#This Row],[Remise]]*Clients_Churn_Master[[#This Row],[Facture_Mensuelle]]</f>
        <v>17.221500000000002</v>
      </c>
    </row>
    <row r="679" spans="1:13" x14ac:dyDescent="0.25">
      <c r="A679" t="s">
        <v>1696</v>
      </c>
      <c r="B679" t="s">
        <v>1236</v>
      </c>
      <c r="C679" s="7">
        <f>Clients_Churn_Master[[#This Row],[Anciennete_Mois]]/12</f>
        <v>1.9166666666666667</v>
      </c>
      <c r="D679" t="s">
        <v>37</v>
      </c>
      <c r="E679">
        <v>23</v>
      </c>
      <c r="F679" t="str">
        <f>IF(Clients_Churn_Master[[#This Row],[Type_Forfait]]="Pro Monde","B2B","B2C")</f>
        <v>B2B</v>
      </c>
      <c r="G679" s="4">
        <f>Clients_Churn_Master[[#This Row],[Duree_Cumulee_Panne_Min]]/1440</f>
        <v>8.3333333333333329E-2</v>
      </c>
      <c r="H679" t="s">
        <v>558</v>
      </c>
      <c r="I679">
        <v>120</v>
      </c>
      <c r="J679" s="10">
        <v>73.12</v>
      </c>
      <c r="K679">
        <v>1</v>
      </c>
      <c r="L6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79" s="9">
        <f>Clients_Churn_Master[[#This Row],[Remise]]*Clients_Churn_Master[[#This Row],[Facture_Mensuelle]]</f>
        <v>7.3120000000000012</v>
      </c>
    </row>
    <row r="680" spans="1:13" x14ac:dyDescent="0.25">
      <c r="A680" t="s">
        <v>1692</v>
      </c>
      <c r="B680" t="s">
        <v>1237</v>
      </c>
      <c r="C680" s="7">
        <f>Clients_Churn_Master[[#This Row],[Anciennete_Mois]]/12</f>
        <v>6.333333333333333</v>
      </c>
      <c r="D680" t="s">
        <v>137</v>
      </c>
      <c r="E680">
        <v>76</v>
      </c>
      <c r="F680" t="str">
        <f>IF(Clients_Churn_Master[[#This Row],[Type_Forfait]]="Pro Monde","B2B","B2C")</f>
        <v>B2C</v>
      </c>
      <c r="G680" s="4">
        <f>Clients_Churn_Master[[#This Row],[Duree_Cumulee_Panne_Min]]/1440</f>
        <v>0.13333333333333333</v>
      </c>
      <c r="H680" t="s">
        <v>556</v>
      </c>
      <c r="I680">
        <v>192</v>
      </c>
      <c r="J680" s="10">
        <v>68.53</v>
      </c>
      <c r="K680">
        <v>0</v>
      </c>
      <c r="L6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80" s="9">
        <f>Clients_Churn_Master[[#This Row],[Remise]]*Clients_Churn_Master[[#This Row],[Facture_Mensuelle]]</f>
        <v>0</v>
      </c>
    </row>
    <row r="681" spans="1:13" x14ac:dyDescent="0.25">
      <c r="A681" t="s">
        <v>1690</v>
      </c>
      <c r="B681" t="s">
        <v>1238</v>
      </c>
      <c r="C681" s="7">
        <f>Clients_Churn_Master[[#This Row],[Anciennete_Mois]]/12</f>
        <v>2.9166666666666665</v>
      </c>
      <c r="D681" t="s">
        <v>43</v>
      </c>
      <c r="E681">
        <v>35</v>
      </c>
      <c r="F681" t="str">
        <f>IF(Clients_Churn_Master[[#This Row],[Type_Forfait]]="Pro Monde","B2B","B2C")</f>
        <v>B2B</v>
      </c>
      <c r="G681" s="4">
        <f>Clients_Churn_Master[[#This Row],[Duree_Cumulee_Panne_Min]]/1440</f>
        <v>0.34444444444444444</v>
      </c>
      <c r="H681" t="s">
        <v>558</v>
      </c>
      <c r="I681">
        <v>496</v>
      </c>
      <c r="J681" s="10">
        <v>19.78</v>
      </c>
      <c r="K681">
        <v>5</v>
      </c>
      <c r="L6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1" s="9">
        <f>Clients_Churn_Master[[#This Row],[Remise]]*Clients_Churn_Master[[#This Row],[Facture_Mensuelle]]</f>
        <v>8.9010000000000016</v>
      </c>
    </row>
    <row r="682" spans="1:13" x14ac:dyDescent="0.25">
      <c r="A682" t="s">
        <v>1697</v>
      </c>
      <c r="B682" t="s">
        <v>1239</v>
      </c>
      <c r="C682" s="7">
        <f>Clients_Churn_Master[[#This Row],[Anciennete_Mois]]/12</f>
        <v>8.0833333333333339</v>
      </c>
      <c r="D682" t="s">
        <v>52</v>
      </c>
      <c r="E682">
        <v>97</v>
      </c>
      <c r="F682" t="str">
        <f>IF(Clients_Churn_Master[[#This Row],[Type_Forfait]]="Pro Monde","B2B","B2C")</f>
        <v>B2B</v>
      </c>
      <c r="G682" s="4">
        <f>Clients_Churn_Master[[#This Row],[Duree_Cumulee_Panne_Min]]/1440</f>
        <v>0.22152777777777777</v>
      </c>
      <c r="H682" t="s">
        <v>558</v>
      </c>
      <c r="I682">
        <v>319</v>
      </c>
      <c r="J682" s="10">
        <v>31.25</v>
      </c>
      <c r="K682">
        <v>1</v>
      </c>
      <c r="L6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2" s="9">
        <f>Clients_Churn_Master[[#This Row],[Remise]]*Clients_Churn_Master[[#This Row],[Facture_Mensuelle]]</f>
        <v>14.0625</v>
      </c>
    </row>
    <row r="683" spans="1:13" x14ac:dyDescent="0.25">
      <c r="A683" t="s">
        <v>1698</v>
      </c>
      <c r="B683" t="s">
        <v>1240</v>
      </c>
      <c r="C683" s="7">
        <f>Clients_Churn_Master[[#This Row],[Anciennete_Mois]]/12</f>
        <v>9.5</v>
      </c>
      <c r="D683" t="s">
        <v>82</v>
      </c>
      <c r="E683">
        <v>114</v>
      </c>
      <c r="F683" t="str">
        <f>IF(Clients_Churn_Master[[#This Row],[Type_Forfait]]="Pro Monde","B2B","B2C")</f>
        <v>B2C</v>
      </c>
      <c r="G683" s="4">
        <f>Clients_Churn_Master[[#This Row],[Duree_Cumulee_Panne_Min]]/1440</f>
        <v>0.3347222222222222</v>
      </c>
      <c r="H683" t="s">
        <v>564</v>
      </c>
      <c r="I683">
        <v>482</v>
      </c>
      <c r="J683" s="10">
        <v>16.25</v>
      </c>
      <c r="K683">
        <v>3</v>
      </c>
      <c r="L6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3" s="9">
        <f>Clients_Churn_Master[[#This Row],[Remise]]*Clients_Churn_Master[[#This Row],[Facture_Mensuelle]]</f>
        <v>7.3125</v>
      </c>
    </row>
    <row r="684" spans="1:13" x14ac:dyDescent="0.25">
      <c r="A684" t="s">
        <v>1693</v>
      </c>
      <c r="B684" t="s">
        <v>1241</v>
      </c>
      <c r="C684" s="7">
        <f>Clients_Churn_Master[[#This Row],[Anciennete_Mois]]/12</f>
        <v>7.416666666666667</v>
      </c>
      <c r="D684" t="s">
        <v>85</v>
      </c>
      <c r="E684">
        <v>89</v>
      </c>
      <c r="F684" t="str">
        <f>IF(Clients_Churn_Master[[#This Row],[Type_Forfait]]="Pro Monde","B2B","B2C")</f>
        <v>B2C</v>
      </c>
      <c r="G684" s="4">
        <f>Clients_Churn_Master[[#This Row],[Duree_Cumulee_Panne_Min]]/1440</f>
        <v>0.32916666666666666</v>
      </c>
      <c r="H684" t="s">
        <v>556</v>
      </c>
      <c r="I684">
        <v>474</v>
      </c>
      <c r="J684" s="10">
        <v>28.51</v>
      </c>
      <c r="K684">
        <v>5</v>
      </c>
      <c r="L6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4" s="9">
        <f>Clients_Churn_Master[[#This Row],[Remise]]*Clients_Churn_Master[[#This Row],[Facture_Mensuelle]]</f>
        <v>12.829500000000001</v>
      </c>
    </row>
    <row r="685" spans="1:13" x14ac:dyDescent="0.25">
      <c r="A685" t="s">
        <v>1692</v>
      </c>
      <c r="B685" t="s">
        <v>1242</v>
      </c>
      <c r="C685" s="7">
        <f>Clients_Churn_Master[[#This Row],[Anciennete_Mois]]/12</f>
        <v>3.4166666666666665</v>
      </c>
      <c r="D685" t="s">
        <v>85</v>
      </c>
      <c r="E685">
        <v>41</v>
      </c>
      <c r="F685" t="str">
        <f>IF(Clients_Churn_Master[[#This Row],[Type_Forfait]]="Pro Monde","B2B","B2C")</f>
        <v>B2B</v>
      </c>
      <c r="G685" s="4">
        <f>Clients_Churn_Master[[#This Row],[Duree_Cumulee_Panne_Min]]/1440</f>
        <v>0.14305555555555555</v>
      </c>
      <c r="H685" t="s">
        <v>558</v>
      </c>
      <c r="I685">
        <v>206</v>
      </c>
      <c r="J685" s="10">
        <v>83.16</v>
      </c>
      <c r="K685">
        <v>2</v>
      </c>
      <c r="L6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85" s="9">
        <f>Clients_Churn_Master[[#This Row],[Remise]]*Clients_Churn_Master[[#This Row],[Facture_Mensuelle]]</f>
        <v>8.3160000000000007</v>
      </c>
    </row>
    <row r="686" spans="1:13" x14ac:dyDescent="0.25">
      <c r="A686" t="s">
        <v>1697</v>
      </c>
      <c r="B686" t="s">
        <v>1243</v>
      </c>
      <c r="C686" s="7">
        <f>Clients_Churn_Master[[#This Row],[Anciennete_Mois]]/12</f>
        <v>9.1666666666666661</v>
      </c>
      <c r="D686" t="s">
        <v>41</v>
      </c>
      <c r="E686">
        <v>110</v>
      </c>
      <c r="F686" t="str">
        <f>IF(Clients_Churn_Master[[#This Row],[Type_Forfait]]="Pro Monde","B2B","B2C")</f>
        <v>B2C</v>
      </c>
      <c r="G686" s="4">
        <f>Clients_Churn_Master[[#This Row],[Duree_Cumulee_Panne_Min]]/1440</f>
        <v>0.31527777777777777</v>
      </c>
      <c r="H686" t="s">
        <v>560</v>
      </c>
      <c r="I686">
        <v>454</v>
      </c>
      <c r="J686" s="10">
        <v>31.05</v>
      </c>
      <c r="K686">
        <v>1</v>
      </c>
      <c r="L6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6" s="9">
        <f>Clients_Churn_Master[[#This Row],[Remise]]*Clients_Churn_Master[[#This Row],[Facture_Mensuelle]]</f>
        <v>13.9725</v>
      </c>
    </row>
    <row r="687" spans="1:13" x14ac:dyDescent="0.25">
      <c r="A687" t="s">
        <v>1689</v>
      </c>
      <c r="B687" t="s">
        <v>1244</v>
      </c>
      <c r="C687" s="7">
        <f>Clients_Churn_Master[[#This Row],[Anciennete_Mois]]/12</f>
        <v>7.083333333333333</v>
      </c>
      <c r="D687" t="s">
        <v>62</v>
      </c>
      <c r="E687">
        <v>85</v>
      </c>
      <c r="F687" t="str">
        <f>IF(Clients_Churn_Master[[#This Row],[Type_Forfait]]="Pro Monde","B2B","B2C")</f>
        <v>B2B</v>
      </c>
      <c r="G687" s="4">
        <f>Clients_Churn_Master[[#This Row],[Duree_Cumulee_Panne_Min]]/1440</f>
        <v>5.2083333333333336E-2</v>
      </c>
      <c r="H687" t="s">
        <v>558</v>
      </c>
      <c r="I687">
        <v>75</v>
      </c>
      <c r="J687" s="10">
        <v>98.01</v>
      </c>
      <c r="K687">
        <v>1</v>
      </c>
      <c r="L6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87" s="9">
        <f>Clients_Churn_Master[[#This Row],[Remise]]*Clients_Churn_Master[[#This Row],[Facture_Mensuelle]]</f>
        <v>9.8010000000000019</v>
      </c>
    </row>
    <row r="688" spans="1:13" x14ac:dyDescent="0.25">
      <c r="A688" t="s">
        <v>1700</v>
      </c>
      <c r="B688" t="s">
        <v>1245</v>
      </c>
      <c r="C688" s="7">
        <f>Clients_Churn_Master[[#This Row],[Anciennete_Mois]]/12</f>
        <v>6.583333333333333</v>
      </c>
      <c r="D688" t="s">
        <v>9</v>
      </c>
      <c r="E688">
        <v>79</v>
      </c>
      <c r="F688" t="str">
        <f>IF(Clients_Churn_Master[[#This Row],[Type_Forfait]]="Pro Monde","B2B","B2C")</f>
        <v>B2C</v>
      </c>
      <c r="G688" s="4">
        <f>Clients_Churn_Master[[#This Row],[Duree_Cumulee_Panne_Min]]/1440</f>
        <v>0.32083333333333336</v>
      </c>
      <c r="H688" t="s">
        <v>556</v>
      </c>
      <c r="I688">
        <v>462</v>
      </c>
      <c r="J688" s="10">
        <v>18.28</v>
      </c>
      <c r="K688">
        <v>0</v>
      </c>
      <c r="L6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8" s="9">
        <f>Clients_Churn_Master[[#This Row],[Remise]]*Clients_Churn_Master[[#This Row],[Facture_Mensuelle]]</f>
        <v>8.2260000000000009</v>
      </c>
    </row>
    <row r="689" spans="1:13" x14ac:dyDescent="0.25">
      <c r="A689" t="s">
        <v>1695</v>
      </c>
      <c r="B689" t="s">
        <v>1246</v>
      </c>
      <c r="C689" s="7">
        <f>Clients_Churn_Master[[#This Row],[Anciennete_Mois]]/12</f>
        <v>3.8333333333333335</v>
      </c>
      <c r="D689" t="s">
        <v>133</v>
      </c>
      <c r="E689">
        <v>46</v>
      </c>
      <c r="F689" t="str">
        <f>IF(Clients_Churn_Master[[#This Row],[Type_Forfait]]="Pro Monde","B2B","B2C")</f>
        <v>B2C</v>
      </c>
      <c r="G689" s="4">
        <f>Clients_Churn_Master[[#This Row],[Duree_Cumulee_Panne_Min]]/1440</f>
        <v>2.9861111111111113E-2</v>
      </c>
      <c r="H689" t="s">
        <v>564</v>
      </c>
      <c r="I689">
        <v>43</v>
      </c>
      <c r="J689" s="10">
        <v>98.44</v>
      </c>
      <c r="K689">
        <v>2</v>
      </c>
      <c r="L6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9" s="9">
        <f>Clients_Churn_Master[[#This Row],[Remise]]*Clients_Churn_Master[[#This Row],[Facture_Mensuelle]]</f>
        <v>44.298000000000002</v>
      </c>
    </row>
    <row r="690" spans="1:13" x14ac:dyDescent="0.25">
      <c r="A690" t="s">
        <v>1691</v>
      </c>
      <c r="B690" t="s">
        <v>1247</v>
      </c>
      <c r="C690" s="7">
        <f>Clients_Churn_Master[[#This Row],[Anciennete_Mois]]/12</f>
        <v>8.3333333333333329E-2</v>
      </c>
      <c r="D690" t="s">
        <v>45</v>
      </c>
      <c r="E690">
        <v>1</v>
      </c>
      <c r="F690" t="str">
        <f>IF(Clients_Churn_Master[[#This Row],[Type_Forfait]]="Pro Monde","B2B","B2C")</f>
        <v>B2B</v>
      </c>
      <c r="G690" s="4">
        <f>Clients_Churn_Master[[#This Row],[Duree_Cumulee_Panne_Min]]/1440</f>
        <v>0.22638888888888889</v>
      </c>
      <c r="H690" t="s">
        <v>558</v>
      </c>
      <c r="I690">
        <v>326</v>
      </c>
      <c r="J690" s="10">
        <v>54.63</v>
      </c>
      <c r="K690">
        <v>3</v>
      </c>
      <c r="L6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0" s="9">
        <f>Clients_Churn_Master[[#This Row],[Remise]]*Clients_Churn_Master[[#This Row],[Facture_Mensuelle]]</f>
        <v>24.583500000000001</v>
      </c>
    </row>
    <row r="691" spans="1:13" x14ac:dyDescent="0.25">
      <c r="A691" t="s">
        <v>1695</v>
      </c>
      <c r="B691" t="s">
        <v>1248</v>
      </c>
      <c r="C691" s="7">
        <f>Clients_Churn_Master[[#This Row],[Anciennete_Mois]]/12</f>
        <v>2.1666666666666665</v>
      </c>
      <c r="D691" t="s">
        <v>9</v>
      </c>
      <c r="E691">
        <v>26</v>
      </c>
      <c r="F691" t="str">
        <f>IF(Clients_Churn_Master[[#This Row],[Type_Forfait]]="Pro Monde","B2B","B2C")</f>
        <v>B2C</v>
      </c>
      <c r="G691" s="4">
        <f>Clients_Churn_Master[[#This Row],[Duree_Cumulee_Panne_Min]]/1440</f>
        <v>0.26250000000000001</v>
      </c>
      <c r="H691" t="s">
        <v>564</v>
      </c>
      <c r="I691">
        <v>378</v>
      </c>
      <c r="J691" s="10">
        <v>45.21</v>
      </c>
      <c r="K691">
        <v>5</v>
      </c>
      <c r="L6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1" s="9">
        <f>Clients_Churn_Master[[#This Row],[Remise]]*Clients_Churn_Master[[#This Row],[Facture_Mensuelle]]</f>
        <v>20.3445</v>
      </c>
    </row>
    <row r="692" spans="1:13" x14ac:dyDescent="0.25">
      <c r="A692" t="s">
        <v>1701</v>
      </c>
      <c r="B692" t="s">
        <v>1249</v>
      </c>
      <c r="C692" s="7">
        <f>Clients_Churn_Master[[#This Row],[Anciennete_Mois]]/12</f>
        <v>6.083333333333333</v>
      </c>
      <c r="D692" t="s">
        <v>30</v>
      </c>
      <c r="E692">
        <v>73</v>
      </c>
      <c r="F692" t="str">
        <f>IF(Clients_Churn_Master[[#This Row],[Type_Forfait]]="Pro Monde","B2B","B2C")</f>
        <v>B2B</v>
      </c>
      <c r="G692" s="4">
        <f>Clients_Churn_Master[[#This Row],[Duree_Cumulee_Panne_Min]]/1440</f>
        <v>0.18611111111111112</v>
      </c>
      <c r="H692" t="s">
        <v>558</v>
      </c>
      <c r="I692">
        <v>268</v>
      </c>
      <c r="J692" s="10">
        <v>56.86</v>
      </c>
      <c r="K692">
        <v>5</v>
      </c>
      <c r="L6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2" s="9">
        <f>Clients_Churn_Master[[#This Row],[Remise]]*Clients_Churn_Master[[#This Row],[Facture_Mensuelle]]</f>
        <v>25.587</v>
      </c>
    </row>
    <row r="693" spans="1:13" x14ac:dyDescent="0.25">
      <c r="A693" t="s">
        <v>1691</v>
      </c>
      <c r="B693" t="s">
        <v>1250</v>
      </c>
      <c r="C693" s="7">
        <f>Clients_Churn_Master[[#This Row],[Anciennete_Mois]]/12</f>
        <v>1.3333333333333333</v>
      </c>
      <c r="D693" t="s">
        <v>21</v>
      </c>
      <c r="E693">
        <v>16</v>
      </c>
      <c r="F693" t="str">
        <f>IF(Clients_Churn_Master[[#This Row],[Type_Forfait]]="Pro Monde","B2B","B2C")</f>
        <v>B2C</v>
      </c>
      <c r="G693" s="4">
        <f>Clients_Churn_Master[[#This Row],[Duree_Cumulee_Panne_Min]]/1440</f>
        <v>9.0277777777777769E-3</v>
      </c>
      <c r="H693" t="s">
        <v>556</v>
      </c>
      <c r="I693">
        <v>13</v>
      </c>
      <c r="J693" s="10">
        <v>14.91</v>
      </c>
      <c r="K693">
        <v>1</v>
      </c>
      <c r="L6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3" s="9">
        <f>Clients_Churn_Master[[#This Row],[Remise]]*Clients_Churn_Master[[#This Row],[Facture_Mensuelle]]</f>
        <v>0</v>
      </c>
    </row>
    <row r="694" spans="1:13" x14ac:dyDescent="0.25">
      <c r="A694" t="s">
        <v>1697</v>
      </c>
      <c r="B694" t="s">
        <v>1251</v>
      </c>
      <c r="C694" s="7">
        <f>Clients_Churn_Master[[#This Row],[Anciennete_Mois]]/12</f>
        <v>8.4166666666666661</v>
      </c>
      <c r="D694" t="s">
        <v>41</v>
      </c>
      <c r="E694">
        <v>101</v>
      </c>
      <c r="F694" t="str">
        <f>IF(Clients_Churn_Master[[#This Row],[Type_Forfait]]="Pro Monde","B2B","B2C")</f>
        <v>B2C</v>
      </c>
      <c r="G694" s="4">
        <f>Clients_Churn_Master[[#This Row],[Duree_Cumulee_Panne_Min]]/1440</f>
        <v>0.24861111111111112</v>
      </c>
      <c r="H694" t="s">
        <v>560</v>
      </c>
      <c r="I694">
        <v>358</v>
      </c>
      <c r="J694" s="10">
        <v>29.24</v>
      </c>
      <c r="K694">
        <v>3</v>
      </c>
      <c r="L6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4" s="9">
        <f>Clients_Churn_Master[[#This Row],[Remise]]*Clients_Churn_Master[[#This Row],[Facture_Mensuelle]]</f>
        <v>13.157999999999999</v>
      </c>
    </row>
    <row r="695" spans="1:13" x14ac:dyDescent="0.25">
      <c r="A695" t="s">
        <v>1689</v>
      </c>
      <c r="B695" t="s">
        <v>1252</v>
      </c>
      <c r="C695" s="7">
        <f>Clients_Churn_Master[[#This Row],[Anciennete_Mois]]/12</f>
        <v>8.5833333333333339</v>
      </c>
      <c r="D695" t="s">
        <v>30</v>
      </c>
      <c r="E695">
        <v>103</v>
      </c>
      <c r="F695" t="str">
        <f>IF(Clients_Churn_Master[[#This Row],[Type_Forfait]]="Pro Monde","B2B","B2C")</f>
        <v>B2C</v>
      </c>
      <c r="G695" s="4">
        <f>Clients_Churn_Master[[#This Row],[Duree_Cumulee_Panne_Min]]/1440</f>
        <v>0.20208333333333334</v>
      </c>
      <c r="H695" t="s">
        <v>560</v>
      </c>
      <c r="I695">
        <v>291</v>
      </c>
      <c r="J695" s="10">
        <v>60.34</v>
      </c>
      <c r="K695">
        <v>5</v>
      </c>
      <c r="L6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5" s="9">
        <f>Clients_Churn_Master[[#This Row],[Remise]]*Clients_Churn_Master[[#This Row],[Facture_Mensuelle]]</f>
        <v>27.153000000000002</v>
      </c>
    </row>
    <row r="696" spans="1:13" x14ac:dyDescent="0.25">
      <c r="A696" t="s">
        <v>1698</v>
      </c>
      <c r="B696" t="s">
        <v>1253</v>
      </c>
      <c r="C696" s="7">
        <f>Clients_Churn_Master[[#This Row],[Anciennete_Mois]]/12</f>
        <v>7.666666666666667</v>
      </c>
      <c r="D696" t="s">
        <v>62</v>
      </c>
      <c r="E696">
        <v>92</v>
      </c>
      <c r="F696" t="str">
        <f>IF(Clients_Churn_Master[[#This Row],[Type_Forfait]]="Pro Monde","B2B","B2C")</f>
        <v>B2C</v>
      </c>
      <c r="G696" s="4">
        <f>Clients_Churn_Master[[#This Row],[Duree_Cumulee_Panne_Min]]/1440</f>
        <v>8.0555555555555561E-2</v>
      </c>
      <c r="H696" t="s">
        <v>564</v>
      </c>
      <c r="I696">
        <v>116</v>
      </c>
      <c r="J696" s="10">
        <v>23.83</v>
      </c>
      <c r="K696">
        <v>3</v>
      </c>
      <c r="L6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6" s="9">
        <f>Clients_Churn_Master[[#This Row],[Remise]]*Clients_Churn_Master[[#This Row],[Facture_Mensuelle]]</f>
        <v>0</v>
      </c>
    </row>
    <row r="697" spans="1:13" x14ac:dyDescent="0.25">
      <c r="A697" t="s">
        <v>1693</v>
      </c>
      <c r="B697" t="s">
        <v>1254</v>
      </c>
      <c r="C697" s="7">
        <f>Clients_Churn_Master[[#This Row],[Anciennete_Mois]]/12</f>
        <v>9.6666666666666661</v>
      </c>
      <c r="D697" t="s">
        <v>27</v>
      </c>
      <c r="E697">
        <v>116</v>
      </c>
      <c r="F697" t="str">
        <f>IF(Clients_Churn_Master[[#This Row],[Type_Forfait]]="Pro Monde","B2B","B2C")</f>
        <v>B2C</v>
      </c>
      <c r="G697" s="4">
        <f>Clients_Churn_Master[[#This Row],[Duree_Cumulee_Panne_Min]]/1440</f>
        <v>0.16041666666666668</v>
      </c>
      <c r="H697" t="s">
        <v>560</v>
      </c>
      <c r="I697">
        <v>231</v>
      </c>
      <c r="J697" s="10">
        <v>19.12</v>
      </c>
      <c r="K697">
        <v>5</v>
      </c>
      <c r="L6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7" s="9">
        <f>Clients_Churn_Master[[#This Row],[Remise]]*Clients_Churn_Master[[#This Row],[Facture_Mensuelle]]</f>
        <v>0</v>
      </c>
    </row>
    <row r="698" spans="1:13" x14ac:dyDescent="0.25">
      <c r="A698" t="s">
        <v>1693</v>
      </c>
      <c r="B698" t="s">
        <v>1255</v>
      </c>
      <c r="C698" s="7">
        <f>Clients_Churn_Master[[#This Row],[Anciennete_Mois]]/12</f>
        <v>7.416666666666667</v>
      </c>
      <c r="D698" t="s">
        <v>37</v>
      </c>
      <c r="E698">
        <v>89</v>
      </c>
      <c r="F698" t="str">
        <f>IF(Clients_Churn_Master[[#This Row],[Type_Forfait]]="Pro Monde","B2B","B2C")</f>
        <v>B2B</v>
      </c>
      <c r="G698" s="4">
        <f>Clients_Churn_Master[[#This Row],[Duree_Cumulee_Panne_Min]]/1440</f>
        <v>0.26458333333333334</v>
      </c>
      <c r="H698" t="s">
        <v>558</v>
      </c>
      <c r="I698">
        <v>381</v>
      </c>
      <c r="J698" s="10">
        <v>68.17</v>
      </c>
      <c r="K698">
        <v>0</v>
      </c>
      <c r="L6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8" s="9">
        <f>Clients_Churn_Master[[#This Row],[Remise]]*Clients_Churn_Master[[#This Row],[Facture_Mensuelle]]</f>
        <v>30.676500000000001</v>
      </c>
    </row>
    <row r="699" spans="1:13" x14ac:dyDescent="0.25">
      <c r="A699" t="s">
        <v>1700</v>
      </c>
      <c r="B699" t="s">
        <v>1256</v>
      </c>
      <c r="C699" s="7">
        <f>Clients_Churn_Master[[#This Row],[Anciennete_Mois]]/12</f>
        <v>5.416666666666667</v>
      </c>
      <c r="D699" t="s">
        <v>133</v>
      </c>
      <c r="E699">
        <v>65</v>
      </c>
      <c r="F699" t="str">
        <f>IF(Clients_Churn_Master[[#This Row],[Type_Forfait]]="Pro Monde","B2B","B2C")</f>
        <v>B2C</v>
      </c>
      <c r="G699" s="4">
        <f>Clients_Churn_Master[[#This Row],[Duree_Cumulee_Panne_Min]]/1440</f>
        <v>1.0416666666666666E-2</v>
      </c>
      <c r="H699" t="s">
        <v>564</v>
      </c>
      <c r="I699">
        <v>15</v>
      </c>
      <c r="J699" s="10">
        <v>44.47</v>
      </c>
      <c r="K699">
        <v>0</v>
      </c>
      <c r="L6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9" s="9">
        <f>Clients_Churn_Master[[#This Row],[Remise]]*Clients_Churn_Master[[#This Row],[Facture_Mensuelle]]</f>
        <v>0</v>
      </c>
    </row>
    <row r="700" spans="1:13" x14ac:dyDescent="0.25">
      <c r="A700" t="s">
        <v>1699</v>
      </c>
      <c r="B700" t="s">
        <v>1257</v>
      </c>
      <c r="C700" s="7">
        <f>Clients_Churn_Master[[#This Row],[Anciennete_Mois]]/12</f>
        <v>5.083333333333333</v>
      </c>
      <c r="D700" t="s">
        <v>13</v>
      </c>
      <c r="E700">
        <v>61</v>
      </c>
      <c r="F700" t="str">
        <f>IF(Clients_Churn_Master[[#This Row],[Type_Forfait]]="Pro Monde","B2B","B2C")</f>
        <v>B2B</v>
      </c>
      <c r="G700" s="4">
        <f>Clients_Churn_Master[[#This Row],[Duree_Cumulee_Panne_Min]]/1440</f>
        <v>0.25138888888888888</v>
      </c>
      <c r="H700" t="s">
        <v>558</v>
      </c>
      <c r="I700">
        <v>362</v>
      </c>
      <c r="J700" s="10">
        <v>75.03</v>
      </c>
      <c r="K700">
        <v>0</v>
      </c>
      <c r="L7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00" s="9">
        <f>Clients_Churn_Master[[#This Row],[Remise]]*Clients_Churn_Master[[#This Row],[Facture_Mensuelle]]</f>
        <v>33.763500000000001</v>
      </c>
    </row>
    <row r="701" spans="1:13" x14ac:dyDescent="0.25">
      <c r="A701" t="s">
        <v>1693</v>
      </c>
      <c r="B701" t="s">
        <v>1258</v>
      </c>
      <c r="C701" s="7">
        <f>Clients_Churn_Master[[#This Row],[Anciennete_Mois]]/12</f>
        <v>1.4166666666666667</v>
      </c>
      <c r="D701" t="s">
        <v>27</v>
      </c>
      <c r="E701">
        <v>17</v>
      </c>
      <c r="F701" t="str">
        <f>IF(Clients_Churn_Master[[#This Row],[Type_Forfait]]="Pro Monde","B2B","B2C")</f>
        <v>B2B</v>
      </c>
      <c r="G701" s="4">
        <f>Clients_Churn_Master[[#This Row],[Duree_Cumulee_Panne_Min]]/1440</f>
        <v>0.14305555555555555</v>
      </c>
      <c r="H701" t="s">
        <v>558</v>
      </c>
      <c r="I701">
        <v>206</v>
      </c>
      <c r="J701" s="10">
        <v>63.46</v>
      </c>
      <c r="K701">
        <v>3</v>
      </c>
      <c r="L7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01" s="9">
        <f>Clients_Churn_Master[[#This Row],[Remise]]*Clients_Churn_Master[[#This Row],[Facture_Mensuelle]]</f>
        <v>6.3460000000000001</v>
      </c>
    </row>
    <row r="702" spans="1:13" x14ac:dyDescent="0.25">
      <c r="A702" t="s">
        <v>1692</v>
      </c>
      <c r="B702" t="s">
        <v>1259</v>
      </c>
      <c r="C702" s="7">
        <f>Clients_Churn_Master[[#This Row],[Anciennete_Mois]]/12</f>
        <v>1.5833333333333333</v>
      </c>
      <c r="D702" t="s">
        <v>52</v>
      </c>
      <c r="E702">
        <v>19</v>
      </c>
      <c r="F702" t="str">
        <f>IF(Clients_Churn_Master[[#This Row],[Type_Forfait]]="Pro Monde","B2B","B2C")</f>
        <v>B2C</v>
      </c>
      <c r="G702" s="4">
        <f>Clients_Churn_Master[[#This Row],[Duree_Cumulee_Panne_Min]]/1440</f>
        <v>8.6805555555555552E-2</v>
      </c>
      <c r="H702" t="s">
        <v>556</v>
      </c>
      <c r="I702">
        <v>125</v>
      </c>
      <c r="J702" s="10">
        <v>11.78</v>
      </c>
      <c r="K702">
        <v>4</v>
      </c>
      <c r="L7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02" s="9">
        <f>Clients_Churn_Master[[#This Row],[Remise]]*Clients_Churn_Master[[#This Row],[Facture_Mensuelle]]</f>
        <v>0</v>
      </c>
    </row>
    <row r="703" spans="1:13" x14ac:dyDescent="0.25">
      <c r="A703" t="s">
        <v>1690</v>
      </c>
      <c r="B703" t="s">
        <v>1260</v>
      </c>
      <c r="C703" s="7">
        <f>Clients_Churn_Master[[#This Row],[Anciennete_Mois]]/12</f>
        <v>1.0833333333333333</v>
      </c>
      <c r="D703" t="s">
        <v>47</v>
      </c>
      <c r="E703">
        <v>13</v>
      </c>
      <c r="F703" t="str">
        <f>IF(Clients_Churn_Master[[#This Row],[Type_Forfait]]="Pro Monde","B2B","B2C")</f>
        <v>B2C</v>
      </c>
      <c r="G703" s="4">
        <f>Clients_Churn_Master[[#This Row],[Duree_Cumulee_Panne_Min]]/1440</f>
        <v>0.125</v>
      </c>
      <c r="H703" t="s">
        <v>556</v>
      </c>
      <c r="I703">
        <v>180</v>
      </c>
      <c r="J703" s="10">
        <v>24.01</v>
      </c>
      <c r="K703">
        <v>0</v>
      </c>
      <c r="L7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03" s="9">
        <f>Clients_Churn_Master[[#This Row],[Remise]]*Clients_Churn_Master[[#This Row],[Facture_Mensuelle]]</f>
        <v>0</v>
      </c>
    </row>
    <row r="704" spans="1:13" x14ac:dyDescent="0.25">
      <c r="A704" t="s">
        <v>1694</v>
      </c>
      <c r="B704" t="s">
        <v>1261</v>
      </c>
      <c r="C704" s="7">
        <f>Clients_Churn_Master[[#This Row],[Anciennete_Mois]]/12</f>
        <v>7.5</v>
      </c>
      <c r="D704" t="s">
        <v>96</v>
      </c>
      <c r="E704">
        <v>90</v>
      </c>
      <c r="F704" t="str">
        <f>IF(Clients_Churn_Master[[#This Row],[Type_Forfait]]="Pro Monde","B2B","B2C")</f>
        <v>B2B</v>
      </c>
      <c r="G704" s="4">
        <f>Clients_Churn_Master[[#This Row],[Duree_Cumulee_Panne_Min]]/1440</f>
        <v>0.2076388888888889</v>
      </c>
      <c r="H704" t="s">
        <v>558</v>
      </c>
      <c r="I704">
        <v>299</v>
      </c>
      <c r="J704" s="10">
        <v>71.760000000000005</v>
      </c>
      <c r="K704">
        <v>1</v>
      </c>
      <c r="L7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04" s="9">
        <f>Clients_Churn_Master[[#This Row],[Remise]]*Clients_Churn_Master[[#This Row],[Facture_Mensuelle]]</f>
        <v>32.292000000000002</v>
      </c>
    </row>
    <row r="705" spans="1:13" x14ac:dyDescent="0.25">
      <c r="A705" t="s">
        <v>1691</v>
      </c>
      <c r="B705" t="s">
        <v>1262</v>
      </c>
      <c r="C705" s="7">
        <f>Clients_Churn_Master[[#This Row],[Anciennete_Mois]]/12</f>
        <v>3.4166666666666665</v>
      </c>
      <c r="D705" t="s">
        <v>76</v>
      </c>
      <c r="E705">
        <v>41</v>
      </c>
      <c r="F705" t="str">
        <f>IF(Clients_Churn_Master[[#This Row],[Type_Forfait]]="Pro Monde","B2B","B2C")</f>
        <v>B2C</v>
      </c>
      <c r="G705" s="4">
        <f>Clients_Churn_Master[[#This Row],[Duree_Cumulee_Panne_Min]]/1440</f>
        <v>4.4444444444444446E-2</v>
      </c>
      <c r="H705" t="s">
        <v>564</v>
      </c>
      <c r="I705">
        <v>64</v>
      </c>
      <c r="J705" s="10">
        <v>91.95</v>
      </c>
      <c r="K705">
        <v>1</v>
      </c>
      <c r="L7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05" s="9">
        <f>Clients_Churn_Master[[#This Row],[Remise]]*Clients_Churn_Master[[#This Row],[Facture_Mensuelle]]</f>
        <v>41.377500000000005</v>
      </c>
    </row>
    <row r="706" spans="1:13" x14ac:dyDescent="0.25">
      <c r="A706" t="s">
        <v>1696</v>
      </c>
      <c r="B706" t="s">
        <v>1263</v>
      </c>
      <c r="C706" s="7">
        <f>Clients_Churn_Master[[#This Row],[Anciennete_Mois]]/12</f>
        <v>6.166666666666667</v>
      </c>
      <c r="D706" t="s">
        <v>27</v>
      </c>
      <c r="E706">
        <v>74</v>
      </c>
      <c r="F706" t="str">
        <f>IF(Clients_Churn_Master[[#This Row],[Type_Forfait]]="Pro Monde","B2B","B2C")</f>
        <v>B2C</v>
      </c>
      <c r="G706" s="4">
        <f>Clients_Churn_Master[[#This Row],[Duree_Cumulee_Panne_Min]]/1440</f>
        <v>0.24930555555555556</v>
      </c>
      <c r="H706" t="s">
        <v>560</v>
      </c>
      <c r="I706">
        <v>359</v>
      </c>
      <c r="J706" s="10">
        <v>92.63</v>
      </c>
      <c r="K706">
        <v>0</v>
      </c>
      <c r="L7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06" s="9">
        <f>Clients_Churn_Master[[#This Row],[Remise]]*Clients_Churn_Master[[#This Row],[Facture_Mensuelle]]</f>
        <v>41.683500000000002</v>
      </c>
    </row>
    <row r="707" spans="1:13" x14ac:dyDescent="0.25">
      <c r="A707" t="s">
        <v>1698</v>
      </c>
      <c r="B707" t="s">
        <v>1264</v>
      </c>
      <c r="C707" s="7">
        <f>Clients_Churn_Master[[#This Row],[Anciennete_Mois]]/12</f>
        <v>5.166666666666667</v>
      </c>
      <c r="D707" t="s">
        <v>43</v>
      </c>
      <c r="E707">
        <v>62</v>
      </c>
      <c r="F707" t="str">
        <f>IF(Clients_Churn_Master[[#This Row],[Type_Forfait]]="Pro Monde","B2B","B2C")</f>
        <v>B2C</v>
      </c>
      <c r="G707" s="4">
        <f>Clients_Churn_Master[[#This Row],[Duree_Cumulee_Panne_Min]]/1440</f>
        <v>8.0555555555555561E-2</v>
      </c>
      <c r="H707" t="s">
        <v>564</v>
      </c>
      <c r="I707">
        <v>116</v>
      </c>
      <c r="J707" s="10">
        <v>92.99</v>
      </c>
      <c r="K707">
        <v>5</v>
      </c>
      <c r="L7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07" s="9">
        <f>Clients_Churn_Master[[#This Row],[Remise]]*Clients_Churn_Master[[#This Row],[Facture_Mensuelle]]</f>
        <v>0</v>
      </c>
    </row>
    <row r="708" spans="1:13" x14ac:dyDescent="0.25">
      <c r="A708" t="s">
        <v>1689</v>
      </c>
      <c r="B708" t="s">
        <v>1265</v>
      </c>
      <c r="C708" s="7">
        <f>Clients_Churn_Master[[#This Row],[Anciennete_Mois]]/12</f>
        <v>9.8333333333333339</v>
      </c>
      <c r="D708" t="s">
        <v>27</v>
      </c>
      <c r="E708">
        <v>118</v>
      </c>
      <c r="F708" t="str">
        <f>IF(Clients_Churn_Master[[#This Row],[Type_Forfait]]="Pro Monde","B2B","B2C")</f>
        <v>B2B</v>
      </c>
      <c r="G708" s="4">
        <f>Clients_Churn_Master[[#This Row],[Duree_Cumulee_Panne_Min]]/1440</f>
        <v>5.5555555555555552E-2</v>
      </c>
      <c r="H708" t="s">
        <v>558</v>
      </c>
      <c r="I708">
        <v>80</v>
      </c>
      <c r="J708" s="10">
        <v>97.58</v>
      </c>
      <c r="K708">
        <v>3</v>
      </c>
      <c r="L7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08" s="9">
        <f>Clients_Churn_Master[[#This Row],[Remise]]*Clients_Churn_Master[[#This Row],[Facture_Mensuelle]]</f>
        <v>9.7580000000000009</v>
      </c>
    </row>
    <row r="709" spans="1:13" x14ac:dyDescent="0.25">
      <c r="A709" t="s">
        <v>1692</v>
      </c>
      <c r="B709" t="s">
        <v>1266</v>
      </c>
      <c r="C709" s="7">
        <f>Clients_Churn_Master[[#This Row],[Anciennete_Mois]]/12</f>
        <v>8.25</v>
      </c>
      <c r="D709" t="s">
        <v>52</v>
      </c>
      <c r="E709">
        <v>99</v>
      </c>
      <c r="F709" t="str">
        <f>IF(Clients_Churn_Master[[#This Row],[Type_Forfait]]="Pro Monde","B2B","B2C")</f>
        <v>B2C</v>
      </c>
      <c r="G709" s="4">
        <f>Clients_Churn_Master[[#This Row],[Duree_Cumulee_Panne_Min]]/1440</f>
        <v>1.9444444444444445E-2</v>
      </c>
      <c r="H709" t="s">
        <v>556</v>
      </c>
      <c r="I709">
        <v>28</v>
      </c>
      <c r="J709" s="10">
        <v>70.19</v>
      </c>
      <c r="K709">
        <v>1</v>
      </c>
      <c r="L7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09" s="9">
        <f>Clients_Churn_Master[[#This Row],[Remise]]*Clients_Churn_Master[[#This Row],[Facture_Mensuelle]]</f>
        <v>0</v>
      </c>
    </row>
    <row r="710" spans="1:13" x14ac:dyDescent="0.25">
      <c r="A710" t="s">
        <v>1702</v>
      </c>
      <c r="B710" t="s">
        <v>1267</v>
      </c>
      <c r="C710" s="7">
        <f>Clients_Churn_Master[[#This Row],[Anciennete_Mois]]/12</f>
        <v>6.666666666666667</v>
      </c>
      <c r="D710" t="s">
        <v>133</v>
      </c>
      <c r="E710">
        <v>80</v>
      </c>
      <c r="F710" t="str">
        <f>IF(Clients_Churn_Master[[#This Row],[Type_Forfait]]="Pro Monde","B2B","B2C")</f>
        <v>B2C</v>
      </c>
      <c r="G710" s="4">
        <f>Clients_Churn_Master[[#This Row],[Duree_Cumulee_Panne_Min]]/1440</f>
        <v>8.4027777777777785E-2</v>
      </c>
      <c r="H710" t="s">
        <v>564</v>
      </c>
      <c r="I710">
        <v>121</v>
      </c>
      <c r="J710" s="10">
        <v>83.14</v>
      </c>
      <c r="K710">
        <v>5</v>
      </c>
      <c r="L7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0" s="9">
        <f>Clients_Churn_Master[[#This Row],[Remise]]*Clients_Churn_Master[[#This Row],[Facture_Mensuelle]]</f>
        <v>0</v>
      </c>
    </row>
    <row r="711" spans="1:13" x14ac:dyDescent="0.25">
      <c r="A711" t="s">
        <v>1702</v>
      </c>
      <c r="B711" t="s">
        <v>1268</v>
      </c>
      <c r="C711" s="7">
        <f>Clients_Churn_Master[[#This Row],[Anciennete_Mois]]/12</f>
        <v>4.833333333333333</v>
      </c>
      <c r="D711" t="s">
        <v>21</v>
      </c>
      <c r="E711">
        <v>58</v>
      </c>
      <c r="F711" t="str">
        <f>IF(Clients_Churn_Master[[#This Row],[Type_Forfait]]="Pro Monde","B2B","B2C")</f>
        <v>B2C</v>
      </c>
      <c r="G711" s="4">
        <f>Clients_Churn_Master[[#This Row],[Duree_Cumulee_Panne_Min]]/1440</f>
        <v>4.2361111111111113E-2</v>
      </c>
      <c r="H711" t="s">
        <v>560</v>
      </c>
      <c r="I711">
        <v>61</v>
      </c>
      <c r="J711" s="10">
        <v>58.64</v>
      </c>
      <c r="K711">
        <v>3</v>
      </c>
      <c r="L7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1" s="9">
        <f>Clients_Churn_Master[[#This Row],[Remise]]*Clients_Churn_Master[[#This Row],[Facture_Mensuelle]]</f>
        <v>0</v>
      </c>
    </row>
    <row r="712" spans="1:13" x14ac:dyDescent="0.25">
      <c r="A712" t="s">
        <v>1702</v>
      </c>
      <c r="B712" t="s">
        <v>1269</v>
      </c>
      <c r="C712" s="7">
        <f>Clients_Churn_Master[[#This Row],[Anciennete_Mois]]/12</f>
        <v>0.33333333333333331</v>
      </c>
      <c r="D712" t="s">
        <v>93</v>
      </c>
      <c r="E712">
        <v>4</v>
      </c>
      <c r="F712" t="str">
        <f>IF(Clients_Churn_Master[[#This Row],[Type_Forfait]]="Pro Monde","B2B","B2C")</f>
        <v>B2C</v>
      </c>
      <c r="G712" s="4">
        <f>Clients_Churn_Master[[#This Row],[Duree_Cumulee_Panne_Min]]/1440</f>
        <v>0.31458333333333333</v>
      </c>
      <c r="H712" t="s">
        <v>556</v>
      </c>
      <c r="I712">
        <v>453</v>
      </c>
      <c r="J712" s="10">
        <v>75.260000000000005</v>
      </c>
      <c r="K712">
        <v>5</v>
      </c>
      <c r="L7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2" s="9">
        <f>Clients_Churn_Master[[#This Row],[Remise]]*Clients_Churn_Master[[#This Row],[Facture_Mensuelle]]</f>
        <v>33.867000000000004</v>
      </c>
    </row>
    <row r="713" spans="1:13" x14ac:dyDescent="0.25">
      <c r="A713" t="s">
        <v>1692</v>
      </c>
      <c r="B713" t="s">
        <v>1270</v>
      </c>
      <c r="C713" s="7">
        <f>Clients_Churn_Master[[#This Row],[Anciennete_Mois]]/12</f>
        <v>3.4166666666666665</v>
      </c>
      <c r="D713" t="s">
        <v>82</v>
      </c>
      <c r="E713">
        <v>41</v>
      </c>
      <c r="F713" t="str">
        <f>IF(Clients_Churn_Master[[#This Row],[Type_Forfait]]="Pro Monde","B2B","B2C")</f>
        <v>B2C</v>
      </c>
      <c r="G713" s="4">
        <f>Clients_Churn_Master[[#This Row],[Duree_Cumulee_Panne_Min]]/1440</f>
        <v>0.27638888888888891</v>
      </c>
      <c r="H713" t="s">
        <v>556</v>
      </c>
      <c r="I713">
        <v>398</v>
      </c>
      <c r="J713" s="10">
        <v>28.56</v>
      </c>
      <c r="K713">
        <v>2</v>
      </c>
      <c r="L7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3" s="9">
        <f>Clients_Churn_Master[[#This Row],[Remise]]*Clients_Churn_Master[[#This Row],[Facture_Mensuelle]]</f>
        <v>12.852</v>
      </c>
    </row>
    <row r="714" spans="1:13" x14ac:dyDescent="0.25">
      <c r="A714" t="s">
        <v>1690</v>
      </c>
      <c r="B714" t="s">
        <v>1271</v>
      </c>
      <c r="C714" s="7">
        <f>Clients_Churn_Master[[#This Row],[Anciennete_Mois]]/12</f>
        <v>4.083333333333333</v>
      </c>
      <c r="D714" t="s">
        <v>32</v>
      </c>
      <c r="E714">
        <v>49</v>
      </c>
      <c r="F714" t="str">
        <f>IF(Clients_Churn_Master[[#This Row],[Type_Forfait]]="Pro Monde","B2B","B2C")</f>
        <v>B2B</v>
      </c>
      <c r="G714" s="4">
        <f>Clients_Churn_Master[[#This Row],[Duree_Cumulee_Panne_Min]]/1440</f>
        <v>0.15902777777777777</v>
      </c>
      <c r="H714" t="s">
        <v>558</v>
      </c>
      <c r="I714">
        <v>229</v>
      </c>
      <c r="J714" s="10">
        <v>53.94</v>
      </c>
      <c r="K714">
        <v>5</v>
      </c>
      <c r="L7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14" s="9">
        <f>Clients_Churn_Master[[#This Row],[Remise]]*Clients_Churn_Master[[#This Row],[Facture_Mensuelle]]</f>
        <v>5.3940000000000001</v>
      </c>
    </row>
    <row r="715" spans="1:13" x14ac:dyDescent="0.25">
      <c r="A715" t="s">
        <v>1698</v>
      </c>
      <c r="B715" t="s">
        <v>1272</v>
      </c>
      <c r="C715" s="7">
        <f>Clients_Churn_Master[[#This Row],[Anciennete_Mois]]/12</f>
        <v>2.4166666666666665</v>
      </c>
      <c r="D715" t="s">
        <v>52</v>
      </c>
      <c r="E715">
        <v>29</v>
      </c>
      <c r="F715" t="str">
        <f>IF(Clients_Churn_Master[[#This Row],[Type_Forfait]]="Pro Monde","B2B","B2C")</f>
        <v>B2C</v>
      </c>
      <c r="G715" s="4">
        <f>Clients_Churn_Master[[#This Row],[Duree_Cumulee_Panne_Min]]/1440</f>
        <v>0.28888888888888886</v>
      </c>
      <c r="H715" t="s">
        <v>560</v>
      </c>
      <c r="I715">
        <v>416</v>
      </c>
      <c r="J715" s="10">
        <v>61.26</v>
      </c>
      <c r="K715">
        <v>0</v>
      </c>
      <c r="L7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5" s="9">
        <f>Clients_Churn_Master[[#This Row],[Remise]]*Clients_Churn_Master[[#This Row],[Facture_Mensuelle]]</f>
        <v>27.567</v>
      </c>
    </row>
    <row r="716" spans="1:13" x14ac:dyDescent="0.25">
      <c r="A716" t="s">
        <v>1689</v>
      </c>
      <c r="B716" t="s">
        <v>1273</v>
      </c>
      <c r="C716" s="7">
        <f>Clients_Churn_Master[[#This Row],[Anciennete_Mois]]/12</f>
        <v>0.75</v>
      </c>
      <c r="D716" t="s">
        <v>43</v>
      </c>
      <c r="E716">
        <v>9</v>
      </c>
      <c r="F716" t="str">
        <f>IF(Clients_Churn_Master[[#This Row],[Type_Forfait]]="Pro Monde","B2B","B2C")</f>
        <v>B2C</v>
      </c>
      <c r="G716" s="4">
        <f>Clients_Churn_Master[[#This Row],[Duree_Cumulee_Panne_Min]]/1440</f>
        <v>0.15763888888888888</v>
      </c>
      <c r="H716" t="s">
        <v>560</v>
      </c>
      <c r="I716">
        <v>227</v>
      </c>
      <c r="J716" s="10">
        <v>63.74</v>
      </c>
      <c r="K716">
        <v>3</v>
      </c>
      <c r="L7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6" s="9">
        <f>Clients_Churn_Master[[#This Row],[Remise]]*Clients_Churn_Master[[#This Row],[Facture_Mensuelle]]</f>
        <v>0</v>
      </c>
    </row>
    <row r="717" spans="1:13" x14ac:dyDescent="0.25">
      <c r="A717" t="s">
        <v>1690</v>
      </c>
      <c r="B717" t="s">
        <v>1274</v>
      </c>
      <c r="C717" s="7">
        <f>Clients_Churn_Master[[#This Row],[Anciennete_Mois]]/12</f>
        <v>8.0833333333333339</v>
      </c>
      <c r="D717" t="s">
        <v>30</v>
      </c>
      <c r="E717">
        <v>97</v>
      </c>
      <c r="F717" t="str">
        <f>IF(Clients_Churn_Master[[#This Row],[Type_Forfait]]="Pro Monde","B2B","B2C")</f>
        <v>B2B</v>
      </c>
      <c r="G717" s="4">
        <f>Clients_Churn_Master[[#This Row],[Duree_Cumulee_Panne_Min]]/1440</f>
        <v>0.19166666666666668</v>
      </c>
      <c r="H717" t="s">
        <v>558</v>
      </c>
      <c r="I717">
        <v>276</v>
      </c>
      <c r="J717" s="10">
        <v>88.35</v>
      </c>
      <c r="K717">
        <v>0</v>
      </c>
      <c r="L7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7" s="9">
        <f>Clients_Churn_Master[[#This Row],[Remise]]*Clients_Churn_Master[[#This Row],[Facture_Mensuelle]]</f>
        <v>39.7575</v>
      </c>
    </row>
    <row r="718" spans="1:13" x14ac:dyDescent="0.25">
      <c r="A718" t="s">
        <v>1694</v>
      </c>
      <c r="B718" t="s">
        <v>1275</v>
      </c>
      <c r="C718" s="7">
        <f>Clients_Churn_Master[[#This Row],[Anciennete_Mois]]/12</f>
        <v>2.6666666666666665</v>
      </c>
      <c r="D718" t="s">
        <v>27</v>
      </c>
      <c r="E718">
        <v>32</v>
      </c>
      <c r="F718" t="str">
        <f>IF(Clients_Churn_Master[[#This Row],[Type_Forfait]]="Pro Monde","B2B","B2C")</f>
        <v>B2C</v>
      </c>
      <c r="G718" s="4">
        <f>Clients_Churn_Master[[#This Row],[Duree_Cumulee_Panne_Min]]/1440</f>
        <v>2.1527777777777778E-2</v>
      </c>
      <c r="H718" t="s">
        <v>560</v>
      </c>
      <c r="I718">
        <v>31</v>
      </c>
      <c r="J718" s="10">
        <v>67.040000000000006</v>
      </c>
      <c r="K718">
        <v>1</v>
      </c>
      <c r="L7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8" s="9">
        <f>Clients_Churn_Master[[#This Row],[Remise]]*Clients_Churn_Master[[#This Row],[Facture_Mensuelle]]</f>
        <v>0</v>
      </c>
    </row>
    <row r="719" spans="1:13" x14ac:dyDescent="0.25">
      <c r="A719" t="s">
        <v>1692</v>
      </c>
      <c r="B719" t="s">
        <v>1276</v>
      </c>
      <c r="C719" s="7">
        <f>Clients_Churn_Master[[#This Row],[Anciennete_Mois]]/12</f>
        <v>7.25</v>
      </c>
      <c r="D719" t="s">
        <v>43</v>
      </c>
      <c r="E719">
        <v>87</v>
      </c>
      <c r="F719" t="str">
        <f>IF(Clients_Churn_Master[[#This Row],[Type_Forfait]]="Pro Monde","B2B","B2C")</f>
        <v>B2C</v>
      </c>
      <c r="G719" s="4">
        <f>Clients_Churn_Master[[#This Row],[Duree_Cumulee_Panne_Min]]/1440</f>
        <v>0.34583333333333333</v>
      </c>
      <c r="H719" t="s">
        <v>560</v>
      </c>
      <c r="I719">
        <v>498</v>
      </c>
      <c r="J719" s="10">
        <v>61.57</v>
      </c>
      <c r="K719">
        <v>0</v>
      </c>
      <c r="L7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9" s="9">
        <f>Clients_Churn_Master[[#This Row],[Remise]]*Clients_Churn_Master[[#This Row],[Facture_Mensuelle]]</f>
        <v>27.706500000000002</v>
      </c>
    </row>
    <row r="720" spans="1:13" x14ac:dyDescent="0.25">
      <c r="A720" t="s">
        <v>1697</v>
      </c>
      <c r="B720" t="s">
        <v>1277</v>
      </c>
      <c r="C720" s="7">
        <f>Clients_Churn_Master[[#This Row],[Anciennete_Mois]]/12</f>
        <v>9.3333333333333339</v>
      </c>
      <c r="D720" t="s">
        <v>13</v>
      </c>
      <c r="E720">
        <v>112</v>
      </c>
      <c r="F720" t="str">
        <f>IF(Clients_Churn_Master[[#This Row],[Type_Forfait]]="Pro Monde","B2B","B2C")</f>
        <v>B2B</v>
      </c>
      <c r="G720" s="4">
        <f>Clients_Churn_Master[[#This Row],[Duree_Cumulee_Panne_Min]]/1440</f>
        <v>1.2500000000000001E-2</v>
      </c>
      <c r="H720" t="s">
        <v>558</v>
      </c>
      <c r="I720">
        <v>18</v>
      </c>
      <c r="J720" s="10">
        <v>27.33</v>
      </c>
      <c r="K720">
        <v>5</v>
      </c>
      <c r="L7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20" s="9">
        <f>Clients_Churn_Master[[#This Row],[Remise]]*Clients_Churn_Master[[#This Row],[Facture_Mensuelle]]</f>
        <v>2.7330000000000001</v>
      </c>
    </row>
    <row r="721" spans="1:13" x14ac:dyDescent="0.25">
      <c r="A721" t="s">
        <v>1698</v>
      </c>
      <c r="B721" t="s">
        <v>1278</v>
      </c>
      <c r="C721" s="7">
        <f>Clients_Churn_Master[[#This Row],[Anciennete_Mois]]/12</f>
        <v>8.0833333333333339</v>
      </c>
      <c r="D721" t="s">
        <v>96</v>
      </c>
      <c r="E721">
        <v>97</v>
      </c>
      <c r="F721" t="str">
        <f>IF(Clients_Churn_Master[[#This Row],[Type_Forfait]]="Pro Monde","B2B","B2C")</f>
        <v>B2C</v>
      </c>
      <c r="G721" s="4">
        <f>Clients_Churn_Master[[#This Row],[Duree_Cumulee_Panne_Min]]/1440</f>
        <v>0.20555555555555555</v>
      </c>
      <c r="H721" t="s">
        <v>564</v>
      </c>
      <c r="I721">
        <v>296</v>
      </c>
      <c r="J721" s="10">
        <v>10.87</v>
      </c>
      <c r="K721">
        <v>4</v>
      </c>
      <c r="L7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1" s="9">
        <f>Clients_Churn_Master[[#This Row],[Remise]]*Clients_Churn_Master[[#This Row],[Facture_Mensuelle]]</f>
        <v>4.8914999999999997</v>
      </c>
    </row>
    <row r="722" spans="1:13" x14ac:dyDescent="0.25">
      <c r="A722" t="s">
        <v>1692</v>
      </c>
      <c r="B722" t="s">
        <v>1279</v>
      </c>
      <c r="C722" s="7">
        <f>Clients_Churn_Master[[#This Row],[Anciennete_Mois]]/12</f>
        <v>1.1666666666666667</v>
      </c>
      <c r="D722" t="s">
        <v>34</v>
      </c>
      <c r="E722">
        <v>14</v>
      </c>
      <c r="F722" t="str">
        <f>IF(Clients_Churn_Master[[#This Row],[Type_Forfait]]="Pro Monde","B2B","B2C")</f>
        <v>B2B</v>
      </c>
      <c r="G722" s="4">
        <f>Clients_Churn_Master[[#This Row],[Duree_Cumulee_Panne_Min]]/1440</f>
        <v>0.21041666666666667</v>
      </c>
      <c r="H722" t="s">
        <v>558</v>
      </c>
      <c r="I722">
        <v>303</v>
      </c>
      <c r="J722" s="10">
        <v>61.43</v>
      </c>
      <c r="K722">
        <v>1</v>
      </c>
      <c r="L7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2" s="9">
        <f>Clients_Churn_Master[[#This Row],[Remise]]*Clients_Churn_Master[[#This Row],[Facture_Mensuelle]]</f>
        <v>27.6435</v>
      </c>
    </row>
    <row r="723" spans="1:13" x14ac:dyDescent="0.25">
      <c r="A723" t="s">
        <v>1690</v>
      </c>
      <c r="B723" t="s">
        <v>1280</v>
      </c>
      <c r="C723" s="7">
        <f>Clients_Churn_Master[[#This Row],[Anciennete_Mois]]/12</f>
        <v>8.6666666666666661</v>
      </c>
      <c r="D723" t="s">
        <v>21</v>
      </c>
      <c r="E723">
        <v>104</v>
      </c>
      <c r="F723" t="str">
        <f>IF(Clients_Churn_Master[[#This Row],[Type_Forfait]]="Pro Monde","B2B","B2C")</f>
        <v>B2C</v>
      </c>
      <c r="G723" s="4">
        <f>Clients_Churn_Master[[#This Row],[Duree_Cumulee_Panne_Min]]/1440</f>
        <v>4.7222222222222221E-2</v>
      </c>
      <c r="H723" t="s">
        <v>564</v>
      </c>
      <c r="I723">
        <v>68</v>
      </c>
      <c r="J723" s="10">
        <v>21.15</v>
      </c>
      <c r="K723">
        <v>2</v>
      </c>
      <c r="L7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23" s="9">
        <f>Clients_Churn_Master[[#This Row],[Remise]]*Clients_Churn_Master[[#This Row],[Facture_Mensuelle]]</f>
        <v>0</v>
      </c>
    </row>
    <row r="724" spans="1:13" x14ac:dyDescent="0.25">
      <c r="A724" t="s">
        <v>1695</v>
      </c>
      <c r="B724" t="s">
        <v>1281</v>
      </c>
      <c r="C724" s="7">
        <f>Clients_Churn_Master[[#This Row],[Anciennete_Mois]]/12</f>
        <v>3.1666666666666665</v>
      </c>
      <c r="D724" t="s">
        <v>137</v>
      </c>
      <c r="E724">
        <v>38</v>
      </c>
      <c r="F724" t="str">
        <f>IF(Clients_Churn_Master[[#This Row],[Type_Forfait]]="Pro Monde","B2B","B2C")</f>
        <v>B2C</v>
      </c>
      <c r="G724" s="4">
        <f>Clients_Churn_Master[[#This Row],[Duree_Cumulee_Panne_Min]]/1440</f>
        <v>0.3</v>
      </c>
      <c r="H724" t="s">
        <v>564</v>
      </c>
      <c r="I724">
        <v>432</v>
      </c>
      <c r="J724" s="10">
        <v>53.65</v>
      </c>
      <c r="K724">
        <v>4</v>
      </c>
      <c r="L7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4" s="9">
        <f>Clients_Churn_Master[[#This Row],[Remise]]*Clients_Churn_Master[[#This Row],[Facture_Mensuelle]]</f>
        <v>24.142499999999998</v>
      </c>
    </row>
    <row r="725" spans="1:13" x14ac:dyDescent="0.25">
      <c r="A725" t="s">
        <v>1702</v>
      </c>
      <c r="B725" t="s">
        <v>1282</v>
      </c>
      <c r="C725" s="7">
        <f>Clients_Churn_Master[[#This Row],[Anciennete_Mois]]/12</f>
        <v>7.583333333333333</v>
      </c>
      <c r="D725" t="s">
        <v>96</v>
      </c>
      <c r="E725">
        <v>91</v>
      </c>
      <c r="F725" t="str">
        <f>IF(Clients_Churn_Master[[#This Row],[Type_Forfait]]="Pro Monde","B2B","B2C")</f>
        <v>B2C</v>
      </c>
      <c r="G725" s="4">
        <f>Clients_Churn_Master[[#This Row],[Duree_Cumulee_Panne_Min]]/1440</f>
        <v>0.32430555555555557</v>
      </c>
      <c r="H725" t="s">
        <v>564</v>
      </c>
      <c r="I725">
        <v>467</v>
      </c>
      <c r="J725" s="10">
        <v>84.74</v>
      </c>
      <c r="K725">
        <v>1</v>
      </c>
      <c r="L7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5" s="9">
        <f>Clients_Churn_Master[[#This Row],[Remise]]*Clients_Churn_Master[[#This Row],[Facture_Mensuelle]]</f>
        <v>38.132999999999996</v>
      </c>
    </row>
    <row r="726" spans="1:13" x14ac:dyDescent="0.25">
      <c r="A726" t="s">
        <v>1697</v>
      </c>
      <c r="B726" t="s">
        <v>1283</v>
      </c>
      <c r="C726" s="7">
        <f>Clients_Churn_Master[[#This Row],[Anciennete_Mois]]/12</f>
        <v>1.1666666666666667</v>
      </c>
      <c r="D726" t="s">
        <v>30</v>
      </c>
      <c r="E726">
        <v>14</v>
      </c>
      <c r="F726" t="str">
        <f>IF(Clients_Churn_Master[[#This Row],[Type_Forfait]]="Pro Monde","B2B","B2C")</f>
        <v>B2C</v>
      </c>
      <c r="G726" s="4">
        <f>Clients_Churn_Master[[#This Row],[Duree_Cumulee_Panne_Min]]/1440</f>
        <v>0.28819444444444442</v>
      </c>
      <c r="H726" t="s">
        <v>556</v>
      </c>
      <c r="I726">
        <v>415</v>
      </c>
      <c r="J726" s="10">
        <v>36.93</v>
      </c>
      <c r="K726">
        <v>5</v>
      </c>
      <c r="L7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6" s="9">
        <f>Clients_Churn_Master[[#This Row],[Remise]]*Clients_Churn_Master[[#This Row],[Facture_Mensuelle]]</f>
        <v>16.618500000000001</v>
      </c>
    </row>
    <row r="727" spans="1:13" x14ac:dyDescent="0.25">
      <c r="A727" t="s">
        <v>1699</v>
      </c>
      <c r="B727" t="s">
        <v>1284</v>
      </c>
      <c r="C727" s="7">
        <f>Clients_Churn_Master[[#This Row],[Anciennete_Mois]]/12</f>
        <v>0.58333333333333337</v>
      </c>
      <c r="D727" t="s">
        <v>32</v>
      </c>
      <c r="E727">
        <v>7</v>
      </c>
      <c r="F727" t="str">
        <f>IF(Clients_Churn_Master[[#This Row],[Type_Forfait]]="Pro Monde","B2B","B2C")</f>
        <v>B2B</v>
      </c>
      <c r="G727" s="4">
        <f>Clients_Churn_Master[[#This Row],[Duree_Cumulee_Panne_Min]]/1440</f>
        <v>0.18611111111111112</v>
      </c>
      <c r="H727" t="s">
        <v>558</v>
      </c>
      <c r="I727">
        <v>268</v>
      </c>
      <c r="J727" s="10">
        <v>33.04</v>
      </c>
      <c r="K727">
        <v>5</v>
      </c>
      <c r="L7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7" s="9">
        <f>Clients_Churn_Master[[#This Row],[Remise]]*Clients_Churn_Master[[#This Row],[Facture_Mensuelle]]</f>
        <v>14.868</v>
      </c>
    </row>
    <row r="728" spans="1:13" x14ac:dyDescent="0.25">
      <c r="A728" t="s">
        <v>1691</v>
      </c>
      <c r="B728" t="s">
        <v>1285</v>
      </c>
      <c r="C728" s="7">
        <f>Clients_Churn_Master[[#This Row],[Anciennete_Mois]]/12</f>
        <v>7.75</v>
      </c>
      <c r="D728" t="s">
        <v>43</v>
      </c>
      <c r="E728">
        <v>93</v>
      </c>
      <c r="F728" t="str">
        <f>IF(Clients_Churn_Master[[#This Row],[Type_Forfait]]="Pro Monde","B2B","B2C")</f>
        <v>B2C</v>
      </c>
      <c r="G728" s="4">
        <f>Clients_Churn_Master[[#This Row],[Duree_Cumulee_Panne_Min]]/1440</f>
        <v>0.25347222222222221</v>
      </c>
      <c r="H728" t="s">
        <v>556</v>
      </c>
      <c r="I728">
        <v>365</v>
      </c>
      <c r="J728" s="10">
        <v>72.319999999999993</v>
      </c>
      <c r="K728">
        <v>1</v>
      </c>
      <c r="L7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8" s="9">
        <f>Clients_Churn_Master[[#This Row],[Remise]]*Clients_Churn_Master[[#This Row],[Facture_Mensuelle]]</f>
        <v>32.543999999999997</v>
      </c>
    </row>
    <row r="729" spans="1:13" x14ac:dyDescent="0.25">
      <c r="A729" t="s">
        <v>1702</v>
      </c>
      <c r="B729" t="s">
        <v>1286</v>
      </c>
      <c r="C729" s="7">
        <f>Clients_Churn_Master[[#This Row],[Anciennete_Mois]]/12</f>
        <v>2.5</v>
      </c>
      <c r="D729" t="s">
        <v>76</v>
      </c>
      <c r="E729">
        <v>30</v>
      </c>
      <c r="F729" t="str">
        <f>IF(Clients_Churn_Master[[#This Row],[Type_Forfait]]="Pro Monde","B2B","B2C")</f>
        <v>B2C</v>
      </c>
      <c r="G729" s="4">
        <f>Clients_Churn_Master[[#This Row],[Duree_Cumulee_Panne_Min]]/1440</f>
        <v>0.13680555555555557</v>
      </c>
      <c r="H729" t="s">
        <v>564</v>
      </c>
      <c r="I729">
        <v>197</v>
      </c>
      <c r="J729" s="10">
        <v>15.42</v>
      </c>
      <c r="K729">
        <v>0</v>
      </c>
      <c r="L7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9" s="9">
        <f>Clients_Churn_Master[[#This Row],[Remise]]*Clients_Churn_Master[[#This Row],[Facture_Mensuelle]]</f>
        <v>6.9390000000000001</v>
      </c>
    </row>
    <row r="730" spans="1:13" x14ac:dyDescent="0.25">
      <c r="A730" t="s">
        <v>1696</v>
      </c>
      <c r="B730" t="s">
        <v>1287</v>
      </c>
      <c r="C730" s="7">
        <f>Clients_Churn_Master[[#This Row],[Anciennete_Mois]]/12</f>
        <v>4.833333333333333</v>
      </c>
      <c r="D730" t="s">
        <v>43</v>
      </c>
      <c r="E730">
        <v>58</v>
      </c>
      <c r="F730" t="str">
        <f>IF(Clients_Churn_Master[[#This Row],[Type_Forfait]]="Pro Monde","B2B","B2C")</f>
        <v>B2C</v>
      </c>
      <c r="G730" s="4">
        <f>Clients_Churn_Master[[#This Row],[Duree_Cumulee_Panne_Min]]/1440</f>
        <v>0.33680555555555558</v>
      </c>
      <c r="H730" t="s">
        <v>564</v>
      </c>
      <c r="I730">
        <v>485</v>
      </c>
      <c r="J730" s="10">
        <v>65.41</v>
      </c>
      <c r="K730">
        <v>5</v>
      </c>
      <c r="L7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0" s="9">
        <f>Clients_Churn_Master[[#This Row],[Remise]]*Clients_Churn_Master[[#This Row],[Facture_Mensuelle]]</f>
        <v>29.4345</v>
      </c>
    </row>
    <row r="731" spans="1:13" x14ac:dyDescent="0.25">
      <c r="A731" t="s">
        <v>1691</v>
      </c>
      <c r="B731" t="s">
        <v>1288</v>
      </c>
      <c r="C731" s="7">
        <f>Clients_Churn_Master[[#This Row],[Anciennete_Mois]]/12</f>
        <v>9.4166666666666661</v>
      </c>
      <c r="D731" t="s">
        <v>85</v>
      </c>
      <c r="E731">
        <v>113</v>
      </c>
      <c r="F731" t="str">
        <f>IF(Clients_Churn_Master[[#This Row],[Type_Forfait]]="Pro Monde","B2B","B2C")</f>
        <v>B2C</v>
      </c>
      <c r="G731" s="4">
        <f>Clients_Churn_Master[[#This Row],[Duree_Cumulee_Panne_Min]]/1440</f>
        <v>0.17083333333333334</v>
      </c>
      <c r="H731" t="s">
        <v>564</v>
      </c>
      <c r="I731">
        <v>246</v>
      </c>
      <c r="J731" s="10">
        <v>29.18</v>
      </c>
      <c r="K731">
        <v>2</v>
      </c>
      <c r="L7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1" s="9">
        <f>Clients_Churn_Master[[#This Row],[Remise]]*Clients_Churn_Master[[#This Row],[Facture_Mensuelle]]</f>
        <v>13.131</v>
      </c>
    </row>
    <row r="732" spans="1:13" x14ac:dyDescent="0.25">
      <c r="A732" t="s">
        <v>1693</v>
      </c>
      <c r="B732" t="s">
        <v>1289</v>
      </c>
      <c r="C732" s="7">
        <f>Clients_Churn_Master[[#This Row],[Anciennete_Mois]]/12</f>
        <v>1.5833333333333333</v>
      </c>
      <c r="D732" t="s">
        <v>27</v>
      </c>
      <c r="E732">
        <v>19</v>
      </c>
      <c r="F732" t="str">
        <f>IF(Clients_Churn_Master[[#This Row],[Type_Forfait]]="Pro Monde","B2B","B2C")</f>
        <v>B2C</v>
      </c>
      <c r="G732" s="4">
        <f>Clients_Churn_Master[[#This Row],[Duree_Cumulee_Panne_Min]]/1440</f>
        <v>9.7916666666666666E-2</v>
      </c>
      <c r="H732" t="s">
        <v>556</v>
      </c>
      <c r="I732">
        <v>141</v>
      </c>
      <c r="J732" s="10">
        <v>53.95</v>
      </c>
      <c r="K732">
        <v>1</v>
      </c>
      <c r="L7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32" s="9">
        <f>Clients_Churn_Master[[#This Row],[Remise]]*Clients_Churn_Master[[#This Row],[Facture_Mensuelle]]</f>
        <v>0</v>
      </c>
    </row>
    <row r="733" spans="1:13" x14ac:dyDescent="0.25">
      <c r="A733" t="s">
        <v>1688</v>
      </c>
      <c r="B733" t="s">
        <v>1290</v>
      </c>
      <c r="C733" s="7">
        <f>Clients_Churn_Master[[#This Row],[Anciennete_Mois]]/12</f>
        <v>2.75</v>
      </c>
      <c r="D733" t="s">
        <v>93</v>
      </c>
      <c r="E733">
        <v>33</v>
      </c>
      <c r="F733" t="str">
        <f>IF(Clients_Churn_Master[[#This Row],[Type_Forfait]]="Pro Monde","B2B","B2C")</f>
        <v>B2C</v>
      </c>
      <c r="G733" s="4">
        <f>Clients_Churn_Master[[#This Row],[Duree_Cumulee_Panne_Min]]/1440</f>
        <v>0.23055555555555557</v>
      </c>
      <c r="H733" t="s">
        <v>556</v>
      </c>
      <c r="I733">
        <v>332</v>
      </c>
      <c r="J733" s="10">
        <v>76.41</v>
      </c>
      <c r="K733">
        <v>1</v>
      </c>
      <c r="L7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3" s="9">
        <f>Clients_Churn_Master[[#This Row],[Remise]]*Clients_Churn_Master[[#This Row],[Facture_Mensuelle]]</f>
        <v>34.384500000000003</v>
      </c>
    </row>
    <row r="734" spans="1:13" x14ac:dyDescent="0.25">
      <c r="A734" t="s">
        <v>1700</v>
      </c>
      <c r="B734" t="s">
        <v>1291</v>
      </c>
      <c r="C734" s="7">
        <f>Clients_Churn_Master[[#This Row],[Anciennete_Mois]]/12</f>
        <v>8.5833333333333339</v>
      </c>
      <c r="D734" t="s">
        <v>30</v>
      </c>
      <c r="E734">
        <v>103</v>
      </c>
      <c r="F734" t="str">
        <f>IF(Clients_Churn_Master[[#This Row],[Type_Forfait]]="Pro Monde","B2B","B2C")</f>
        <v>B2C</v>
      </c>
      <c r="G734" s="4">
        <f>Clients_Churn_Master[[#This Row],[Duree_Cumulee_Panne_Min]]/1440</f>
        <v>6.805555555555555E-2</v>
      </c>
      <c r="H734" t="s">
        <v>556</v>
      </c>
      <c r="I734">
        <v>98</v>
      </c>
      <c r="J734" s="10">
        <v>38.69</v>
      </c>
      <c r="K734">
        <v>4</v>
      </c>
      <c r="L7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34" s="9">
        <f>Clients_Churn_Master[[#This Row],[Remise]]*Clients_Churn_Master[[#This Row],[Facture_Mensuelle]]</f>
        <v>0</v>
      </c>
    </row>
    <row r="735" spans="1:13" x14ac:dyDescent="0.25">
      <c r="A735" t="s">
        <v>1697</v>
      </c>
      <c r="B735" t="s">
        <v>1292</v>
      </c>
      <c r="C735" s="7">
        <f>Clients_Churn_Master[[#This Row],[Anciennete_Mois]]/12</f>
        <v>6</v>
      </c>
      <c r="D735" t="s">
        <v>47</v>
      </c>
      <c r="E735">
        <v>72</v>
      </c>
      <c r="F735" t="str">
        <f>IF(Clients_Churn_Master[[#This Row],[Type_Forfait]]="Pro Monde","B2B","B2C")</f>
        <v>B2C</v>
      </c>
      <c r="G735" s="4">
        <f>Clients_Churn_Master[[#This Row],[Duree_Cumulee_Panne_Min]]/1440</f>
        <v>0.23055555555555557</v>
      </c>
      <c r="H735" t="s">
        <v>556</v>
      </c>
      <c r="I735">
        <v>332</v>
      </c>
      <c r="J735" s="10">
        <v>83.36</v>
      </c>
      <c r="K735">
        <v>4</v>
      </c>
      <c r="L7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5" s="9">
        <f>Clients_Churn_Master[[#This Row],[Remise]]*Clients_Churn_Master[[#This Row],[Facture_Mensuelle]]</f>
        <v>37.512</v>
      </c>
    </row>
    <row r="736" spans="1:13" x14ac:dyDescent="0.25">
      <c r="A736" t="s">
        <v>1698</v>
      </c>
      <c r="B736" t="s">
        <v>1293</v>
      </c>
      <c r="C736" s="7">
        <f>Clients_Churn_Master[[#This Row],[Anciennete_Mois]]/12</f>
        <v>1.9166666666666667</v>
      </c>
      <c r="D736" t="s">
        <v>32</v>
      </c>
      <c r="E736">
        <v>23</v>
      </c>
      <c r="F736" t="str">
        <f>IF(Clients_Churn_Master[[#This Row],[Type_Forfait]]="Pro Monde","B2B","B2C")</f>
        <v>B2B</v>
      </c>
      <c r="G736" s="4">
        <f>Clients_Churn_Master[[#This Row],[Duree_Cumulee_Panne_Min]]/1440</f>
        <v>0.18194444444444444</v>
      </c>
      <c r="H736" t="s">
        <v>558</v>
      </c>
      <c r="I736">
        <v>262</v>
      </c>
      <c r="J736" s="10">
        <v>46.3</v>
      </c>
      <c r="K736">
        <v>1</v>
      </c>
      <c r="L7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6" s="9">
        <f>Clients_Churn_Master[[#This Row],[Remise]]*Clients_Churn_Master[[#This Row],[Facture_Mensuelle]]</f>
        <v>20.835000000000001</v>
      </c>
    </row>
    <row r="737" spans="1:13" x14ac:dyDescent="0.25">
      <c r="A737" t="s">
        <v>1697</v>
      </c>
      <c r="B737" t="s">
        <v>1294</v>
      </c>
      <c r="C737" s="7">
        <f>Clients_Churn_Master[[#This Row],[Anciennete_Mois]]/12</f>
        <v>7.583333333333333</v>
      </c>
      <c r="D737" t="s">
        <v>43</v>
      </c>
      <c r="E737">
        <v>91</v>
      </c>
      <c r="F737" t="str">
        <f>IF(Clients_Churn_Master[[#This Row],[Type_Forfait]]="Pro Monde","B2B","B2C")</f>
        <v>B2B</v>
      </c>
      <c r="G737" s="4">
        <f>Clients_Churn_Master[[#This Row],[Duree_Cumulee_Panne_Min]]/1440</f>
        <v>0.24861111111111112</v>
      </c>
      <c r="H737" t="s">
        <v>558</v>
      </c>
      <c r="I737">
        <v>358</v>
      </c>
      <c r="J737" s="10">
        <v>21.14</v>
      </c>
      <c r="K737">
        <v>5</v>
      </c>
      <c r="L7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7" s="9">
        <f>Clients_Churn_Master[[#This Row],[Remise]]*Clients_Churn_Master[[#This Row],[Facture_Mensuelle]]</f>
        <v>9.5129999999999999</v>
      </c>
    </row>
    <row r="738" spans="1:13" x14ac:dyDescent="0.25">
      <c r="A738" t="s">
        <v>1695</v>
      </c>
      <c r="B738" t="s">
        <v>1295</v>
      </c>
      <c r="C738" s="7">
        <f>Clients_Churn_Master[[#This Row],[Anciennete_Mois]]/12</f>
        <v>5.416666666666667</v>
      </c>
      <c r="D738" t="s">
        <v>37</v>
      </c>
      <c r="E738">
        <v>65</v>
      </c>
      <c r="F738" t="str">
        <f>IF(Clients_Churn_Master[[#This Row],[Type_Forfait]]="Pro Monde","B2B","B2C")</f>
        <v>B2B</v>
      </c>
      <c r="G738" s="4">
        <f>Clients_Churn_Master[[#This Row],[Duree_Cumulee_Panne_Min]]/1440</f>
        <v>0.17083333333333334</v>
      </c>
      <c r="H738" t="s">
        <v>558</v>
      </c>
      <c r="I738">
        <v>246</v>
      </c>
      <c r="J738" s="10">
        <v>69.17</v>
      </c>
      <c r="K738">
        <v>0</v>
      </c>
      <c r="L7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8" s="9">
        <f>Clients_Churn_Master[[#This Row],[Remise]]*Clients_Churn_Master[[#This Row],[Facture_Mensuelle]]</f>
        <v>31.1265</v>
      </c>
    </row>
    <row r="739" spans="1:13" x14ac:dyDescent="0.25">
      <c r="A739" t="s">
        <v>1696</v>
      </c>
      <c r="B739" t="s">
        <v>1296</v>
      </c>
      <c r="C739" s="7">
        <f>Clients_Churn_Master[[#This Row],[Anciennete_Mois]]/12</f>
        <v>0.83333333333333337</v>
      </c>
      <c r="D739" t="s">
        <v>17</v>
      </c>
      <c r="E739">
        <v>10</v>
      </c>
      <c r="F739" t="str">
        <f>IF(Clients_Churn_Master[[#This Row],[Type_Forfait]]="Pro Monde","B2B","B2C")</f>
        <v>B2C</v>
      </c>
      <c r="G739" s="4">
        <f>Clients_Churn_Master[[#This Row],[Duree_Cumulee_Panne_Min]]/1440</f>
        <v>0.2902777777777778</v>
      </c>
      <c r="H739" t="s">
        <v>560</v>
      </c>
      <c r="I739">
        <v>418</v>
      </c>
      <c r="J739" s="10">
        <v>27.66</v>
      </c>
      <c r="K739">
        <v>2</v>
      </c>
      <c r="L7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9" s="9">
        <f>Clients_Churn_Master[[#This Row],[Remise]]*Clients_Churn_Master[[#This Row],[Facture_Mensuelle]]</f>
        <v>12.447000000000001</v>
      </c>
    </row>
    <row r="740" spans="1:13" x14ac:dyDescent="0.25">
      <c r="A740" t="s">
        <v>1701</v>
      </c>
      <c r="B740" t="s">
        <v>1297</v>
      </c>
      <c r="C740" s="7">
        <f>Clients_Churn_Master[[#This Row],[Anciennete_Mois]]/12</f>
        <v>0.83333333333333337</v>
      </c>
      <c r="D740" t="s">
        <v>137</v>
      </c>
      <c r="E740">
        <v>10</v>
      </c>
      <c r="F740" t="str">
        <f>IF(Clients_Churn_Master[[#This Row],[Type_Forfait]]="Pro Monde","B2B","B2C")</f>
        <v>B2B</v>
      </c>
      <c r="G740" s="4">
        <f>Clients_Churn_Master[[#This Row],[Duree_Cumulee_Panne_Min]]/1440</f>
        <v>8.9583333333333334E-2</v>
      </c>
      <c r="H740" t="s">
        <v>558</v>
      </c>
      <c r="I740">
        <v>129</v>
      </c>
      <c r="J740" s="10">
        <v>70.12</v>
      </c>
      <c r="K740">
        <v>0</v>
      </c>
      <c r="L7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40" s="9">
        <f>Clients_Churn_Master[[#This Row],[Remise]]*Clients_Churn_Master[[#This Row],[Facture_Mensuelle]]</f>
        <v>7.0120000000000005</v>
      </c>
    </row>
    <row r="741" spans="1:13" x14ac:dyDescent="0.25">
      <c r="A741" t="s">
        <v>1701</v>
      </c>
      <c r="B741" t="s">
        <v>1298</v>
      </c>
      <c r="C741" s="7">
        <f>Clients_Churn_Master[[#This Row],[Anciennete_Mois]]/12</f>
        <v>6.666666666666667</v>
      </c>
      <c r="D741" t="s">
        <v>49</v>
      </c>
      <c r="E741">
        <v>80</v>
      </c>
      <c r="F741" t="str">
        <f>IF(Clients_Churn_Master[[#This Row],[Type_Forfait]]="Pro Monde","B2B","B2C")</f>
        <v>B2C</v>
      </c>
      <c r="G741" s="4">
        <f>Clients_Churn_Master[[#This Row],[Duree_Cumulee_Panne_Min]]/1440</f>
        <v>7.013888888888889E-2</v>
      </c>
      <c r="H741" t="s">
        <v>560</v>
      </c>
      <c r="I741">
        <v>101</v>
      </c>
      <c r="J741" s="10">
        <v>61.92</v>
      </c>
      <c r="K741">
        <v>4</v>
      </c>
      <c r="L7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41" s="9">
        <f>Clients_Churn_Master[[#This Row],[Remise]]*Clients_Churn_Master[[#This Row],[Facture_Mensuelle]]</f>
        <v>0</v>
      </c>
    </row>
    <row r="742" spans="1:13" x14ac:dyDescent="0.25">
      <c r="A742" t="s">
        <v>1698</v>
      </c>
      <c r="B742" t="s">
        <v>1299</v>
      </c>
      <c r="C742" s="7">
        <f>Clients_Churn_Master[[#This Row],[Anciennete_Mois]]/12</f>
        <v>5.083333333333333</v>
      </c>
      <c r="D742" t="s">
        <v>52</v>
      </c>
      <c r="E742">
        <v>61</v>
      </c>
      <c r="F742" t="str">
        <f>IF(Clients_Churn_Master[[#This Row],[Type_Forfait]]="Pro Monde","B2B","B2C")</f>
        <v>B2C</v>
      </c>
      <c r="G742" s="4">
        <f>Clients_Churn_Master[[#This Row],[Duree_Cumulee_Panne_Min]]/1440</f>
        <v>0.26597222222222222</v>
      </c>
      <c r="H742" t="s">
        <v>556</v>
      </c>
      <c r="I742">
        <v>383</v>
      </c>
      <c r="J742" s="10">
        <v>39.72</v>
      </c>
      <c r="K742">
        <v>4</v>
      </c>
      <c r="L7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2" s="9">
        <f>Clients_Churn_Master[[#This Row],[Remise]]*Clients_Churn_Master[[#This Row],[Facture_Mensuelle]]</f>
        <v>17.873999999999999</v>
      </c>
    </row>
    <row r="743" spans="1:13" x14ac:dyDescent="0.25">
      <c r="A743" t="s">
        <v>1691</v>
      </c>
      <c r="B743" t="s">
        <v>1300</v>
      </c>
      <c r="C743" s="7">
        <f>Clients_Churn_Master[[#This Row],[Anciennete_Mois]]/12</f>
        <v>8.3333333333333329E-2</v>
      </c>
      <c r="D743" t="s">
        <v>55</v>
      </c>
      <c r="E743">
        <v>1</v>
      </c>
      <c r="F743" t="str">
        <f>IF(Clients_Churn_Master[[#This Row],[Type_Forfait]]="Pro Monde","B2B","B2C")</f>
        <v>B2C</v>
      </c>
      <c r="G743" s="4">
        <f>Clients_Churn_Master[[#This Row],[Duree_Cumulee_Panne_Min]]/1440</f>
        <v>0.16458333333333333</v>
      </c>
      <c r="H743" t="s">
        <v>556</v>
      </c>
      <c r="I743">
        <v>237</v>
      </c>
      <c r="J743" s="10">
        <v>58.7</v>
      </c>
      <c r="K743">
        <v>4</v>
      </c>
      <c r="L7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43" s="9">
        <f>Clients_Churn_Master[[#This Row],[Remise]]*Clients_Churn_Master[[#This Row],[Facture_Mensuelle]]</f>
        <v>0</v>
      </c>
    </row>
    <row r="744" spans="1:13" x14ac:dyDescent="0.25">
      <c r="A744" t="s">
        <v>1699</v>
      </c>
      <c r="B744" t="s">
        <v>1301</v>
      </c>
      <c r="C744" s="7">
        <f>Clients_Churn_Master[[#This Row],[Anciennete_Mois]]/12</f>
        <v>9.25</v>
      </c>
      <c r="D744" t="s">
        <v>52</v>
      </c>
      <c r="E744">
        <v>111</v>
      </c>
      <c r="F744" t="str">
        <f>IF(Clients_Churn_Master[[#This Row],[Type_Forfait]]="Pro Monde","B2B","B2C")</f>
        <v>B2B</v>
      </c>
      <c r="G744" s="4">
        <f>Clients_Churn_Master[[#This Row],[Duree_Cumulee_Panne_Min]]/1440</f>
        <v>0.31041666666666667</v>
      </c>
      <c r="H744" t="s">
        <v>558</v>
      </c>
      <c r="I744">
        <v>447</v>
      </c>
      <c r="J744" s="10">
        <v>51.35</v>
      </c>
      <c r="K744">
        <v>0</v>
      </c>
      <c r="L7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4" s="9">
        <f>Clients_Churn_Master[[#This Row],[Remise]]*Clients_Churn_Master[[#This Row],[Facture_Mensuelle]]</f>
        <v>23.107500000000002</v>
      </c>
    </row>
    <row r="745" spans="1:13" x14ac:dyDescent="0.25">
      <c r="A745" t="s">
        <v>1689</v>
      </c>
      <c r="B745" t="s">
        <v>1302</v>
      </c>
      <c r="C745" s="7">
        <f>Clients_Churn_Master[[#This Row],[Anciennete_Mois]]/12</f>
        <v>8.3333333333333339</v>
      </c>
      <c r="D745" t="s">
        <v>13</v>
      </c>
      <c r="E745">
        <v>100</v>
      </c>
      <c r="F745" t="str">
        <f>IF(Clients_Churn_Master[[#This Row],[Type_Forfait]]="Pro Monde","B2B","B2C")</f>
        <v>B2C</v>
      </c>
      <c r="G745" s="4">
        <f>Clients_Churn_Master[[#This Row],[Duree_Cumulee_Panne_Min]]/1440</f>
        <v>0.16666666666666666</v>
      </c>
      <c r="H745" t="s">
        <v>560</v>
      </c>
      <c r="I745">
        <v>240</v>
      </c>
      <c r="J745" s="10">
        <v>24.83</v>
      </c>
      <c r="K745">
        <v>4</v>
      </c>
      <c r="L7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5" s="9">
        <f>Clients_Churn_Master[[#This Row],[Remise]]*Clients_Churn_Master[[#This Row],[Facture_Mensuelle]]</f>
        <v>11.173499999999999</v>
      </c>
    </row>
    <row r="746" spans="1:13" x14ac:dyDescent="0.25">
      <c r="A746" t="s">
        <v>1689</v>
      </c>
      <c r="B746" t="s">
        <v>1303</v>
      </c>
      <c r="C746" s="7">
        <f>Clients_Churn_Master[[#This Row],[Anciennete_Mois]]/12</f>
        <v>1.6666666666666667</v>
      </c>
      <c r="D746" t="s">
        <v>13</v>
      </c>
      <c r="E746">
        <v>20</v>
      </c>
      <c r="F746" t="str">
        <f>IF(Clients_Churn_Master[[#This Row],[Type_Forfait]]="Pro Monde","B2B","B2C")</f>
        <v>B2C</v>
      </c>
      <c r="G746" s="4">
        <f>Clients_Churn_Master[[#This Row],[Duree_Cumulee_Panne_Min]]/1440</f>
        <v>0.15069444444444444</v>
      </c>
      <c r="H746" t="s">
        <v>560</v>
      </c>
      <c r="I746">
        <v>217</v>
      </c>
      <c r="J746" s="10">
        <v>55.3</v>
      </c>
      <c r="K746">
        <v>4</v>
      </c>
      <c r="L7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46" s="9">
        <f>Clients_Churn_Master[[#This Row],[Remise]]*Clients_Churn_Master[[#This Row],[Facture_Mensuelle]]</f>
        <v>0</v>
      </c>
    </row>
    <row r="747" spans="1:13" x14ac:dyDescent="0.25">
      <c r="A747" t="s">
        <v>1696</v>
      </c>
      <c r="B747" t="s">
        <v>1304</v>
      </c>
      <c r="C747" s="7">
        <f>Clients_Churn_Master[[#This Row],[Anciennete_Mois]]/12</f>
        <v>0.41666666666666669</v>
      </c>
      <c r="D747" t="s">
        <v>30</v>
      </c>
      <c r="E747">
        <v>5</v>
      </c>
      <c r="F747" t="str">
        <f>IF(Clients_Churn_Master[[#This Row],[Type_Forfait]]="Pro Monde","B2B","B2C")</f>
        <v>B2C</v>
      </c>
      <c r="G747" s="4">
        <f>Clients_Churn_Master[[#This Row],[Duree_Cumulee_Panne_Min]]/1440</f>
        <v>4.9305555555555554E-2</v>
      </c>
      <c r="H747" t="s">
        <v>564</v>
      </c>
      <c r="I747">
        <v>71</v>
      </c>
      <c r="J747" s="10">
        <v>93.81</v>
      </c>
      <c r="K747">
        <v>3</v>
      </c>
      <c r="L7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7" s="9">
        <f>Clients_Churn_Master[[#This Row],[Remise]]*Clients_Churn_Master[[#This Row],[Facture_Mensuelle]]</f>
        <v>42.214500000000001</v>
      </c>
    </row>
    <row r="748" spans="1:13" x14ac:dyDescent="0.25">
      <c r="A748" t="s">
        <v>1695</v>
      </c>
      <c r="B748" t="s">
        <v>1305</v>
      </c>
      <c r="C748" s="7">
        <f>Clients_Churn_Master[[#This Row],[Anciennete_Mois]]/12</f>
        <v>0.58333333333333337</v>
      </c>
      <c r="D748" t="s">
        <v>21</v>
      </c>
      <c r="E748">
        <v>7</v>
      </c>
      <c r="F748" t="str">
        <f>IF(Clients_Churn_Master[[#This Row],[Type_Forfait]]="Pro Monde","B2B","B2C")</f>
        <v>B2B</v>
      </c>
      <c r="G748" s="4">
        <f>Clients_Churn_Master[[#This Row],[Duree_Cumulee_Panne_Min]]/1440</f>
        <v>0.23055555555555557</v>
      </c>
      <c r="H748" t="s">
        <v>558</v>
      </c>
      <c r="I748">
        <v>332</v>
      </c>
      <c r="J748" s="10">
        <v>83.95</v>
      </c>
      <c r="K748">
        <v>4</v>
      </c>
      <c r="L7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8" s="9">
        <f>Clients_Churn_Master[[#This Row],[Remise]]*Clients_Churn_Master[[#This Row],[Facture_Mensuelle]]</f>
        <v>37.777500000000003</v>
      </c>
    </row>
    <row r="749" spans="1:13" x14ac:dyDescent="0.25">
      <c r="A749" t="s">
        <v>1699</v>
      </c>
      <c r="B749" t="s">
        <v>1306</v>
      </c>
      <c r="C749" s="7">
        <f>Clients_Churn_Master[[#This Row],[Anciennete_Mois]]/12</f>
        <v>3.9166666666666665</v>
      </c>
      <c r="D749" t="s">
        <v>43</v>
      </c>
      <c r="E749">
        <v>47</v>
      </c>
      <c r="F749" t="str">
        <f>IF(Clients_Churn_Master[[#This Row],[Type_Forfait]]="Pro Monde","B2B","B2C")</f>
        <v>B2B</v>
      </c>
      <c r="G749" s="4">
        <f>Clients_Churn_Master[[#This Row],[Duree_Cumulee_Panne_Min]]/1440</f>
        <v>0.10347222222222222</v>
      </c>
      <c r="H749" t="s">
        <v>558</v>
      </c>
      <c r="I749">
        <v>149</v>
      </c>
      <c r="J749" s="10">
        <v>28.35</v>
      </c>
      <c r="K749">
        <v>1</v>
      </c>
      <c r="L7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49" s="9">
        <f>Clients_Churn_Master[[#This Row],[Remise]]*Clients_Churn_Master[[#This Row],[Facture_Mensuelle]]</f>
        <v>2.8350000000000004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63EB-27DD-44F5-8416-A1F862A6C169}">
  <sheetPr>
    <tabColor rgb="FFFFFF00"/>
  </sheetPr>
  <dimension ref="A1:E1069"/>
  <sheetViews>
    <sheetView topLeftCell="A22" workbookViewId="0">
      <selection activeCell="A2" sqref="A2"/>
    </sheetView>
  </sheetViews>
  <sheetFormatPr baseColWidth="10" defaultRowHeight="15" x14ac:dyDescent="0.25"/>
  <cols>
    <col min="1" max="1" width="23.7109375" bestFit="1" customWidth="1"/>
    <col min="2" max="2" width="20.5703125" bestFit="1" customWidth="1"/>
    <col min="3" max="3" width="9.85546875" bestFit="1" customWidth="1"/>
    <col min="4" max="5" width="19.5703125" bestFit="1" customWidth="1"/>
  </cols>
  <sheetData>
    <row r="1" spans="1:5" x14ac:dyDescent="0.25">
      <c r="A1" t="s">
        <v>0</v>
      </c>
      <c r="B1" t="s">
        <v>1307</v>
      </c>
      <c r="C1" t="s">
        <v>1308</v>
      </c>
      <c r="D1" t="s">
        <v>1309</v>
      </c>
      <c r="E1" t="s">
        <v>1310</v>
      </c>
    </row>
    <row r="2" spans="1:5" x14ac:dyDescent="0.25">
      <c r="A2" t="s">
        <v>1313</v>
      </c>
      <c r="B2" s="1">
        <v>45203.517361111109</v>
      </c>
      <c r="C2" t="s">
        <v>428</v>
      </c>
      <c r="D2">
        <v>26</v>
      </c>
      <c r="E2" t="s">
        <v>1314</v>
      </c>
    </row>
    <row r="3" spans="1:5" x14ac:dyDescent="0.25">
      <c r="A3" t="s">
        <v>1311</v>
      </c>
      <c r="B3" s="1">
        <v>45205.013888888891</v>
      </c>
      <c r="C3" t="s">
        <v>428</v>
      </c>
      <c r="D3">
        <v>35</v>
      </c>
      <c r="E3" t="s">
        <v>1312</v>
      </c>
    </row>
    <row r="4" spans="1:5" x14ac:dyDescent="0.25">
      <c r="A4" t="s">
        <v>1315</v>
      </c>
      <c r="B4" s="1">
        <v>45211.279166666667</v>
      </c>
      <c r="C4" t="s">
        <v>428</v>
      </c>
      <c r="D4">
        <v>75</v>
      </c>
      <c r="E4" t="s">
        <v>1314</v>
      </c>
    </row>
    <row r="5" spans="1:5" x14ac:dyDescent="0.25">
      <c r="A5" t="s">
        <v>1316</v>
      </c>
      <c r="B5" s="1">
        <v>45224.568055555559</v>
      </c>
      <c r="C5" t="s">
        <v>298</v>
      </c>
      <c r="D5">
        <v>27</v>
      </c>
      <c r="E5" t="s">
        <v>1314</v>
      </c>
    </row>
    <row r="6" spans="1:5" x14ac:dyDescent="0.25">
      <c r="A6" t="s">
        <v>1318</v>
      </c>
      <c r="B6" s="1">
        <v>45216.950694444444</v>
      </c>
      <c r="C6" t="s">
        <v>1317</v>
      </c>
      <c r="D6">
        <v>12</v>
      </c>
      <c r="E6" t="s">
        <v>1314</v>
      </c>
    </row>
    <row r="7" spans="1:5" x14ac:dyDescent="0.25">
      <c r="A7" t="s">
        <v>1315</v>
      </c>
      <c r="B7" s="1">
        <v>45208.301388888889</v>
      </c>
      <c r="C7" t="s">
        <v>1317</v>
      </c>
      <c r="D7">
        <v>38</v>
      </c>
      <c r="E7" t="s">
        <v>1314</v>
      </c>
    </row>
    <row r="8" spans="1:5" x14ac:dyDescent="0.25">
      <c r="A8" t="s">
        <v>1319</v>
      </c>
      <c r="B8" s="1">
        <v>45226.003472222219</v>
      </c>
      <c r="C8" t="s">
        <v>1317</v>
      </c>
      <c r="D8">
        <v>111</v>
      </c>
      <c r="E8" t="s">
        <v>1314</v>
      </c>
    </row>
    <row r="9" spans="1:5" x14ac:dyDescent="0.25">
      <c r="A9" t="s">
        <v>1322</v>
      </c>
      <c r="B9" s="1">
        <v>45230.429166666669</v>
      </c>
      <c r="C9" t="s">
        <v>329</v>
      </c>
      <c r="D9">
        <v>11</v>
      </c>
      <c r="E9" t="s">
        <v>1321</v>
      </c>
    </row>
    <row r="10" spans="1:5" x14ac:dyDescent="0.25">
      <c r="A10" t="s">
        <v>1320</v>
      </c>
      <c r="B10" s="1">
        <v>45230.868055555555</v>
      </c>
      <c r="C10" t="s">
        <v>329</v>
      </c>
      <c r="D10">
        <v>103</v>
      </c>
      <c r="E10" t="s">
        <v>1321</v>
      </c>
    </row>
    <row r="11" spans="1:5" x14ac:dyDescent="0.25">
      <c r="A11" t="s">
        <v>1323</v>
      </c>
      <c r="B11" s="1">
        <v>45221.565972222219</v>
      </c>
      <c r="C11" t="s">
        <v>180</v>
      </c>
      <c r="D11">
        <v>87</v>
      </c>
      <c r="E11" t="s">
        <v>1312</v>
      </c>
    </row>
    <row r="12" spans="1:5" x14ac:dyDescent="0.25">
      <c r="A12" t="s">
        <v>1324</v>
      </c>
      <c r="B12" s="1">
        <v>45222.501388888886</v>
      </c>
      <c r="C12" t="s">
        <v>330</v>
      </c>
      <c r="D12">
        <v>39</v>
      </c>
      <c r="E12" t="s">
        <v>1314</v>
      </c>
    </row>
    <row r="13" spans="1:5" x14ac:dyDescent="0.25">
      <c r="A13" t="s">
        <v>1325</v>
      </c>
      <c r="B13" s="1">
        <v>45210.835416666669</v>
      </c>
      <c r="C13" t="s">
        <v>491</v>
      </c>
      <c r="D13">
        <v>80</v>
      </c>
      <c r="E13" t="s">
        <v>1312</v>
      </c>
    </row>
    <row r="14" spans="1:5" x14ac:dyDescent="0.25">
      <c r="A14" t="s">
        <v>1319</v>
      </c>
      <c r="B14" s="1">
        <v>45223.418749999997</v>
      </c>
      <c r="C14" t="s">
        <v>491</v>
      </c>
      <c r="D14">
        <v>89</v>
      </c>
      <c r="E14" t="s">
        <v>1314</v>
      </c>
    </row>
    <row r="15" spans="1:5" x14ac:dyDescent="0.25">
      <c r="A15" t="s">
        <v>1326</v>
      </c>
      <c r="B15" s="1">
        <v>45202.852083333331</v>
      </c>
      <c r="C15" t="s">
        <v>98</v>
      </c>
      <c r="D15">
        <v>83</v>
      </c>
      <c r="E15" t="s">
        <v>1314</v>
      </c>
    </row>
    <row r="16" spans="1:5" x14ac:dyDescent="0.25">
      <c r="A16" t="s">
        <v>1327</v>
      </c>
      <c r="B16" s="1">
        <v>45213.922222222223</v>
      </c>
      <c r="C16" t="s">
        <v>1328</v>
      </c>
      <c r="D16">
        <v>40</v>
      </c>
      <c r="E16" t="s">
        <v>1314</v>
      </c>
    </row>
    <row r="17" spans="1:5" x14ac:dyDescent="0.25">
      <c r="A17" t="s">
        <v>1323</v>
      </c>
      <c r="B17" s="1">
        <v>45222.55972222222</v>
      </c>
      <c r="C17" t="s">
        <v>1328</v>
      </c>
      <c r="D17">
        <v>26</v>
      </c>
      <c r="E17" t="s">
        <v>1321</v>
      </c>
    </row>
    <row r="18" spans="1:5" x14ac:dyDescent="0.25">
      <c r="A18" t="s">
        <v>1323</v>
      </c>
      <c r="B18" s="1">
        <v>45204.39166666667</v>
      </c>
      <c r="C18" t="s">
        <v>1329</v>
      </c>
      <c r="D18">
        <v>98</v>
      </c>
      <c r="E18" t="s">
        <v>1321</v>
      </c>
    </row>
    <row r="19" spans="1:5" x14ac:dyDescent="0.25">
      <c r="A19" t="s">
        <v>1326</v>
      </c>
      <c r="B19" s="1">
        <v>45219.989583333336</v>
      </c>
      <c r="C19" t="s">
        <v>1329</v>
      </c>
      <c r="D19">
        <v>36</v>
      </c>
      <c r="E19" t="s">
        <v>1314</v>
      </c>
    </row>
    <row r="20" spans="1:5" x14ac:dyDescent="0.25">
      <c r="A20" t="s">
        <v>1323</v>
      </c>
      <c r="B20" s="1">
        <v>45230.565972222219</v>
      </c>
      <c r="C20" t="s">
        <v>1329</v>
      </c>
      <c r="D20">
        <v>74</v>
      </c>
      <c r="E20" t="s">
        <v>1314</v>
      </c>
    </row>
    <row r="21" spans="1:5" x14ac:dyDescent="0.25">
      <c r="A21" t="s">
        <v>1313</v>
      </c>
      <c r="B21" s="1">
        <v>45213.963194444441</v>
      </c>
      <c r="C21" t="s">
        <v>1330</v>
      </c>
      <c r="D21">
        <v>25</v>
      </c>
      <c r="E21" t="s">
        <v>1312</v>
      </c>
    </row>
    <row r="22" spans="1:5" x14ac:dyDescent="0.25">
      <c r="A22" t="s">
        <v>1315</v>
      </c>
      <c r="B22" s="1">
        <v>45217.96875</v>
      </c>
      <c r="C22" t="s">
        <v>46</v>
      </c>
      <c r="D22">
        <v>97</v>
      </c>
      <c r="E22" t="s">
        <v>1312</v>
      </c>
    </row>
    <row r="23" spans="1:5" x14ac:dyDescent="0.25">
      <c r="A23" t="s">
        <v>1325</v>
      </c>
      <c r="B23" s="1">
        <v>45220.093055555553</v>
      </c>
      <c r="C23" t="s">
        <v>1331</v>
      </c>
      <c r="D23">
        <v>48</v>
      </c>
      <c r="E23" t="s">
        <v>1314</v>
      </c>
    </row>
    <row r="24" spans="1:5" x14ac:dyDescent="0.25">
      <c r="A24" t="s">
        <v>1311</v>
      </c>
      <c r="B24" s="1">
        <v>45217.640277777777</v>
      </c>
      <c r="C24" t="s">
        <v>1331</v>
      </c>
      <c r="D24">
        <v>113</v>
      </c>
      <c r="E24" t="s">
        <v>1321</v>
      </c>
    </row>
    <row r="25" spans="1:5" x14ac:dyDescent="0.25">
      <c r="A25" t="s">
        <v>1332</v>
      </c>
      <c r="B25" s="1">
        <v>45204.895833333336</v>
      </c>
      <c r="C25" t="s">
        <v>1333</v>
      </c>
      <c r="D25">
        <v>42</v>
      </c>
      <c r="E25" t="s">
        <v>1312</v>
      </c>
    </row>
    <row r="26" spans="1:5" x14ac:dyDescent="0.25">
      <c r="A26" t="s">
        <v>1318</v>
      </c>
      <c r="B26" s="1">
        <v>45220.390972222223</v>
      </c>
      <c r="C26" t="s">
        <v>1335</v>
      </c>
      <c r="D26">
        <v>13</v>
      </c>
      <c r="E26" t="s">
        <v>1312</v>
      </c>
    </row>
    <row r="27" spans="1:5" x14ac:dyDescent="0.25">
      <c r="A27" t="s">
        <v>1334</v>
      </c>
      <c r="B27" s="1">
        <v>45205.775694444441</v>
      </c>
      <c r="C27" t="s">
        <v>1335</v>
      </c>
      <c r="D27">
        <v>56</v>
      </c>
      <c r="E27" t="s">
        <v>1321</v>
      </c>
    </row>
    <row r="28" spans="1:5" x14ac:dyDescent="0.25">
      <c r="A28" t="s">
        <v>1336</v>
      </c>
      <c r="B28" s="1">
        <v>45225.839583333334</v>
      </c>
      <c r="C28" t="s">
        <v>1337</v>
      </c>
      <c r="D28">
        <v>60</v>
      </c>
      <c r="E28" t="s">
        <v>1321</v>
      </c>
    </row>
    <row r="29" spans="1:5" x14ac:dyDescent="0.25">
      <c r="A29" t="s">
        <v>1327</v>
      </c>
      <c r="B29" s="1">
        <v>45224.961805555555</v>
      </c>
      <c r="C29" t="s">
        <v>1337</v>
      </c>
      <c r="D29">
        <v>83</v>
      </c>
      <c r="E29" t="s">
        <v>1321</v>
      </c>
    </row>
    <row r="30" spans="1:5" x14ac:dyDescent="0.25">
      <c r="A30" t="s">
        <v>1311</v>
      </c>
      <c r="B30" s="1">
        <v>45206.515972222223</v>
      </c>
      <c r="C30" t="s">
        <v>478</v>
      </c>
      <c r="D30">
        <v>108</v>
      </c>
      <c r="E30" t="s">
        <v>1314</v>
      </c>
    </row>
    <row r="31" spans="1:5" x14ac:dyDescent="0.25">
      <c r="A31" t="s">
        <v>1316</v>
      </c>
      <c r="B31" s="1">
        <v>45222.511805555558</v>
      </c>
      <c r="C31" t="s">
        <v>1338</v>
      </c>
      <c r="D31">
        <v>56</v>
      </c>
      <c r="E31" t="s">
        <v>1314</v>
      </c>
    </row>
    <row r="32" spans="1:5" x14ac:dyDescent="0.25">
      <c r="A32" t="s">
        <v>1339</v>
      </c>
      <c r="B32" s="1">
        <v>45222.652777777781</v>
      </c>
      <c r="C32" t="s">
        <v>53</v>
      </c>
      <c r="D32">
        <v>46</v>
      </c>
      <c r="E32" t="s">
        <v>1321</v>
      </c>
    </row>
    <row r="33" spans="1:5" x14ac:dyDescent="0.25">
      <c r="A33" t="s">
        <v>1318</v>
      </c>
      <c r="B33" s="1">
        <v>45214.752083333333</v>
      </c>
      <c r="C33" t="s">
        <v>1340</v>
      </c>
      <c r="D33">
        <v>89</v>
      </c>
      <c r="E33" t="s">
        <v>1312</v>
      </c>
    </row>
    <row r="34" spans="1:5" x14ac:dyDescent="0.25">
      <c r="A34" t="s">
        <v>1341</v>
      </c>
      <c r="B34" s="1">
        <v>45225.415277777778</v>
      </c>
      <c r="C34" t="s">
        <v>1342</v>
      </c>
      <c r="D34">
        <v>15</v>
      </c>
      <c r="E34" t="s">
        <v>1314</v>
      </c>
    </row>
    <row r="35" spans="1:5" x14ac:dyDescent="0.25">
      <c r="A35" t="s">
        <v>1343</v>
      </c>
      <c r="B35" s="1">
        <v>45208.443749999999</v>
      </c>
      <c r="C35" t="s">
        <v>419</v>
      </c>
      <c r="D35">
        <v>7</v>
      </c>
      <c r="E35" t="s">
        <v>1321</v>
      </c>
    </row>
    <row r="36" spans="1:5" x14ac:dyDescent="0.25">
      <c r="A36" t="s">
        <v>1344</v>
      </c>
      <c r="B36" s="1">
        <v>45206.572222222225</v>
      </c>
      <c r="C36" t="s">
        <v>1345</v>
      </c>
      <c r="D36">
        <v>10</v>
      </c>
      <c r="E36" t="s">
        <v>1314</v>
      </c>
    </row>
    <row r="37" spans="1:5" x14ac:dyDescent="0.25">
      <c r="A37" t="s">
        <v>1339</v>
      </c>
      <c r="B37" s="1">
        <v>45226.729166666664</v>
      </c>
      <c r="C37" t="s">
        <v>1345</v>
      </c>
      <c r="D37">
        <v>62</v>
      </c>
      <c r="E37" t="s">
        <v>1312</v>
      </c>
    </row>
    <row r="38" spans="1:5" x14ac:dyDescent="0.25">
      <c r="A38" t="s">
        <v>1319</v>
      </c>
      <c r="B38" s="1">
        <v>45219.101388888892</v>
      </c>
      <c r="C38" t="s">
        <v>425</v>
      </c>
      <c r="D38">
        <v>75</v>
      </c>
      <c r="E38" t="s">
        <v>1314</v>
      </c>
    </row>
    <row r="39" spans="1:5" x14ac:dyDescent="0.25">
      <c r="A39" t="s">
        <v>1313</v>
      </c>
      <c r="B39" s="1">
        <v>45211.61041666667</v>
      </c>
      <c r="C39" t="s">
        <v>425</v>
      </c>
      <c r="D39">
        <v>114</v>
      </c>
      <c r="E39" t="s">
        <v>1314</v>
      </c>
    </row>
    <row r="40" spans="1:5" x14ac:dyDescent="0.25">
      <c r="A40" t="s">
        <v>1311</v>
      </c>
      <c r="B40" s="1">
        <v>45202.35</v>
      </c>
      <c r="C40" t="s">
        <v>403</v>
      </c>
      <c r="D40">
        <v>78</v>
      </c>
      <c r="E40" t="s">
        <v>1314</v>
      </c>
    </row>
    <row r="41" spans="1:5" x14ac:dyDescent="0.25">
      <c r="A41" t="s">
        <v>1322</v>
      </c>
      <c r="B41" s="1">
        <v>45223.736111111109</v>
      </c>
      <c r="C41" t="s">
        <v>143</v>
      </c>
      <c r="D41">
        <v>116</v>
      </c>
      <c r="E41" t="s">
        <v>1312</v>
      </c>
    </row>
    <row r="42" spans="1:5" x14ac:dyDescent="0.25">
      <c r="A42" t="s">
        <v>1343</v>
      </c>
      <c r="B42" s="1">
        <v>45216.583333333336</v>
      </c>
      <c r="C42" t="s">
        <v>143</v>
      </c>
      <c r="D42">
        <v>78</v>
      </c>
      <c r="E42" t="s">
        <v>1321</v>
      </c>
    </row>
    <row r="43" spans="1:5" x14ac:dyDescent="0.25">
      <c r="A43" t="s">
        <v>1322</v>
      </c>
      <c r="B43" s="1">
        <v>45217.578472222223</v>
      </c>
      <c r="C43" t="s">
        <v>121</v>
      </c>
      <c r="D43">
        <v>93</v>
      </c>
      <c r="E43" t="s">
        <v>1312</v>
      </c>
    </row>
    <row r="44" spans="1:5" x14ac:dyDescent="0.25">
      <c r="A44" t="s">
        <v>1341</v>
      </c>
      <c r="B44" s="1">
        <v>45228.269444444442</v>
      </c>
      <c r="C44" t="s">
        <v>1346</v>
      </c>
      <c r="D44">
        <v>109</v>
      </c>
      <c r="E44" t="s">
        <v>1312</v>
      </c>
    </row>
    <row r="45" spans="1:5" x14ac:dyDescent="0.25">
      <c r="A45" t="s">
        <v>1319</v>
      </c>
      <c r="B45" s="1">
        <v>45224.083333333336</v>
      </c>
      <c r="C45" t="s">
        <v>1346</v>
      </c>
      <c r="D45">
        <v>31</v>
      </c>
      <c r="E45" t="s">
        <v>1314</v>
      </c>
    </row>
    <row r="46" spans="1:5" x14ac:dyDescent="0.25">
      <c r="A46" t="s">
        <v>1339</v>
      </c>
      <c r="B46" s="1">
        <v>45202.161805555559</v>
      </c>
      <c r="C46" t="s">
        <v>130</v>
      </c>
      <c r="D46">
        <v>61</v>
      </c>
      <c r="E46" t="s">
        <v>1312</v>
      </c>
    </row>
    <row r="47" spans="1:5" x14ac:dyDescent="0.25">
      <c r="A47" t="s">
        <v>1347</v>
      </c>
      <c r="B47" s="1">
        <v>45205.463888888888</v>
      </c>
      <c r="C47" t="s">
        <v>218</v>
      </c>
      <c r="D47">
        <v>103</v>
      </c>
      <c r="E47" t="s">
        <v>1314</v>
      </c>
    </row>
    <row r="48" spans="1:5" x14ac:dyDescent="0.25">
      <c r="A48" t="s">
        <v>1319</v>
      </c>
      <c r="B48" s="1">
        <v>45201.856944444444</v>
      </c>
      <c r="C48" t="s">
        <v>1348</v>
      </c>
      <c r="D48">
        <v>61</v>
      </c>
      <c r="E48" t="s">
        <v>1314</v>
      </c>
    </row>
    <row r="49" spans="1:5" x14ac:dyDescent="0.25">
      <c r="A49" t="s">
        <v>1325</v>
      </c>
      <c r="B49" s="1">
        <v>45211.324305555558</v>
      </c>
      <c r="C49" t="s">
        <v>1349</v>
      </c>
      <c r="D49">
        <v>120</v>
      </c>
      <c r="E49" t="s">
        <v>1321</v>
      </c>
    </row>
    <row r="50" spans="1:5" x14ac:dyDescent="0.25">
      <c r="A50" t="s">
        <v>1334</v>
      </c>
      <c r="B50" s="1">
        <v>45205.480555555558</v>
      </c>
      <c r="C50" t="s">
        <v>1350</v>
      </c>
      <c r="D50">
        <v>43</v>
      </c>
      <c r="E50" t="s">
        <v>1312</v>
      </c>
    </row>
    <row r="51" spans="1:5" x14ac:dyDescent="0.25">
      <c r="A51" t="s">
        <v>1320</v>
      </c>
      <c r="B51" s="1">
        <v>45201.043055555558</v>
      </c>
      <c r="C51" t="s">
        <v>1350</v>
      </c>
      <c r="D51">
        <v>45</v>
      </c>
      <c r="E51" t="s">
        <v>1312</v>
      </c>
    </row>
    <row r="52" spans="1:5" x14ac:dyDescent="0.25">
      <c r="A52" t="s">
        <v>1316</v>
      </c>
      <c r="B52" s="1">
        <v>45214.113194444442</v>
      </c>
      <c r="C52" t="s">
        <v>1351</v>
      </c>
      <c r="D52">
        <v>47</v>
      </c>
      <c r="E52" t="s">
        <v>1321</v>
      </c>
    </row>
    <row r="53" spans="1:5" x14ac:dyDescent="0.25">
      <c r="A53" t="s">
        <v>1319</v>
      </c>
      <c r="B53" s="1">
        <v>45227.135416666664</v>
      </c>
      <c r="C53" t="s">
        <v>1351</v>
      </c>
      <c r="D53">
        <v>13</v>
      </c>
      <c r="E53" t="s">
        <v>1312</v>
      </c>
    </row>
    <row r="54" spans="1:5" x14ac:dyDescent="0.25">
      <c r="A54" t="s">
        <v>1322</v>
      </c>
      <c r="B54" s="1">
        <v>45220.230555555558</v>
      </c>
      <c r="C54" t="s">
        <v>1351</v>
      </c>
      <c r="D54">
        <v>111</v>
      </c>
      <c r="E54" t="s">
        <v>1321</v>
      </c>
    </row>
    <row r="55" spans="1:5" x14ac:dyDescent="0.25">
      <c r="A55" t="s">
        <v>1352</v>
      </c>
      <c r="B55" s="1">
        <v>45221.505555555559</v>
      </c>
      <c r="C55" t="s">
        <v>385</v>
      </c>
      <c r="D55">
        <v>51</v>
      </c>
      <c r="E55" t="s">
        <v>1314</v>
      </c>
    </row>
    <row r="56" spans="1:5" x14ac:dyDescent="0.25">
      <c r="A56" t="s">
        <v>1320</v>
      </c>
      <c r="B56" s="1">
        <v>45223.400694444441</v>
      </c>
      <c r="C56" t="s">
        <v>385</v>
      </c>
      <c r="D56">
        <v>41</v>
      </c>
      <c r="E56" t="s">
        <v>1321</v>
      </c>
    </row>
    <row r="57" spans="1:5" x14ac:dyDescent="0.25">
      <c r="A57" t="s">
        <v>1327</v>
      </c>
      <c r="B57" s="1">
        <v>45206.956944444442</v>
      </c>
      <c r="C57" t="s">
        <v>535</v>
      </c>
      <c r="D57">
        <v>32</v>
      </c>
      <c r="E57" t="s">
        <v>1312</v>
      </c>
    </row>
    <row r="58" spans="1:5" x14ac:dyDescent="0.25">
      <c r="A58" t="s">
        <v>1353</v>
      </c>
      <c r="B58" s="1">
        <v>45223.570138888892</v>
      </c>
      <c r="C58" t="s">
        <v>535</v>
      </c>
      <c r="D58">
        <v>10</v>
      </c>
      <c r="E58" t="s">
        <v>1312</v>
      </c>
    </row>
    <row r="59" spans="1:5" x14ac:dyDescent="0.25">
      <c r="A59" t="s">
        <v>1316</v>
      </c>
      <c r="B59" s="1">
        <v>45201.824305555558</v>
      </c>
      <c r="C59" t="s">
        <v>535</v>
      </c>
      <c r="D59">
        <v>28</v>
      </c>
      <c r="E59" t="s">
        <v>1312</v>
      </c>
    </row>
    <row r="60" spans="1:5" x14ac:dyDescent="0.25">
      <c r="A60" t="s">
        <v>1313</v>
      </c>
      <c r="B60" s="1">
        <v>45224.98333333333</v>
      </c>
      <c r="C60" t="s">
        <v>535</v>
      </c>
      <c r="D60">
        <v>107</v>
      </c>
      <c r="E60" t="s">
        <v>1321</v>
      </c>
    </row>
    <row r="61" spans="1:5" x14ac:dyDescent="0.25">
      <c r="A61" t="s">
        <v>1311</v>
      </c>
      <c r="B61" s="1">
        <v>45220.677083333336</v>
      </c>
      <c r="C61" t="s">
        <v>229</v>
      </c>
      <c r="D61">
        <v>107</v>
      </c>
      <c r="E61" t="s">
        <v>1321</v>
      </c>
    </row>
    <row r="62" spans="1:5" x14ac:dyDescent="0.25">
      <c r="A62" t="s">
        <v>1339</v>
      </c>
      <c r="B62" s="1">
        <v>45216.709027777775</v>
      </c>
      <c r="C62" t="s">
        <v>410</v>
      </c>
      <c r="D62">
        <v>39</v>
      </c>
      <c r="E62" t="s">
        <v>1314</v>
      </c>
    </row>
    <row r="63" spans="1:5" x14ac:dyDescent="0.25">
      <c r="A63" t="s">
        <v>1324</v>
      </c>
      <c r="B63" s="1">
        <v>45201.245833333334</v>
      </c>
      <c r="C63" t="s">
        <v>410</v>
      </c>
      <c r="D63">
        <v>91</v>
      </c>
      <c r="E63" t="s">
        <v>1312</v>
      </c>
    </row>
    <row r="64" spans="1:5" x14ac:dyDescent="0.25">
      <c r="A64" t="s">
        <v>1315</v>
      </c>
      <c r="B64" s="1">
        <v>45222.425694444442</v>
      </c>
      <c r="C64" t="s">
        <v>1354</v>
      </c>
      <c r="D64">
        <v>48</v>
      </c>
      <c r="E64" t="s">
        <v>1314</v>
      </c>
    </row>
    <row r="65" spans="1:5" x14ac:dyDescent="0.25">
      <c r="A65" t="s">
        <v>1320</v>
      </c>
      <c r="B65" s="1">
        <v>45217.488194444442</v>
      </c>
      <c r="C65" t="s">
        <v>1355</v>
      </c>
      <c r="D65">
        <v>94</v>
      </c>
      <c r="E65" t="s">
        <v>1314</v>
      </c>
    </row>
    <row r="66" spans="1:5" x14ac:dyDescent="0.25">
      <c r="A66" t="s">
        <v>1347</v>
      </c>
      <c r="B66" s="1">
        <v>45221.96597222222</v>
      </c>
      <c r="C66" t="s">
        <v>1356</v>
      </c>
      <c r="D66">
        <v>84</v>
      </c>
      <c r="E66" t="s">
        <v>1321</v>
      </c>
    </row>
    <row r="67" spans="1:5" x14ac:dyDescent="0.25">
      <c r="A67" t="s">
        <v>1344</v>
      </c>
      <c r="B67" s="1">
        <v>45203.958333333336</v>
      </c>
      <c r="C67" t="s">
        <v>1357</v>
      </c>
      <c r="D67">
        <v>65</v>
      </c>
      <c r="E67" t="s">
        <v>1321</v>
      </c>
    </row>
    <row r="68" spans="1:5" x14ac:dyDescent="0.25">
      <c r="A68" t="s">
        <v>1344</v>
      </c>
      <c r="B68" s="1">
        <v>45209.174305555556</v>
      </c>
      <c r="C68" t="s">
        <v>1358</v>
      </c>
      <c r="D68">
        <v>5</v>
      </c>
      <c r="E68" t="s">
        <v>1314</v>
      </c>
    </row>
    <row r="69" spans="1:5" x14ac:dyDescent="0.25">
      <c r="A69" t="s">
        <v>1347</v>
      </c>
      <c r="B69" s="1">
        <v>45211.147222222222</v>
      </c>
      <c r="C69" t="s">
        <v>1358</v>
      </c>
      <c r="D69">
        <v>89</v>
      </c>
      <c r="E69" t="s">
        <v>1312</v>
      </c>
    </row>
    <row r="70" spans="1:5" x14ac:dyDescent="0.25">
      <c r="A70" t="s">
        <v>1324</v>
      </c>
      <c r="B70" s="1">
        <v>45211.063888888886</v>
      </c>
      <c r="C70" t="s">
        <v>397</v>
      </c>
      <c r="D70">
        <v>6</v>
      </c>
      <c r="E70" t="s">
        <v>1321</v>
      </c>
    </row>
    <row r="71" spans="1:5" x14ac:dyDescent="0.25">
      <c r="A71" t="s">
        <v>1359</v>
      </c>
      <c r="B71" s="1">
        <v>45221.481944444444</v>
      </c>
      <c r="C71" t="s">
        <v>1360</v>
      </c>
      <c r="D71">
        <v>80</v>
      </c>
      <c r="E71" t="s">
        <v>1321</v>
      </c>
    </row>
    <row r="72" spans="1:5" x14ac:dyDescent="0.25">
      <c r="A72" t="s">
        <v>1353</v>
      </c>
      <c r="B72" s="1">
        <v>45212.879861111112</v>
      </c>
      <c r="C72" t="s">
        <v>1361</v>
      </c>
      <c r="D72">
        <v>99</v>
      </c>
      <c r="E72" t="s">
        <v>1314</v>
      </c>
    </row>
    <row r="73" spans="1:5" x14ac:dyDescent="0.25">
      <c r="A73" t="s">
        <v>1339</v>
      </c>
      <c r="B73" s="1">
        <v>45220.262499999997</v>
      </c>
      <c r="C73" t="s">
        <v>1361</v>
      </c>
      <c r="D73">
        <v>96</v>
      </c>
      <c r="E73" t="s">
        <v>1314</v>
      </c>
    </row>
    <row r="74" spans="1:5" x14ac:dyDescent="0.25">
      <c r="A74" t="s">
        <v>1322</v>
      </c>
      <c r="B74" s="1">
        <v>45207.701388888891</v>
      </c>
      <c r="C74" t="s">
        <v>482</v>
      </c>
      <c r="D74">
        <v>27</v>
      </c>
      <c r="E74" t="s">
        <v>1321</v>
      </c>
    </row>
    <row r="75" spans="1:5" x14ac:dyDescent="0.25">
      <c r="A75" t="s">
        <v>1336</v>
      </c>
      <c r="B75" s="1">
        <v>45209.558333333334</v>
      </c>
      <c r="C75" t="s">
        <v>269</v>
      </c>
      <c r="D75">
        <v>66</v>
      </c>
      <c r="E75" t="s">
        <v>1312</v>
      </c>
    </row>
    <row r="76" spans="1:5" x14ac:dyDescent="0.25">
      <c r="A76" t="s">
        <v>1327</v>
      </c>
      <c r="B76" s="1">
        <v>45221.583333333336</v>
      </c>
      <c r="C76" t="s">
        <v>1362</v>
      </c>
      <c r="D76">
        <v>106</v>
      </c>
      <c r="E76" t="s">
        <v>1321</v>
      </c>
    </row>
    <row r="77" spans="1:5" x14ac:dyDescent="0.25">
      <c r="A77" t="s">
        <v>1322</v>
      </c>
      <c r="B77" s="1">
        <v>45225.220833333333</v>
      </c>
      <c r="C77" t="s">
        <v>462</v>
      </c>
      <c r="D77">
        <v>104</v>
      </c>
      <c r="E77" t="s">
        <v>1312</v>
      </c>
    </row>
    <row r="78" spans="1:5" x14ac:dyDescent="0.25">
      <c r="A78" t="s">
        <v>1353</v>
      </c>
      <c r="B78" s="1">
        <v>45208.558333333334</v>
      </c>
      <c r="C78" t="s">
        <v>462</v>
      </c>
      <c r="D78">
        <v>44</v>
      </c>
      <c r="E78" t="s">
        <v>1321</v>
      </c>
    </row>
    <row r="79" spans="1:5" x14ac:dyDescent="0.25">
      <c r="A79" t="s">
        <v>1359</v>
      </c>
      <c r="B79" s="1">
        <v>45204.570138888892</v>
      </c>
      <c r="C79" t="s">
        <v>1363</v>
      </c>
      <c r="D79">
        <v>13</v>
      </c>
      <c r="E79" t="s">
        <v>1321</v>
      </c>
    </row>
    <row r="80" spans="1:5" x14ac:dyDescent="0.25">
      <c r="A80" t="s">
        <v>1339</v>
      </c>
      <c r="B80" s="1">
        <v>45212.626388888886</v>
      </c>
      <c r="C80" t="s">
        <v>1364</v>
      </c>
      <c r="D80">
        <v>107</v>
      </c>
      <c r="E80" t="s">
        <v>1312</v>
      </c>
    </row>
    <row r="81" spans="1:5" x14ac:dyDescent="0.25">
      <c r="A81" t="s">
        <v>1347</v>
      </c>
      <c r="B81" s="1">
        <v>45210.30972222222</v>
      </c>
      <c r="C81" t="s">
        <v>1364</v>
      </c>
      <c r="D81">
        <v>47</v>
      </c>
      <c r="E81" t="s">
        <v>1312</v>
      </c>
    </row>
    <row r="82" spans="1:5" x14ac:dyDescent="0.25">
      <c r="A82" t="s">
        <v>1319</v>
      </c>
      <c r="B82" s="1">
        <v>45216.673611111109</v>
      </c>
      <c r="C82" t="s">
        <v>42</v>
      </c>
      <c r="D82">
        <v>117</v>
      </c>
      <c r="E82" t="s">
        <v>1314</v>
      </c>
    </row>
    <row r="83" spans="1:5" x14ac:dyDescent="0.25">
      <c r="A83" t="s">
        <v>1332</v>
      </c>
      <c r="B83" s="1">
        <v>45221.376388888886</v>
      </c>
      <c r="C83" t="s">
        <v>39</v>
      </c>
      <c r="D83">
        <v>59</v>
      </c>
      <c r="E83" t="s">
        <v>1321</v>
      </c>
    </row>
    <row r="84" spans="1:5" x14ac:dyDescent="0.25">
      <c r="A84" t="s">
        <v>1365</v>
      </c>
      <c r="B84" s="1">
        <v>45206.167361111111</v>
      </c>
      <c r="C84" t="s">
        <v>166</v>
      </c>
      <c r="D84">
        <v>64</v>
      </c>
      <c r="E84" t="s">
        <v>1312</v>
      </c>
    </row>
    <row r="85" spans="1:5" x14ac:dyDescent="0.25">
      <c r="A85" t="s">
        <v>1323</v>
      </c>
      <c r="B85" s="1">
        <v>45225.979166666664</v>
      </c>
      <c r="C85" t="s">
        <v>520</v>
      </c>
      <c r="D85">
        <v>6</v>
      </c>
      <c r="E85" t="s">
        <v>1314</v>
      </c>
    </row>
    <row r="86" spans="1:5" x14ac:dyDescent="0.25">
      <c r="A86" t="s">
        <v>1344</v>
      </c>
      <c r="B86" s="1">
        <v>45219.65625</v>
      </c>
      <c r="C86" t="s">
        <v>520</v>
      </c>
      <c r="D86">
        <v>118</v>
      </c>
      <c r="E86" t="s">
        <v>1312</v>
      </c>
    </row>
    <row r="87" spans="1:5" x14ac:dyDescent="0.25">
      <c r="A87" t="s">
        <v>1332</v>
      </c>
      <c r="B87" s="1">
        <v>45202.04791666667</v>
      </c>
      <c r="C87" t="s">
        <v>520</v>
      </c>
      <c r="D87">
        <v>115</v>
      </c>
      <c r="E87" t="s">
        <v>1312</v>
      </c>
    </row>
    <row r="88" spans="1:5" x14ac:dyDescent="0.25">
      <c r="A88" t="s">
        <v>1323</v>
      </c>
      <c r="B88" s="1">
        <v>45226.656944444447</v>
      </c>
      <c r="C88" t="s">
        <v>1366</v>
      </c>
      <c r="D88">
        <v>7</v>
      </c>
      <c r="E88" t="s">
        <v>1314</v>
      </c>
    </row>
    <row r="89" spans="1:5" x14ac:dyDescent="0.25">
      <c r="A89" t="s">
        <v>1359</v>
      </c>
      <c r="B89" s="1">
        <v>45213.334722222222</v>
      </c>
      <c r="C89" t="s">
        <v>1366</v>
      </c>
      <c r="D89">
        <v>62</v>
      </c>
      <c r="E89" t="s">
        <v>1314</v>
      </c>
    </row>
    <row r="90" spans="1:5" x14ac:dyDescent="0.25">
      <c r="A90" t="s">
        <v>1352</v>
      </c>
      <c r="B90" s="1">
        <v>45225.147222222222</v>
      </c>
      <c r="C90" t="s">
        <v>322</v>
      </c>
      <c r="D90">
        <v>44</v>
      </c>
      <c r="E90" t="s">
        <v>1314</v>
      </c>
    </row>
    <row r="91" spans="1:5" x14ac:dyDescent="0.25">
      <c r="A91" t="s">
        <v>1347</v>
      </c>
      <c r="B91" s="1">
        <v>45203.324305555558</v>
      </c>
      <c r="C91" t="s">
        <v>1367</v>
      </c>
      <c r="D91">
        <v>34</v>
      </c>
      <c r="E91" t="s">
        <v>1314</v>
      </c>
    </row>
    <row r="92" spans="1:5" x14ac:dyDescent="0.25">
      <c r="A92" t="s">
        <v>1344</v>
      </c>
      <c r="B92" s="1">
        <v>45220.754166666666</v>
      </c>
      <c r="C92" t="s">
        <v>243</v>
      </c>
      <c r="D92">
        <v>85</v>
      </c>
      <c r="E92" t="s">
        <v>1314</v>
      </c>
    </row>
    <row r="93" spans="1:5" x14ac:dyDescent="0.25">
      <c r="A93" t="s">
        <v>1326</v>
      </c>
      <c r="B93" s="1">
        <v>45210.45</v>
      </c>
      <c r="C93" t="s">
        <v>243</v>
      </c>
      <c r="D93">
        <v>66</v>
      </c>
      <c r="E93" t="s">
        <v>1314</v>
      </c>
    </row>
    <row r="94" spans="1:5" x14ac:dyDescent="0.25">
      <c r="A94" t="s">
        <v>1341</v>
      </c>
      <c r="B94" s="1">
        <v>45212.568055555559</v>
      </c>
      <c r="C94" t="s">
        <v>547</v>
      </c>
      <c r="D94">
        <v>42</v>
      </c>
      <c r="E94" t="s">
        <v>1312</v>
      </c>
    </row>
    <row r="95" spans="1:5" x14ac:dyDescent="0.25">
      <c r="A95" t="s">
        <v>1332</v>
      </c>
      <c r="B95" s="1">
        <v>45205.191666666666</v>
      </c>
      <c r="C95" t="s">
        <v>395</v>
      </c>
      <c r="D95">
        <v>34</v>
      </c>
      <c r="E95" t="s">
        <v>1314</v>
      </c>
    </row>
    <row r="96" spans="1:5" x14ac:dyDescent="0.25">
      <c r="A96" t="s">
        <v>1320</v>
      </c>
      <c r="B96" s="1">
        <v>45219.633333333331</v>
      </c>
      <c r="C96" t="s">
        <v>1368</v>
      </c>
      <c r="D96">
        <v>18</v>
      </c>
      <c r="E96" t="s">
        <v>1321</v>
      </c>
    </row>
    <row r="97" spans="1:5" x14ac:dyDescent="0.25">
      <c r="A97" t="s">
        <v>1334</v>
      </c>
      <c r="B97" s="1">
        <v>45204.237500000003</v>
      </c>
      <c r="C97" t="s">
        <v>92</v>
      </c>
      <c r="D97">
        <v>21</v>
      </c>
      <c r="E97" t="s">
        <v>1312</v>
      </c>
    </row>
    <row r="98" spans="1:5" x14ac:dyDescent="0.25">
      <c r="A98" t="s">
        <v>1343</v>
      </c>
      <c r="B98" s="1">
        <v>45222.663194444445</v>
      </c>
      <c r="C98" t="s">
        <v>92</v>
      </c>
      <c r="D98">
        <v>6</v>
      </c>
      <c r="E98" t="s">
        <v>1321</v>
      </c>
    </row>
    <row r="99" spans="1:5" x14ac:dyDescent="0.25">
      <c r="A99" t="s">
        <v>1311</v>
      </c>
      <c r="B99" s="1">
        <v>45204.55</v>
      </c>
      <c r="C99" t="s">
        <v>92</v>
      </c>
      <c r="D99">
        <v>113</v>
      </c>
      <c r="E99" t="s">
        <v>1312</v>
      </c>
    </row>
    <row r="100" spans="1:5" x14ac:dyDescent="0.25">
      <c r="A100" t="s">
        <v>1313</v>
      </c>
      <c r="B100" s="1">
        <v>45226.530555555553</v>
      </c>
      <c r="C100" t="s">
        <v>390</v>
      </c>
      <c r="D100">
        <v>101</v>
      </c>
      <c r="E100" t="s">
        <v>1321</v>
      </c>
    </row>
    <row r="101" spans="1:5" x14ac:dyDescent="0.25">
      <c r="A101" t="s">
        <v>1319</v>
      </c>
      <c r="B101" s="1">
        <v>45206.273611111108</v>
      </c>
      <c r="C101" t="s">
        <v>1369</v>
      </c>
      <c r="D101">
        <v>117</v>
      </c>
      <c r="E101" t="s">
        <v>1321</v>
      </c>
    </row>
    <row r="102" spans="1:5" x14ac:dyDescent="0.25">
      <c r="A102" t="s">
        <v>1326</v>
      </c>
      <c r="B102" s="1">
        <v>45203.22152777778</v>
      </c>
      <c r="C102" t="s">
        <v>291</v>
      </c>
      <c r="D102">
        <v>101</v>
      </c>
      <c r="E102" t="s">
        <v>1314</v>
      </c>
    </row>
    <row r="103" spans="1:5" x14ac:dyDescent="0.25">
      <c r="A103" t="s">
        <v>1347</v>
      </c>
      <c r="B103" s="1">
        <v>45226.969444444447</v>
      </c>
      <c r="C103" t="s">
        <v>291</v>
      </c>
      <c r="D103">
        <v>68</v>
      </c>
      <c r="E103" t="s">
        <v>1314</v>
      </c>
    </row>
    <row r="104" spans="1:5" x14ac:dyDescent="0.25">
      <c r="A104" t="s">
        <v>1347</v>
      </c>
      <c r="B104" s="1">
        <v>45227.010416666664</v>
      </c>
      <c r="C104" t="s">
        <v>1370</v>
      </c>
      <c r="D104">
        <v>49</v>
      </c>
      <c r="E104" t="s">
        <v>1321</v>
      </c>
    </row>
    <row r="105" spans="1:5" x14ac:dyDescent="0.25">
      <c r="A105" t="s">
        <v>1323</v>
      </c>
      <c r="B105" s="1">
        <v>45215.288194444445</v>
      </c>
      <c r="C105" t="s">
        <v>283</v>
      </c>
      <c r="D105">
        <v>109</v>
      </c>
      <c r="E105" t="s">
        <v>1314</v>
      </c>
    </row>
    <row r="106" spans="1:5" x14ac:dyDescent="0.25">
      <c r="A106" t="s">
        <v>1344</v>
      </c>
      <c r="B106" s="1">
        <v>45229.801388888889</v>
      </c>
      <c r="C106" t="s">
        <v>1371</v>
      </c>
      <c r="D106">
        <v>89</v>
      </c>
      <c r="E106" t="s">
        <v>1314</v>
      </c>
    </row>
    <row r="107" spans="1:5" x14ac:dyDescent="0.25">
      <c r="A107" t="s">
        <v>1334</v>
      </c>
      <c r="B107" s="1">
        <v>45222.944444444445</v>
      </c>
      <c r="C107" t="s">
        <v>1371</v>
      </c>
      <c r="D107">
        <v>87</v>
      </c>
      <c r="E107" t="s">
        <v>1312</v>
      </c>
    </row>
    <row r="108" spans="1:5" x14ac:dyDescent="0.25">
      <c r="A108" t="s">
        <v>1343</v>
      </c>
      <c r="B108" s="1">
        <v>45215.047222222223</v>
      </c>
      <c r="C108" t="s">
        <v>1371</v>
      </c>
      <c r="D108">
        <v>35</v>
      </c>
      <c r="E108" t="s">
        <v>1314</v>
      </c>
    </row>
    <row r="109" spans="1:5" x14ac:dyDescent="0.25">
      <c r="A109" t="s">
        <v>1353</v>
      </c>
      <c r="B109" s="1">
        <v>45223.794444444444</v>
      </c>
      <c r="C109" t="s">
        <v>316</v>
      </c>
      <c r="D109">
        <v>97</v>
      </c>
      <c r="E109" t="s">
        <v>1314</v>
      </c>
    </row>
    <row r="110" spans="1:5" x14ac:dyDescent="0.25">
      <c r="A110" t="s">
        <v>1359</v>
      </c>
      <c r="B110" s="1">
        <v>45227.005555555559</v>
      </c>
      <c r="C110" t="s">
        <v>1372</v>
      </c>
      <c r="D110">
        <v>66</v>
      </c>
      <c r="E110" t="s">
        <v>1321</v>
      </c>
    </row>
    <row r="111" spans="1:5" x14ac:dyDescent="0.25">
      <c r="A111" t="s">
        <v>1320</v>
      </c>
      <c r="B111" s="1">
        <v>45213.763194444444</v>
      </c>
      <c r="C111" t="s">
        <v>378</v>
      </c>
      <c r="D111">
        <v>119</v>
      </c>
      <c r="E111" t="s">
        <v>1321</v>
      </c>
    </row>
    <row r="112" spans="1:5" x14ac:dyDescent="0.25">
      <c r="A112" t="s">
        <v>1353</v>
      </c>
      <c r="B112" s="1">
        <v>45230.839583333334</v>
      </c>
      <c r="C112" t="s">
        <v>378</v>
      </c>
      <c r="D112">
        <v>83</v>
      </c>
      <c r="E112" t="s">
        <v>1321</v>
      </c>
    </row>
    <row r="113" spans="1:5" x14ac:dyDescent="0.25">
      <c r="A113" t="s">
        <v>1320</v>
      </c>
      <c r="B113" s="1">
        <v>45210.703472222223</v>
      </c>
      <c r="C113" t="s">
        <v>378</v>
      </c>
      <c r="D113">
        <v>20</v>
      </c>
      <c r="E113" t="s">
        <v>1314</v>
      </c>
    </row>
    <row r="114" spans="1:5" x14ac:dyDescent="0.25">
      <c r="A114" t="s">
        <v>1325</v>
      </c>
      <c r="B114" s="1">
        <v>45225.088888888888</v>
      </c>
      <c r="C114" t="s">
        <v>1373</v>
      </c>
      <c r="D114">
        <v>51</v>
      </c>
      <c r="E114" t="s">
        <v>1314</v>
      </c>
    </row>
    <row r="115" spans="1:5" x14ac:dyDescent="0.25">
      <c r="A115" t="s">
        <v>1324</v>
      </c>
      <c r="B115" s="1">
        <v>45219.821527777778</v>
      </c>
      <c r="C115" t="s">
        <v>1374</v>
      </c>
      <c r="D115">
        <v>31</v>
      </c>
      <c r="E115" t="s">
        <v>1312</v>
      </c>
    </row>
    <row r="116" spans="1:5" x14ac:dyDescent="0.25">
      <c r="A116" t="s">
        <v>1341</v>
      </c>
      <c r="B116" s="1">
        <v>45214.136111111111</v>
      </c>
      <c r="C116" t="s">
        <v>1374</v>
      </c>
      <c r="D116">
        <v>92</v>
      </c>
      <c r="E116" t="s">
        <v>1314</v>
      </c>
    </row>
    <row r="117" spans="1:5" x14ac:dyDescent="0.25">
      <c r="A117" t="s">
        <v>1313</v>
      </c>
      <c r="B117" s="1">
        <v>45203.041666666664</v>
      </c>
      <c r="C117" t="s">
        <v>146</v>
      </c>
      <c r="D117">
        <v>69</v>
      </c>
      <c r="E117" t="s">
        <v>1321</v>
      </c>
    </row>
    <row r="118" spans="1:5" x14ac:dyDescent="0.25">
      <c r="A118" t="s">
        <v>1352</v>
      </c>
      <c r="B118" s="1">
        <v>45220.893750000003</v>
      </c>
      <c r="C118" t="s">
        <v>146</v>
      </c>
      <c r="D118">
        <v>101</v>
      </c>
      <c r="E118" t="s">
        <v>1321</v>
      </c>
    </row>
    <row r="119" spans="1:5" x14ac:dyDescent="0.25">
      <c r="A119" t="s">
        <v>1325</v>
      </c>
      <c r="B119" s="1">
        <v>45211.380555555559</v>
      </c>
      <c r="C119" t="s">
        <v>1375</v>
      </c>
      <c r="D119">
        <v>84</v>
      </c>
      <c r="E119" t="s">
        <v>1314</v>
      </c>
    </row>
    <row r="120" spans="1:5" x14ac:dyDescent="0.25">
      <c r="A120" t="s">
        <v>1315</v>
      </c>
      <c r="B120" s="1">
        <v>45225.238888888889</v>
      </c>
      <c r="C120" t="s">
        <v>1376</v>
      </c>
      <c r="D120">
        <v>16</v>
      </c>
      <c r="E120" t="s">
        <v>1312</v>
      </c>
    </row>
    <row r="121" spans="1:5" x14ac:dyDescent="0.25">
      <c r="A121" t="s">
        <v>1332</v>
      </c>
      <c r="B121" s="1">
        <v>45200.115972222222</v>
      </c>
      <c r="C121" t="s">
        <v>1376</v>
      </c>
      <c r="D121">
        <v>111</v>
      </c>
      <c r="E121" t="s">
        <v>1321</v>
      </c>
    </row>
    <row r="122" spans="1:5" x14ac:dyDescent="0.25">
      <c r="A122" t="s">
        <v>1323</v>
      </c>
      <c r="B122" s="1">
        <v>45225.781944444447</v>
      </c>
      <c r="C122" t="s">
        <v>343</v>
      </c>
      <c r="D122">
        <v>113</v>
      </c>
      <c r="E122" t="s">
        <v>1312</v>
      </c>
    </row>
    <row r="123" spans="1:5" x14ac:dyDescent="0.25">
      <c r="A123" t="s">
        <v>1359</v>
      </c>
      <c r="B123" s="1">
        <v>45207.713888888888</v>
      </c>
      <c r="C123" t="s">
        <v>1377</v>
      </c>
      <c r="D123">
        <v>99</v>
      </c>
      <c r="E123" t="s">
        <v>1312</v>
      </c>
    </row>
    <row r="124" spans="1:5" x14ac:dyDescent="0.25">
      <c r="A124" t="s">
        <v>1324</v>
      </c>
      <c r="B124" s="1">
        <v>45226.574305555558</v>
      </c>
      <c r="C124" t="s">
        <v>1377</v>
      </c>
      <c r="D124">
        <v>81</v>
      </c>
      <c r="E124" t="s">
        <v>1312</v>
      </c>
    </row>
    <row r="125" spans="1:5" x14ac:dyDescent="0.25">
      <c r="A125" t="s">
        <v>1315</v>
      </c>
      <c r="B125" s="1">
        <v>45205.599999999999</v>
      </c>
      <c r="C125" t="s">
        <v>1378</v>
      </c>
      <c r="D125">
        <v>19</v>
      </c>
      <c r="E125" t="s">
        <v>1312</v>
      </c>
    </row>
    <row r="126" spans="1:5" x14ac:dyDescent="0.25">
      <c r="A126" t="s">
        <v>1319</v>
      </c>
      <c r="B126" s="1">
        <v>45201.770833333336</v>
      </c>
      <c r="C126" t="s">
        <v>1378</v>
      </c>
      <c r="D126">
        <v>18</v>
      </c>
      <c r="E126" t="s">
        <v>1321</v>
      </c>
    </row>
    <row r="127" spans="1:5" x14ac:dyDescent="0.25">
      <c r="A127" t="s">
        <v>1341</v>
      </c>
      <c r="B127" s="1">
        <v>45225.921527777777</v>
      </c>
      <c r="C127" t="s">
        <v>1379</v>
      </c>
      <c r="D127">
        <v>45</v>
      </c>
      <c r="E127" t="s">
        <v>1314</v>
      </c>
    </row>
    <row r="128" spans="1:5" x14ac:dyDescent="0.25">
      <c r="A128" t="s">
        <v>1318</v>
      </c>
      <c r="B128" s="1">
        <v>45204.68472222222</v>
      </c>
      <c r="C128" t="s">
        <v>1379</v>
      </c>
      <c r="D128">
        <v>92</v>
      </c>
      <c r="E128" t="s">
        <v>1314</v>
      </c>
    </row>
    <row r="129" spans="1:5" x14ac:dyDescent="0.25">
      <c r="A129" t="s">
        <v>1327</v>
      </c>
      <c r="B129" s="1">
        <v>45224.310416666667</v>
      </c>
      <c r="C129" t="s">
        <v>1379</v>
      </c>
      <c r="D129">
        <v>98</v>
      </c>
      <c r="E129" t="s">
        <v>1312</v>
      </c>
    </row>
    <row r="130" spans="1:5" x14ac:dyDescent="0.25">
      <c r="A130" t="s">
        <v>1341</v>
      </c>
      <c r="B130" s="1">
        <v>45203.910416666666</v>
      </c>
      <c r="C130" t="s">
        <v>206</v>
      </c>
      <c r="D130">
        <v>62</v>
      </c>
      <c r="E130" t="s">
        <v>1314</v>
      </c>
    </row>
    <row r="131" spans="1:5" x14ac:dyDescent="0.25">
      <c r="A131" t="s">
        <v>1336</v>
      </c>
      <c r="B131" s="1">
        <v>45212.417361111111</v>
      </c>
      <c r="C131" t="s">
        <v>206</v>
      </c>
      <c r="D131">
        <v>55</v>
      </c>
      <c r="E131" t="s">
        <v>1312</v>
      </c>
    </row>
    <row r="132" spans="1:5" x14ac:dyDescent="0.25">
      <c r="A132" t="s">
        <v>1325</v>
      </c>
      <c r="B132" s="1">
        <v>45216.435416666667</v>
      </c>
      <c r="C132" t="s">
        <v>206</v>
      </c>
      <c r="D132">
        <v>88</v>
      </c>
      <c r="E132" t="s">
        <v>1314</v>
      </c>
    </row>
    <row r="133" spans="1:5" x14ac:dyDescent="0.25">
      <c r="A133" t="s">
        <v>1359</v>
      </c>
      <c r="B133" s="1">
        <v>45210.007638888892</v>
      </c>
      <c r="C133" t="s">
        <v>1380</v>
      </c>
      <c r="D133">
        <v>59</v>
      </c>
      <c r="E133" t="s">
        <v>1312</v>
      </c>
    </row>
    <row r="134" spans="1:5" x14ac:dyDescent="0.25">
      <c r="A134" t="s">
        <v>1332</v>
      </c>
      <c r="B134" s="1">
        <v>45209.462500000001</v>
      </c>
      <c r="C134" t="s">
        <v>1380</v>
      </c>
      <c r="D134">
        <v>102</v>
      </c>
      <c r="E134" t="s">
        <v>1321</v>
      </c>
    </row>
    <row r="135" spans="1:5" x14ac:dyDescent="0.25">
      <c r="A135" t="s">
        <v>1353</v>
      </c>
      <c r="B135" s="1">
        <v>45200.836111111108</v>
      </c>
      <c r="C135" t="s">
        <v>1380</v>
      </c>
      <c r="D135">
        <v>6</v>
      </c>
      <c r="E135" t="s">
        <v>1314</v>
      </c>
    </row>
    <row r="136" spans="1:5" x14ac:dyDescent="0.25">
      <c r="A136" t="s">
        <v>1316</v>
      </c>
      <c r="B136" s="1">
        <v>45230.629861111112</v>
      </c>
      <c r="C136" t="s">
        <v>1381</v>
      </c>
      <c r="D136">
        <v>91</v>
      </c>
      <c r="E136" t="s">
        <v>1314</v>
      </c>
    </row>
    <row r="137" spans="1:5" x14ac:dyDescent="0.25">
      <c r="A137" t="s">
        <v>1325</v>
      </c>
      <c r="B137" s="1">
        <v>45225.432638888888</v>
      </c>
      <c r="C137" t="s">
        <v>1381</v>
      </c>
      <c r="D137">
        <v>50</v>
      </c>
      <c r="E137" t="s">
        <v>1312</v>
      </c>
    </row>
    <row r="138" spans="1:5" x14ac:dyDescent="0.25">
      <c r="A138" t="s">
        <v>1325</v>
      </c>
      <c r="B138" s="1">
        <v>45230.395138888889</v>
      </c>
      <c r="C138" t="s">
        <v>290</v>
      </c>
      <c r="D138">
        <v>89</v>
      </c>
      <c r="E138" t="s">
        <v>1321</v>
      </c>
    </row>
    <row r="139" spans="1:5" x14ac:dyDescent="0.25">
      <c r="A139" t="s">
        <v>1318</v>
      </c>
      <c r="B139" s="1">
        <v>45207.011111111111</v>
      </c>
      <c r="C139" t="s">
        <v>199</v>
      </c>
      <c r="D139">
        <v>32</v>
      </c>
      <c r="E139" t="s">
        <v>1314</v>
      </c>
    </row>
    <row r="140" spans="1:5" x14ac:dyDescent="0.25">
      <c r="A140" t="s">
        <v>1322</v>
      </c>
      <c r="B140" s="1">
        <v>45204.625</v>
      </c>
      <c r="C140" t="s">
        <v>519</v>
      </c>
      <c r="D140">
        <v>94</v>
      </c>
      <c r="E140" t="s">
        <v>1321</v>
      </c>
    </row>
    <row r="141" spans="1:5" x14ac:dyDescent="0.25">
      <c r="A141" t="s">
        <v>1316</v>
      </c>
      <c r="B141" s="1">
        <v>45214.929861111108</v>
      </c>
      <c r="C141" t="s">
        <v>1382</v>
      </c>
      <c r="D141">
        <v>89</v>
      </c>
      <c r="E141" t="s">
        <v>1321</v>
      </c>
    </row>
    <row r="142" spans="1:5" x14ac:dyDescent="0.25">
      <c r="A142" t="s">
        <v>1334</v>
      </c>
      <c r="B142" s="1">
        <v>45202.912499999999</v>
      </c>
      <c r="C142" t="s">
        <v>1383</v>
      </c>
      <c r="D142">
        <v>68</v>
      </c>
      <c r="E142" t="s">
        <v>1321</v>
      </c>
    </row>
    <row r="143" spans="1:5" x14ac:dyDescent="0.25">
      <c r="A143" t="s">
        <v>1325</v>
      </c>
      <c r="B143" s="1">
        <v>45218.794444444444</v>
      </c>
      <c r="C143" t="s">
        <v>1384</v>
      </c>
      <c r="D143">
        <v>108</v>
      </c>
      <c r="E143" t="s">
        <v>1314</v>
      </c>
    </row>
    <row r="144" spans="1:5" x14ac:dyDescent="0.25">
      <c r="A144" t="s">
        <v>1352</v>
      </c>
      <c r="B144" s="1">
        <v>45207.17291666667</v>
      </c>
      <c r="C144" t="s">
        <v>1385</v>
      </c>
      <c r="D144">
        <v>73</v>
      </c>
      <c r="E144" t="s">
        <v>1321</v>
      </c>
    </row>
    <row r="145" spans="1:5" x14ac:dyDescent="0.25">
      <c r="A145" t="s">
        <v>1339</v>
      </c>
      <c r="B145" s="1">
        <v>45208.074999999997</v>
      </c>
      <c r="C145" t="s">
        <v>1386</v>
      </c>
      <c r="D145">
        <v>82</v>
      </c>
      <c r="E145" t="s">
        <v>1321</v>
      </c>
    </row>
    <row r="146" spans="1:5" x14ac:dyDescent="0.25">
      <c r="A146" t="s">
        <v>1359</v>
      </c>
      <c r="B146" s="1">
        <v>45228.848611111112</v>
      </c>
      <c r="C146" t="s">
        <v>1386</v>
      </c>
      <c r="D146">
        <v>18</v>
      </c>
      <c r="E146" t="s">
        <v>1321</v>
      </c>
    </row>
    <row r="147" spans="1:5" x14ac:dyDescent="0.25">
      <c r="A147" t="s">
        <v>1318</v>
      </c>
      <c r="B147" s="1">
        <v>45220.488888888889</v>
      </c>
      <c r="C147" t="s">
        <v>219</v>
      </c>
      <c r="D147">
        <v>49</v>
      </c>
      <c r="E147" t="s">
        <v>1321</v>
      </c>
    </row>
    <row r="148" spans="1:5" x14ac:dyDescent="0.25">
      <c r="A148" t="s">
        <v>1319</v>
      </c>
      <c r="B148" s="1">
        <v>45214.457638888889</v>
      </c>
      <c r="C148" t="s">
        <v>219</v>
      </c>
      <c r="D148">
        <v>48</v>
      </c>
      <c r="E148" t="s">
        <v>1321</v>
      </c>
    </row>
    <row r="149" spans="1:5" x14ac:dyDescent="0.25">
      <c r="A149" t="s">
        <v>1353</v>
      </c>
      <c r="B149" s="1">
        <v>45212.875694444447</v>
      </c>
      <c r="C149" t="s">
        <v>534</v>
      </c>
      <c r="D149">
        <v>23</v>
      </c>
      <c r="E149" t="s">
        <v>1314</v>
      </c>
    </row>
    <row r="150" spans="1:5" x14ac:dyDescent="0.25">
      <c r="A150" t="s">
        <v>1347</v>
      </c>
      <c r="B150" s="1">
        <v>45228.621527777781</v>
      </c>
      <c r="C150" t="s">
        <v>295</v>
      </c>
      <c r="D150">
        <v>98</v>
      </c>
      <c r="E150" t="s">
        <v>1321</v>
      </c>
    </row>
    <row r="151" spans="1:5" x14ac:dyDescent="0.25">
      <c r="A151" t="s">
        <v>1322</v>
      </c>
      <c r="B151" s="1">
        <v>45212.901388888888</v>
      </c>
      <c r="C151" t="s">
        <v>295</v>
      </c>
      <c r="D151">
        <v>58</v>
      </c>
      <c r="E151" t="s">
        <v>1314</v>
      </c>
    </row>
    <row r="152" spans="1:5" x14ac:dyDescent="0.25">
      <c r="A152" t="s">
        <v>1319</v>
      </c>
      <c r="B152" s="1">
        <v>45206.539583333331</v>
      </c>
      <c r="C152" t="s">
        <v>295</v>
      </c>
      <c r="D152">
        <v>43</v>
      </c>
      <c r="E152" t="s">
        <v>1314</v>
      </c>
    </row>
    <row r="153" spans="1:5" x14ac:dyDescent="0.25">
      <c r="A153" t="s">
        <v>1316</v>
      </c>
      <c r="B153" s="1">
        <v>45203.718055555553</v>
      </c>
      <c r="C153" t="s">
        <v>1387</v>
      </c>
      <c r="D153">
        <v>114</v>
      </c>
      <c r="E153" t="s">
        <v>1312</v>
      </c>
    </row>
    <row r="154" spans="1:5" x14ac:dyDescent="0.25">
      <c r="A154" t="s">
        <v>1343</v>
      </c>
      <c r="B154" s="1">
        <v>45230.444444444445</v>
      </c>
      <c r="C154" t="s">
        <v>1387</v>
      </c>
      <c r="D154">
        <v>40</v>
      </c>
      <c r="E154" t="s">
        <v>1314</v>
      </c>
    </row>
    <row r="155" spans="1:5" x14ac:dyDescent="0.25">
      <c r="A155" t="s">
        <v>1343</v>
      </c>
      <c r="B155" s="1">
        <v>45228.001388888886</v>
      </c>
      <c r="C155" t="s">
        <v>273</v>
      </c>
      <c r="D155">
        <v>100</v>
      </c>
      <c r="E155" t="s">
        <v>1312</v>
      </c>
    </row>
    <row r="156" spans="1:5" x14ac:dyDescent="0.25">
      <c r="A156" t="s">
        <v>1327</v>
      </c>
      <c r="B156" s="1">
        <v>45210.49722222222</v>
      </c>
      <c r="C156" t="s">
        <v>273</v>
      </c>
      <c r="D156">
        <v>75</v>
      </c>
      <c r="E156" t="s">
        <v>1321</v>
      </c>
    </row>
    <row r="157" spans="1:5" x14ac:dyDescent="0.25">
      <c r="A157" t="s">
        <v>1347</v>
      </c>
      <c r="B157" s="1">
        <v>45212.174305555556</v>
      </c>
      <c r="C157" t="s">
        <v>1388</v>
      </c>
      <c r="D157">
        <v>112</v>
      </c>
      <c r="E157" t="s">
        <v>1321</v>
      </c>
    </row>
    <row r="158" spans="1:5" x14ac:dyDescent="0.25">
      <c r="A158" t="s">
        <v>1325</v>
      </c>
      <c r="B158" s="1">
        <v>45210.675000000003</v>
      </c>
      <c r="C158" t="s">
        <v>1389</v>
      </c>
      <c r="D158">
        <v>86</v>
      </c>
      <c r="E158" t="s">
        <v>1321</v>
      </c>
    </row>
    <row r="159" spans="1:5" x14ac:dyDescent="0.25">
      <c r="A159" t="s">
        <v>1343</v>
      </c>
      <c r="B159" s="1">
        <v>45222.51666666667</v>
      </c>
      <c r="C159" t="s">
        <v>1389</v>
      </c>
      <c r="D159">
        <v>66</v>
      </c>
      <c r="E159" t="s">
        <v>1314</v>
      </c>
    </row>
    <row r="160" spans="1:5" x14ac:dyDescent="0.25">
      <c r="A160" t="s">
        <v>1320</v>
      </c>
      <c r="B160" s="1">
        <v>45219.636111111111</v>
      </c>
      <c r="C160" t="s">
        <v>1389</v>
      </c>
      <c r="D160">
        <v>49</v>
      </c>
      <c r="E160" t="s">
        <v>1314</v>
      </c>
    </row>
    <row r="161" spans="1:5" x14ac:dyDescent="0.25">
      <c r="A161" t="s">
        <v>1352</v>
      </c>
      <c r="B161" s="1">
        <v>45202.779166666667</v>
      </c>
      <c r="C161" t="s">
        <v>373</v>
      </c>
      <c r="D161">
        <v>61</v>
      </c>
      <c r="E161" t="s">
        <v>1321</v>
      </c>
    </row>
    <row r="162" spans="1:5" x14ac:dyDescent="0.25">
      <c r="A162" t="s">
        <v>1336</v>
      </c>
      <c r="B162" s="1">
        <v>45213.351388888892</v>
      </c>
      <c r="C162" t="s">
        <v>182</v>
      </c>
      <c r="D162">
        <v>86</v>
      </c>
      <c r="E162" t="s">
        <v>1321</v>
      </c>
    </row>
    <row r="163" spans="1:5" x14ac:dyDescent="0.25">
      <c r="A163" t="s">
        <v>1334</v>
      </c>
      <c r="B163" s="1">
        <v>45209.239583333336</v>
      </c>
      <c r="C163" t="s">
        <v>1390</v>
      </c>
      <c r="D163">
        <v>42</v>
      </c>
      <c r="E163" t="s">
        <v>1321</v>
      </c>
    </row>
    <row r="164" spans="1:5" x14ac:dyDescent="0.25">
      <c r="A164" t="s">
        <v>1347</v>
      </c>
      <c r="B164" s="1">
        <v>45204.916666666664</v>
      </c>
      <c r="C164" t="s">
        <v>1391</v>
      </c>
      <c r="D164">
        <v>64</v>
      </c>
      <c r="E164" t="s">
        <v>1321</v>
      </c>
    </row>
    <row r="165" spans="1:5" x14ac:dyDescent="0.25">
      <c r="A165" t="s">
        <v>1311</v>
      </c>
      <c r="B165" s="1">
        <v>45227.421527777777</v>
      </c>
      <c r="C165" t="s">
        <v>1391</v>
      </c>
      <c r="D165">
        <v>25</v>
      </c>
      <c r="E165" t="s">
        <v>1312</v>
      </c>
    </row>
    <row r="166" spans="1:5" x14ac:dyDescent="0.25">
      <c r="A166" t="s">
        <v>1339</v>
      </c>
      <c r="B166" s="1">
        <v>45205.169444444444</v>
      </c>
      <c r="C166" t="s">
        <v>254</v>
      </c>
      <c r="D166">
        <v>18</v>
      </c>
      <c r="E166" t="s">
        <v>1312</v>
      </c>
    </row>
    <row r="167" spans="1:5" x14ac:dyDescent="0.25">
      <c r="A167" t="s">
        <v>1319</v>
      </c>
      <c r="B167" s="1">
        <v>45208.505555555559</v>
      </c>
      <c r="C167" t="s">
        <v>1392</v>
      </c>
      <c r="D167">
        <v>31</v>
      </c>
      <c r="E167" t="s">
        <v>1321</v>
      </c>
    </row>
    <row r="168" spans="1:5" x14ac:dyDescent="0.25">
      <c r="A168" t="s">
        <v>1359</v>
      </c>
      <c r="B168" s="1">
        <v>45227.462500000001</v>
      </c>
      <c r="C168" t="s">
        <v>1392</v>
      </c>
      <c r="D168">
        <v>70</v>
      </c>
      <c r="E168" t="s">
        <v>1321</v>
      </c>
    </row>
    <row r="169" spans="1:5" x14ac:dyDescent="0.25">
      <c r="A169" t="s">
        <v>1323</v>
      </c>
      <c r="B169" s="1">
        <v>45230.009027777778</v>
      </c>
      <c r="C169" t="s">
        <v>74</v>
      </c>
      <c r="D169">
        <v>11</v>
      </c>
      <c r="E169" t="s">
        <v>1312</v>
      </c>
    </row>
    <row r="170" spans="1:5" x14ac:dyDescent="0.25">
      <c r="A170" t="s">
        <v>1319</v>
      </c>
      <c r="B170" s="1">
        <v>45203.760416666664</v>
      </c>
      <c r="C170" t="s">
        <v>74</v>
      </c>
      <c r="D170">
        <v>18</v>
      </c>
      <c r="E170" t="s">
        <v>1321</v>
      </c>
    </row>
    <row r="171" spans="1:5" x14ac:dyDescent="0.25">
      <c r="A171" t="s">
        <v>1324</v>
      </c>
      <c r="B171" s="1">
        <v>45205.650694444441</v>
      </c>
      <c r="C171" t="s">
        <v>191</v>
      </c>
      <c r="D171">
        <v>63</v>
      </c>
      <c r="E171" t="s">
        <v>1314</v>
      </c>
    </row>
    <row r="172" spans="1:5" x14ac:dyDescent="0.25">
      <c r="A172" t="s">
        <v>1344</v>
      </c>
      <c r="B172" s="1">
        <v>45223.030555555553</v>
      </c>
      <c r="C172" t="s">
        <v>1393</v>
      </c>
      <c r="D172">
        <v>59</v>
      </c>
      <c r="E172" t="s">
        <v>1314</v>
      </c>
    </row>
    <row r="173" spans="1:5" x14ac:dyDescent="0.25">
      <c r="A173" t="s">
        <v>1325</v>
      </c>
      <c r="B173" s="1">
        <v>45206.43472222222</v>
      </c>
      <c r="C173" t="s">
        <v>1394</v>
      </c>
      <c r="D173">
        <v>98</v>
      </c>
      <c r="E173" t="s">
        <v>1314</v>
      </c>
    </row>
    <row r="174" spans="1:5" x14ac:dyDescent="0.25">
      <c r="A174" t="s">
        <v>1315</v>
      </c>
      <c r="B174" s="1">
        <v>45217.411805555559</v>
      </c>
      <c r="C174" t="s">
        <v>1394</v>
      </c>
      <c r="D174">
        <v>92</v>
      </c>
      <c r="E174" t="s">
        <v>1321</v>
      </c>
    </row>
    <row r="175" spans="1:5" x14ac:dyDescent="0.25">
      <c r="A175" t="s">
        <v>1322</v>
      </c>
      <c r="B175" s="1">
        <v>45206.259027777778</v>
      </c>
      <c r="C175" t="s">
        <v>1395</v>
      </c>
      <c r="D175">
        <v>104</v>
      </c>
      <c r="E175" t="s">
        <v>1314</v>
      </c>
    </row>
    <row r="176" spans="1:5" x14ac:dyDescent="0.25">
      <c r="A176" t="s">
        <v>1322</v>
      </c>
      <c r="B176" s="1">
        <v>45227.447916666664</v>
      </c>
      <c r="C176" t="s">
        <v>344</v>
      </c>
      <c r="D176">
        <v>84</v>
      </c>
      <c r="E176" t="s">
        <v>1312</v>
      </c>
    </row>
    <row r="177" spans="1:5" x14ac:dyDescent="0.25">
      <c r="A177" t="s">
        <v>1318</v>
      </c>
      <c r="B177" s="1">
        <v>45216.275000000001</v>
      </c>
      <c r="C177" t="s">
        <v>344</v>
      </c>
      <c r="D177">
        <v>119</v>
      </c>
      <c r="E177" t="s">
        <v>1321</v>
      </c>
    </row>
    <row r="178" spans="1:5" x14ac:dyDescent="0.25">
      <c r="A178" t="s">
        <v>1320</v>
      </c>
      <c r="B178" s="1">
        <v>45216.865277777775</v>
      </c>
      <c r="C178" t="s">
        <v>194</v>
      </c>
      <c r="D178">
        <v>10</v>
      </c>
      <c r="E178" t="s">
        <v>1312</v>
      </c>
    </row>
    <row r="179" spans="1:5" x14ac:dyDescent="0.25">
      <c r="A179" t="s">
        <v>1316</v>
      </c>
      <c r="B179" s="1">
        <v>45227.775694444441</v>
      </c>
      <c r="C179" t="s">
        <v>1396</v>
      </c>
      <c r="D179">
        <v>45</v>
      </c>
      <c r="E179" t="s">
        <v>1321</v>
      </c>
    </row>
    <row r="180" spans="1:5" x14ac:dyDescent="0.25">
      <c r="A180" t="s">
        <v>1365</v>
      </c>
      <c r="B180" s="1">
        <v>45221.555555555555</v>
      </c>
      <c r="C180" t="s">
        <v>1396</v>
      </c>
      <c r="D180">
        <v>103</v>
      </c>
      <c r="E180" t="s">
        <v>1312</v>
      </c>
    </row>
    <row r="181" spans="1:5" x14ac:dyDescent="0.25">
      <c r="A181" t="s">
        <v>1334</v>
      </c>
      <c r="B181" s="1">
        <v>45218.088888888888</v>
      </c>
      <c r="C181" t="s">
        <v>110</v>
      </c>
      <c r="D181">
        <v>12</v>
      </c>
      <c r="E181" t="s">
        <v>1321</v>
      </c>
    </row>
    <row r="182" spans="1:5" x14ac:dyDescent="0.25">
      <c r="A182" t="s">
        <v>1339</v>
      </c>
      <c r="B182" s="1">
        <v>45226.84097222222</v>
      </c>
      <c r="C182" t="s">
        <v>110</v>
      </c>
      <c r="D182">
        <v>74</v>
      </c>
      <c r="E182" t="s">
        <v>1312</v>
      </c>
    </row>
    <row r="183" spans="1:5" x14ac:dyDescent="0.25">
      <c r="A183" t="s">
        <v>1334</v>
      </c>
      <c r="B183" s="1">
        <v>45209.215277777781</v>
      </c>
      <c r="C183" t="s">
        <v>110</v>
      </c>
      <c r="D183">
        <v>23</v>
      </c>
      <c r="E183" t="s">
        <v>1321</v>
      </c>
    </row>
    <row r="184" spans="1:5" x14ac:dyDescent="0.25">
      <c r="A184" t="s">
        <v>1322</v>
      </c>
      <c r="B184" s="1">
        <v>45219.438888888886</v>
      </c>
      <c r="C184" t="s">
        <v>222</v>
      </c>
      <c r="D184">
        <v>105</v>
      </c>
      <c r="E184" t="s">
        <v>1312</v>
      </c>
    </row>
    <row r="185" spans="1:5" x14ac:dyDescent="0.25">
      <c r="A185" t="s">
        <v>1319</v>
      </c>
      <c r="B185" s="1">
        <v>45229.595833333333</v>
      </c>
      <c r="C185" t="s">
        <v>213</v>
      </c>
      <c r="D185">
        <v>88</v>
      </c>
      <c r="E185" t="s">
        <v>1321</v>
      </c>
    </row>
    <row r="186" spans="1:5" x14ac:dyDescent="0.25">
      <c r="A186" t="s">
        <v>1352</v>
      </c>
      <c r="B186" s="1">
        <v>45202.42083333333</v>
      </c>
      <c r="C186" t="s">
        <v>213</v>
      </c>
      <c r="D186">
        <v>84</v>
      </c>
      <c r="E186" t="s">
        <v>1314</v>
      </c>
    </row>
    <row r="187" spans="1:5" x14ac:dyDescent="0.25">
      <c r="A187" t="s">
        <v>1315</v>
      </c>
      <c r="B187" s="1">
        <v>45206.919444444444</v>
      </c>
      <c r="C187" t="s">
        <v>213</v>
      </c>
      <c r="D187">
        <v>13</v>
      </c>
      <c r="E187" t="s">
        <v>1312</v>
      </c>
    </row>
    <row r="188" spans="1:5" x14ac:dyDescent="0.25">
      <c r="A188" t="s">
        <v>1343</v>
      </c>
      <c r="B188" s="1">
        <v>45208.594444444447</v>
      </c>
      <c r="C188" t="s">
        <v>1397</v>
      </c>
      <c r="D188">
        <v>50</v>
      </c>
      <c r="E188" t="s">
        <v>1314</v>
      </c>
    </row>
    <row r="189" spans="1:5" x14ac:dyDescent="0.25">
      <c r="A189" t="s">
        <v>1332</v>
      </c>
      <c r="B189" s="1">
        <v>45218.647916666669</v>
      </c>
      <c r="C189" t="s">
        <v>1398</v>
      </c>
      <c r="D189">
        <v>78</v>
      </c>
      <c r="E189" t="s">
        <v>1314</v>
      </c>
    </row>
    <row r="190" spans="1:5" x14ac:dyDescent="0.25">
      <c r="A190" t="s">
        <v>1341</v>
      </c>
      <c r="B190" s="1">
        <v>45200.629166666666</v>
      </c>
      <c r="C190" t="s">
        <v>1398</v>
      </c>
      <c r="D190">
        <v>73</v>
      </c>
      <c r="E190" t="s">
        <v>1312</v>
      </c>
    </row>
    <row r="191" spans="1:5" x14ac:dyDescent="0.25">
      <c r="A191" t="s">
        <v>1332</v>
      </c>
      <c r="B191" s="1">
        <v>45203.35833333333</v>
      </c>
      <c r="C191" t="s">
        <v>1399</v>
      </c>
      <c r="D191">
        <v>5</v>
      </c>
      <c r="E191" t="s">
        <v>1314</v>
      </c>
    </row>
    <row r="192" spans="1:5" x14ac:dyDescent="0.25">
      <c r="A192" t="s">
        <v>1311</v>
      </c>
      <c r="B192" s="1">
        <v>45215.580555555556</v>
      </c>
      <c r="C192" t="s">
        <v>411</v>
      </c>
      <c r="D192">
        <v>102</v>
      </c>
      <c r="E192" t="s">
        <v>1321</v>
      </c>
    </row>
    <row r="193" spans="1:5" x14ac:dyDescent="0.25">
      <c r="A193" t="s">
        <v>1343</v>
      </c>
      <c r="B193" s="1">
        <v>45227.144444444442</v>
      </c>
      <c r="C193" t="s">
        <v>411</v>
      </c>
      <c r="D193">
        <v>11</v>
      </c>
      <c r="E193" t="s">
        <v>1312</v>
      </c>
    </row>
    <row r="194" spans="1:5" x14ac:dyDescent="0.25">
      <c r="A194" t="s">
        <v>1318</v>
      </c>
      <c r="B194" s="1">
        <v>45212.311111111114</v>
      </c>
      <c r="C194" t="s">
        <v>500</v>
      </c>
      <c r="D194">
        <v>79</v>
      </c>
      <c r="E194" t="s">
        <v>1314</v>
      </c>
    </row>
    <row r="195" spans="1:5" x14ac:dyDescent="0.25">
      <c r="A195" t="s">
        <v>1315</v>
      </c>
      <c r="B195" s="1">
        <v>45213.311111111114</v>
      </c>
      <c r="C195" t="s">
        <v>500</v>
      </c>
      <c r="D195">
        <v>22</v>
      </c>
      <c r="E195" t="s">
        <v>1312</v>
      </c>
    </row>
    <row r="196" spans="1:5" x14ac:dyDescent="0.25">
      <c r="A196" t="s">
        <v>1323</v>
      </c>
      <c r="B196" s="1">
        <v>45227.091666666667</v>
      </c>
      <c r="C196" t="s">
        <v>111</v>
      </c>
      <c r="D196">
        <v>112</v>
      </c>
      <c r="E196" t="s">
        <v>1314</v>
      </c>
    </row>
    <row r="197" spans="1:5" x14ac:dyDescent="0.25">
      <c r="A197" t="s">
        <v>1336</v>
      </c>
      <c r="B197" s="1">
        <v>45202.804166666669</v>
      </c>
      <c r="C197" t="s">
        <v>232</v>
      </c>
      <c r="D197">
        <v>115</v>
      </c>
      <c r="E197" t="s">
        <v>1312</v>
      </c>
    </row>
    <row r="198" spans="1:5" x14ac:dyDescent="0.25">
      <c r="A198" t="s">
        <v>1353</v>
      </c>
      <c r="B198" s="1">
        <v>45206.902777777781</v>
      </c>
      <c r="C198" t="s">
        <v>1400</v>
      </c>
      <c r="D198">
        <v>75</v>
      </c>
      <c r="E198" t="s">
        <v>1321</v>
      </c>
    </row>
    <row r="199" spans="1:5" x14ac:dyDescent="0.25">
      <c r="A199" t="s">
        <v>1322</v>
      </c>
      <c r="B199" s="1">
        <v>45217.324305555558</v>
      </c>
      <c r="C199" t="s">
        <v>1401</v>
      </c>
      <c r="D199">
        <v>14</v>
      </c>
      <c r="E199" t="s">
        <v>1312</v>
      </c>
    </row>
    <row r="200" spans="1:5" x14ac:dyDescent="0.25">
      <c r="A200" t="s">
        <v>1316</v>
      </c>
      <c r="B200" s="1">
        <v>45203.277777777781</v>
      </c>
      <c r="C200" t="s">
        <v>1402</v>
      </c>
      <c r="D200">
        <v>79</v>
      </c>
      <c r="E200" t="s">
        <v>1312</v>
      </c>
    </row>
    <row r="201" spans="1:5" x14ac:dyDescent="0.25">
      <c r="A201" t="s">
        <v>1311</v>
      </c>
      <c r="B201" s="1">
        <v>45226.975694444445</v>
      </c>
      <c r="C201" t="s">
        <v>1402</v>
      </c>
      <c r="D201">
        <v>89</v>
      </c>
      <c r="E201" t="s">
        <v>1321</v>
      </c>
    </row>
    <row r="202" spans="1:5" x14ac:dyDescent="0.25">
      <c r="A202" t="s">
        <v>1324</v>
      </c>
      <c r="B202" s="1">
        <v>45215.811111111114</v>
      </c>
      <c r="C202" t="s">
        <v>1402</v>
      </c>
      <c r="D202">
        <v>49</v>
      </c>
      <c r="E202" t="s">
        <v>1312</v>
      </c>
    </row>
    <row r="203" spans="1:5" x14ac:dyDescent="0.25">
      <c r="A203" t="s">
        <v>1327</v>
      </c>
      <c r="B203" s="1">
        <v>45210.908333333333</v>
      </c>
      <c r="C203" t="s">
        <v>328</v>
      </c>
      <c r="D203">
        <v>57</v>
      </c>
      <c r="E203" t="s">
        <v>1321</v>
      </c>
    </row>
    <row r="204" spans="1:5" x14ac:dyDescent="0.25">
      <c r="A204" t="s">
        <v>1318</v>
      </c>
      <c r="B204" s="1">
        <v>45210.686111111114</v>
      </c>
      <c r="C204" t="s">
        <v>328</v>
      </c>
      <c r="D204">
        <v>62</v>
      </c>
      <c r="E204" t="s">
        <v>1312</v>
      </c>
    </row>
    <row r="205" spans="1:5" x14ac:dyDescent="0.25">
      <c r="A205" t="s">
        <v>1334</v>
      </c>
      <c r="B205" s="1">
        <v>45216.078472222223</v>
      </c>
      <c r="C205" t="s">
        <v>507</v>
      </c>
      <c r="D205">
        <v>48</v>
      </c>
      <c r="E205" t="s">
        <v>1312</v>
      </c>
    </row>
    <row r="206" spans="1:5" x14ac:dyDescent="0.25">
      <c r="A206" t="s">
        <v>1326</v>
      </c>
      <c r="B206" s="1">
        <v>45210.270138888889</v>
      </c>
      <c r="C206" t="s">
        <v>1403</v>
      </c>
      <c r="D206">
        <v>104</v>
      </c>
      <c r="E206" t="s">
        <v>1321</v>
      </c>
    </row>
    <row r="207" spans="1:5" x14ac:dyDescent="0.25">
      <c r="A207" t="s">
        <v>1323</v>
      </c>
      <c r="B207" s="1">
        <v>45203.991666666669</v>
      </c>
      <c r="C207" t="s">
        <v>1404</v>
      </c>
      <c r="D207">
        <v>5</v>
      </c>
      <c r="E207" t="s">
        <v>1321</v>
      </c>
    </row>
    <row r="208" spans="1:5" x14ac:dyDescent="0.25">
      <c r="A208" t="s">
        <v>1353</v>
      </c>
      <c r="B208" s="1">
        <v>45230.731944444444</v>
      </c>
      <c r="C208" t="s">
        <v>1405</v>
      </c>
      <c r="D208">
        <v>52</v>
      </c>
      <c r="E208" t="s">
        <v>1314</v>
      </c>
    </row>
    <row r="209" spans="1:5" x14ac:dyDescent="0.25">
      <c r="A209" t="s">
        <v>1352</v>
      </c>
      <c r="B209" s="1">
        <v>45201.623611111114</v>
      </c>
      <c r="C209" t="s">
        <v>1405</v>
      </c>
      <c r="D209">
        <v>9</v>
      </c>
      <c r="E209" t="s">
        <v>1314</v>
      </c>
    </row>
    <row r="210" spans="1:5" x14ac:dyDescent="0.25">
      <c r="A210" t="s">
        <v>1353</v>
      </c>
      <c r="B210" s="1">
        <v>45224.984027777777</v>
      </c>
      <c r="C210" t="s">
        <v>1406</v>
      </c>
      <c r="D210">
        <v>49</v>
      </c>
      <c r="E210" t="s">
        <v>1314</v>
      </c>
    </row>
    <row r="211" spans="1:5" x14ac:dyDescent="0.25">
      <c r="A211" t="s">
        <v>1315</v>
      </c>
      <c r="B211" s="1">
        <v>45229.503472222219</v>
      </c>
      <c r="C211" t="s">
        <v>1407</v>
      </c>
      <c r="D211">
        <v>106</v>
      </c>
      <c r="E211" t="s">
        <v>1312</v>
      </c>
    </row>
    <row r="212" spans="1:5" x14ac:dyDescent="0.25">
      <c r="A212" t="s">
        <v>1352</v>
      </c>
      <c r="B212" s="1">
        <v>45209.365277777775</v>
      </c>
      <c r="C212" t="s">
        <v>509</v>
      </c>
      <c r="D212">
        <v>120</v>
      </c>
      <c r="E212" t="s">
        <v>1314</v>
      </c>
    </row>
    <row r="213" spans="1:5" x14ac:dyDescent="0.25">
      <c r="A213" t="s">
        <v>1320</v>
      </c>
      <c r="B213" s="1">
        <v>45215.990277777775</v>
      </c>
      <c r="C213" t="s">
        <v>509</v>
      </c>
      <c r="D213">
        <v>66</v>
      </c>
      <c r="E213" t="s">
        <v>1321</v>
      </c>
    </row>
    <row r="214" spans="1:5" x14ac:dyDescent="0.25">
      <c r="A214" t="s">
        <v>1336</v>
      </c>
      <c r="B214" s="1">
        <v>45211.724999999999</v>
      </c>
      <c r="C214" t="s">
        <v>509</v>
      </c>
      <c r="D214">
        <v>84</v>
      </c>
      <c r="E214" t="s">
        <v>1321</v>
      </c>
    </row>
    <row r="215" spans="1:5" x14ac:dyDescent="0.25">
      <c r="A215" t="s">
        <v>1343</v>
      </c>
      <c r="B215" s="1">
        <v>45205.929861111108</v>
      </c>
      <c r="C215" t="s">
        <v>437</v>
      </c>
      <c r="D215">
        <v>82</v>
      </c>
      <c r="E215" t="s">
        <v>1321</v>
      </c>
    </row>
    <row r="216" spans="1:5" x14ac:dyDescent="0.25">
      <c r="A216" t="s">
        <v>1316</v>
      </c>
      <c r="B216" s="1">
        <v>45207.368055555555</v>
      </c>
      <c r="C216" t="s">
        <v>358</v>
      </c>
      <c r="D216">
        <v>46</v>
      </c>
      <c r="E216" t="s">
        <v>1314</v>
      </c>
    </row>
    <row r="217" spans="1:5" x14ac:dyDescent="0.25">
      <c r="A217" t="s">
        <v>1327</v>
      </c>
      <c r="B217" s="1">
        <v>45206.636805555558</v>
      </c>
      <c r="C217" t="s">
        <v>338</v>
      </c>
      <c r="D217">
        <v>32</v>
      </c>
      <c r="E217" t="s">
        <v>1321</v>
      </c>
    </row>
    <row r="218" spans="1:5" x14ac:dyDescent="0.25">
      <c r="A218" t="s">
        <v>1325</v>
      </c>
      <c r="B218" s="1">
        <v>45218.589583333334</v>
      </c>
      <c r="C218" t="s">
        <v>338</v>
      </c>
      <c r="D218">
        <v>21</v>
      </c>
      <c r="E218" t="s">
        <v>1314</v>
      </c>
    </row>
    <row r="219" spans="1:5" x14ac:dyDescent="0.25">
      <c r="A219" t="s">
        <v>1313</v>
      </c>
      <c r="B219" s="1">
        <v>45200.913888888892</v>
      </c>
      <c r="C219" t="s">
        <v>132</v>
      </c>
      <c r="D219">
        <v>87</v>
      </c>
      <c r="E219" t="s">
        <v>1314</v>
      </c>
    </row>
    <row r="220" spans="1:5" x14ac:dyDescent="0.25">
      <c r="A220" t="s">
        <v>1336</v>
      </c>
      <c r="B220" s="1">
        <v>45213.607638888891</v>
      </c>
      <c r="C220" t="s">
        <v>1408</v>
      </c>
      <c r="D220">
        <v>22</v>
      </c>
      <c r="E220" t="s">
        <v>1314</v>
      </c>
    </row>
    <row r="221" spans="1:5" x14ac:dyDescent="0.25">
      <c r="A221" t="s">
        <v>1334</v>
      </c>
      <c r="B221" s="1">
        <v>45206.768055555556</v>
      </c>
      <c r="C221" t="s">
        <v>1409</v>
      </c>
      <c r="D221">
        <v>35</v>
      </c>
      <c r="E221" t="s">
        <v>1321</v>
      </c>
    </row>
    <row r="222" spans="1:5" x14ac:dyDescent="0.25">
      <c r="A222" t="s">
        <v>1341</v>
      </c>
      <c r="B222" s="1">
        <v>45203.71597222222</v>
      </c>
      <c r="C222" t="s">
        <v>504</v>
      </c>
      <c r="D222">
        <v>68</v>
      </c>
      <c r="E222" t="s">
        <v>1312</v>
      </c>
    </row>
    <row r="223" spans="1:5" x14ac:dyDescent="0.25">
      <c r="A223" t="s">
        <v>1311</v>
      </c>
      <c r="B223" s="1">
        <v>45222.479166666664</v>
      </c>
      <c r="C223" t="s">
        <v>122</v>
      </c>
      <c r="D223">
        <v>112</v>
      </c>
      <c r="E223" t="s">
        <v>1312</v>
      </c>
    </row>
    <row r="224" spans="1:5" x14ac:dyDescent="0.25">
      <c r="A224" t="s">
        <v>1322</v>
      </c>
      <c r="B224" s="1">
        <v>45211.587500000001</v>
      </c>
      <c r="C224" t="s">
        <v>484</v>
      </c>
      <c r="D224">
        <v>27</v>
      </c>
      <c r="E224" t="s">
        <v>1321</v>
      </c>
    </row>
    <row r="225" spans="1:5" x14ac:dyDescent="0.25">
      <c r="A225" t="s">
        <v>1326</v>
      </c>
      <c r="B225" s="1">
        <v>45229.4</v>
      </c>
      <c r="C225" t="s">
        <v>1410</v>
      </c>
      <c r="D225">
        <v>77</v>
      </c>
      <c r="E225" t="s">
        <v>1314</v>
      </c>
    </row>
    <row r="226" spans="1:5" x14ac:dyDescent="0.25">
      <c r="A226" t="s">
        <v>1332</v>
      </c>
      <c r="B226" s="1">
        <v>45224.671527777777</v>
      </c>
      <c r="C226" t="s">
        <v>1410</v>
      </c>
      <c r="D226">
        <v>14</v>
      </c>
      <c r="E226" t="s">
        <v>1321</v>
      </c>
    </row>
    <row r="227" spans="1:5" x14ac:dyDescent="0.25">
      <c r="A227" t="s">
        <v>1313</v>
      </c>
      <c r="B227" s="1">
        <v>45230.913194444445</v>
      </c>
      <c r="C227" t="s">
        <v>78</v>
      </c>
      <c r="D227">
        <v>62</v>
      </c>
      <c r="E227" t="s">
        <v>1314</v>
      </c>
    </row>
    <row r="228" spans="1:5" x14ac:dyDescent="0.25">
      <c r="A228" t="s">
        <v>1318</v>
      </c>
      <c r="B228" s="1">
        <v>45203.59652777778</v>
      </c>
      <c r="C228" t="s">
        <v>78</v>
      </c>
      <c r="D228">
        <v>13</v>
      </c>
      <c r="E228" t="s">
        <v>1312</v>
      </c>
    </row>
    <row r="229" spans="1:5" x14ac:dyDescent="0.25">
      <c r="A229" t="s">
        <v>1341</v>
      </c>
      <c r="B229" s="1">
        <v>45212.617361111108</v>
      </c>
      <c r="C229" t="s">
        <v>1411</v>
      </c>
      <c r="D229">
        <v>28</v>
      </c>
      <c r="E229" t="s">
        <v>1314</v>
      </c>
    </row>
    <row r="230" spans="1:5" x14ac:dyDescent="0.25">
      <c r="A230" t="s">
        <v>1323</v>
      </c>
      <c r="B230" s="1">
        <v>45204.26458333333</v>
      </c>
      <c r="C230" t="s">
        <v>450</v>
      </c>
      <c r="D230">
        <v>90</v>
      </c>
      <c r="E230" t="s">
        <v>1321</v>
      </c>
    </row>
    <row r="231" spans="1:5" x14ac:dyDescent="0.25">
      <c r="A231" t="s">
        <v>1320</v>
      </c>
      <c r="B231" s="1">
        <v>45228.672222222223</v>
      </c>
      <c r="C231" t="s">
        <v>450</v>
      </c>
      <c r="D231">
        <v>106</v>
      </c>
      <c r="E231" t="s">
        <v>1314</v>
      </c>
    </row>
    <row r="232" spans="1:5" x14ac:dyDescent="0.25">
      <c r="A232" t="s">
        <v>1344</v>
      </c>
      <c r="B232" s="1">
        <v>45207.919444444444</v>
      </c>
      <c r="C232" t="s">
        <v>1412</v>
      </c>
      <c r="D232">
        <v>42</v>
      </c>
      <c r="E232" t="s">
        <v>1314</v>
      </c>
    </row>
    <row r="233" spans="1:5" x14ac:dyDescent="0.25">
      <c r="A233" t="s">
        <v>1318</v>
      </c>
      <c r="B233" s="1">
        <v>45214.697916666664</v>
      </c>
      <c r="C233" t="s">
        <v>185</v>
      </c>
      <c r="D233">
        <v>98</v>
      </c>
      <c r="E233" t="s">
        <v>1321</v>
      </c>
    </row>
    <row r="234" spans="1:5" x14ac:dyDescent="0.25">
      <c r="A234" t="s">
        <v>1320</v>
      </c>
      <c r="B234" s="1">
        <v>45230.40902777778</v>
      </c>
      <c r="C234" t="s">
        <v>125</v>
      </c>
      <c r="D234">
        <v>80</v>
      </c>
      <c r="E234" t="s">
        <v>1312</v>
      </c>
    </row>
    <row r="235" spans="1:5" x14ac:dyDescent="0.25">
      <c r="A235" t="s">
        <v>1347</v>
      </c>
      <c r="B235" s="1">
        <v>45228.15902777778</v>
      </c>
      <c r="C235" t="s">
        <v>125</v>
      </c>
      <c r="D235">
        <v>30</v>
      </c>
      <c r="E235" t="s">
        <v>1314</v>
      </c>
    </row>
    <row r="236" spans="1:5" x14ac:dyDescent="0.25">
      <c r="A236" t="s">
        <v>1320</v>
      </c>
      <c r="B236" s="1">
        <v>45205.527083333334</v>
      </c>
      <c r="C236" t="s">
        <v>321</v>
      </c>
      <c r="D236">
        <v>40</v>
      </c>
      <c r="E236" t="s">
        <v>1321</v>
      </c>
    </row>
    <row r="237" spans="1:5" x14ac:dyDescent="0.25">
      <c r="A237" t="s">
        <v>1311</v>
      </c>
      <c r="B237" s="1">
        <v>45220.743055555555</v>
      </c>
      <c r="C237" t="s">
        <v>321</v>
      </c>
      <c r="D237">
        <v>54</v>
      </c>
      <c r="E237" t="s">
        <v>1312</v>
      </c>
    </row>
    <row r="238" spans="1:5" x14ac:dyDescent="0.25">
      <c r="A238" t="s">
        <v>1353</v>
      </c>
      <c r="B238" s="1">
        <v>45212.720833333333</v>
      </c>
      <c r="C238" t="s">
        <v>510</v>
      </c>
      <c r="D238">
        <v>33</v>
      </c>
      <c r="E238" t="s">
        <v>1321</v>
      </c>
    </row>
    <row r="239" spans="1:5" x14ac:dyDescent="0.25">
      <c r="A239" t="s">
        <v>1339</v>
      </c>
      <c r="B239" s="1">
        <v>45211.079861111109</v>
      </c>
      <c r="C239" t="s">
        <v>1413</v>
      </c>
      <c r="D239">
        <v>59</v>
      </c>
      <c r="E239" t="s">
        <v>1312</v>
      </c>
    </row>
    <row r="240" spans="1:5" x14ac:dyDescent="0.25">
      <c r="A240" t="s">
        <v>1344</v>
      </c>
      <c r="B240" s="1">
        <v>45212.240277777775</v>
      </c>
      <c r="C240" t="s">
        <v>1413</v>
      </c>
      <c r="D240">
        <v>54</v>
      </c>
      <c r="E240" t="s">
        <v>1312</v>
      </c>
    </row>
    <row r="241" spans="1:5" x14ac:dyDescent="0.25">
      <c r="A241" t="s">
        <v>1347</v>
      </c>
      <c r="B241" s="1">
        <v>45209.388888888891</v>
      </c>
      <c r="C241" t="s">
        <v>1414</v>
      </c>
      <c r="D241">
        <v>44</v>
      </c>
      <c r="E241" t="s">
        <v>1314</v>
      </c>
    </row>
    <row r="242" spans="1:5" x14ac:dyDescent="0.25">
      <c r="A242" t="s">
        <v>1347</v>
      </c>
      <c r="B242" s="1">
        <v>45207.124305555553</v>
      </c>
      <c r="C242" t="s">
        <v>1415</v>
      </c>
      <c r="D242">
        <v>77</v>
      </c>
      <c r="E242" t="s">
        <v>1321</v>
      </c>
    </row>
    <row r="243" spans="1:5" x14ac:dyDescent="0.25">
      <c r="A243" t="s">
        <v>1365</v>
      </c>
      <c r="B243" s="1">
        <v>45219.420138888891</v>
      </c>
      <c r="C243" t="s">
        <v>100</v>
      </c>
      <c r="D243">
        <v>63</v>
      </c>
      <c r="E243" t="s">
        <v>1321</v>
      </c>
    </row>
    <row r="244" spans="1:5" x14ac:dyDescent="0.25">
      <c r="A244" t="s">
        <v>1315</v>
      </c>
      <c r="B244" s="1">
        <v>45230.788888888892</v>
      </c>
      <c r="C244" t="s">
        <v>1416</v>
      </c>
      <c r="D244">
        <v>87</v>
      </c>
      <c r="E244" t="s">
        <v>1312</v>
      </c>
    </row>
    <row r="245" spans="1:5" x14ac:dyDescent="0.25">
      <c r="A245" t="s">
        <v>1327</v>
      </c>
      <c r="B245" s="1">
        <v>45228.840277777781</v>
      </c>
      <c r="C245" t="s">
        <v>1416</v>
      </c>
      <c r="D245">
        <v>101</v>
      </c>
      <c r="E245" t="s">
        <v>1314</v>
      </c>
    </row>
    <row r="246" spans="1:5" x14ac:dyDescent="0.25">
      <c r="A246" t="s">
        <v>1316</v>
      </c>
      <c r="B246" s="1">
        <v>45200.093055555553</v>
      </c>
      <c r="C246" t="s">
        <v>1416</v>
      </c>
      <c r="D246">
        <v>63</v>
      </c>
      <c r="E246" t="s">
        <v>1312</v>
      </c>
    </row>
    <row r="247" spans="1:5" x14ac:dyDescent="0.25">
      <c r="A247" t="s">
        <v>1334</v>
      </c>
      <c r="B247" s="1">
        <v>45218.361805555556</v>
      </c>
      <c r="C247" t="s">
        <v>1417</v>
      </c>
      <c r="D247">
        <v>45</v>
      </c>
      <c r="E247" t="s">
        <v>1321</v>
      </c>
    </row>
    <row r="248" spans="1:5" x14ac:dyDescent="0.25">
      <c r="A248" t="s">
        <v>1326</v>
      </c>
      <c r="B248" s="1">
        <v>45230.834722222222</v>
      </c>
      <c r="C248" t="s">
        <v>1417</v>
      </c>
      <c r="D248">
        <v>46</v>
      </c>
      <c r="E248" t="s">
        <v>1312</v>
      </c>
    </row>
    <row r="249" spans="1:5" x14ac:dyDescent="0.25">
      <c r="A249" t="s">
        <v>1324</v>
      </c>
      <c r="B249" s="1">
        <v>45226.920138888891</v>
      </c>
      <c r="C249" t="s">
        <v>1417</v>
      </c>
      <c r="D249">
        <v>64</v>
      </c>
      <c r="E249" t="s">
        <v>1321</v>
      </c>
    </row>
    <row r="250" spans="1:5" x14ac:dyDescent="0.25">
      <c r="A250" t="s">
        <v>1327</v>
      </c>
      <c r="B250" s="1">
        <v>45220.114583333336</v>
      </c>
      <c r="C250" t="s">
        <v>1417</v>
      </c>
      <c r="D250">
        <v>54</v>
      </c>
      <c r="E250" t="s">
        <v>1312</v>
      </c>
    </row>
    <row r="251" spans="1:5" x14ac:dyDescent="0.25">
      <c r="A251" t="s">
        <v>1323</v>
      </c>
      <c r="B251" s="1">
        <v>45229.282638888886</v>
      </c>
      <c r="C251" t="s">
        <v>1417</v>
      </c>
      <c r="D251">
        <v>102</v>
      </c>
      <c r="E251" t="s">
        <v>1312</v>
      </c>
    </row>
    <row r="252" spans="1:5" x14ac:dyDescent="0.25">
      <c r="A252" t="s">
        <v>1315</v>
      </c>
      <c r="B252" s="1">
        <v>45220.642361111109</v>
      </c>
      <c r="C252" t="s">
        <v>1417</v>
      </c>
      <c r="D252">
        <v>19</v>
      </c>
      <c r="E252" t="s">
        <v>1314</v>
      </c>
    </row>
    <row r="253" spans="1:5" x14ac:dyDescent="0.25">
      <c r="A253" t="s">
        <v>1326</v>
      </c>
      <c r="B253" s="1">
        <v>45228.511805555558</v>
      </c>
      <c r="C253" t="s">
        <v>511</v>
      </c>
      <c r="D253">
        <v>64</v>
      </c>
      <c r="E253" t="s">
        <v>1312</v>
      </c>
    </row>
    <row r="254" spans="1:5" x14ac:dyDescent="0.25">
      <c r="A254" t="s">
        <v>1336</v>
      </c>
      <c r="B254" s="1">
        <v>45230.323611111111</v>
      </c>
      <c r="C254" t="s">
        <v>511</v>
      </c>
      <c r="D254">
        <v>105</v>
      </c>
      <c r="E254" t="s">
        <v>1314</v>
      </c>
    </row>
    <row r="255" spans="1:5" x14ac:dyDescent="0.25">
      <c r="A255" t="s">
        <v>1323</v>
      </c>
      <c r="B255" s="1">
        <v>45217.775694444441</v>
      </c>
      <c r="C255" t="s">
        <v>217</v>
      </c>
      <c r="D255">
        <v>84</v>
      </c>
      <c r="E255" t="s">
        <v>1314</v>
      </c>
    </row>
    <row r="256" spans="1:5" x14ac:dyDescent="0.25">
      <c r="A256" t="s">
        <v>1326</v>
      </c>
      <c r="B256" s="1">
        <v>45202.780555555553</v>
      </c>
      <c r="C256" t="s">
        <v>217</v>
      </c>
      <c r="D256">
        <v>53</v>
      </c>
      <c r="E256" t="s">
        <v>1321</v>
      </c>
    </row>
    <row r="257" spans="1:5" x14ac:dyDescent="0.25">
      <c r="A257" t="s">
        <v>1332</v>
      </c>
      <c r="B257" s="1">
        <v>45216.26666666667</v>
      </c>
      <c r="C257" t="s">
        <v>217</v>
      </c>
      <c r="D257">
        <v>90</v>
      </c>
      <c r="E257" t="s">
        <v>1321</v>
      </c>
    </row>
    <row r="258" spans="1:5" x14ac:dyDescent="0.25">
      <c r="A258" t="s">
        <v>1341</v>
      </c>
      <c r="B258" s="1">
        <v>45211.495833333334</v>
      </c>
      <c r="C258" t="s">
        <v>1418</v>
      </c>
      <c r="D258">
        <v>61</v>
      </c>
      <c r="E258" t="s">
        <v>1312</v>
      </c>
    </row>
    <row r="259" spans="1:5" x14ac:dyDescent="0.25">
      <c r="A259" t="s">
        <v>1334</v>
      </c>
      <c r="B259" s="1">
        <v>45217.414583333331</v>
      </c>
      <c r="C259" t="s">
        <v>1418</v>
      </c>
      <c r="D259">
        <v>74</v>
      </c>
      <c r="E259" t="s">
        <v>1321</v>
      </c>
    </row>
    <row r="260" spans="1:5" x14ac:dyDescent="0.25">
      <c r="A260" t="s">
        <v>1318</v>
      </c>
      <c r="B260" s="1">
        <v>45211.123611111114</v>
      </c>
      <c r="C260" t="s">
        <v>1418</v>
      </c>
      <c r="D260">
        <v>87</v>
      </c>
      <c r="E260" t="s">
        <v>1314</v>
      </c>
    </row>
    <row r="261" spans="1:5" x14ac:dyDescent="0.25">
      <c r="A261" t="s">
        <v>1365</v>
      </c>
      <c r="B261" s="1">
        <v>45226.013194444444</v>
      </c>
      <c r="C261" t="s">
        <v>1418</v>
      </c>
      <c r="D261">
        <v>107</v>
      </c>
      <c r="E261" t="s">
        <v>1312</v>
      </c>
    </row>
    <row r="262" spans="1:5" x14ac:dyDescent="0.25">
      <c r="A262" t="s">
        <v>1334</v>
      </c>
      <c r="B262" s="1">
        <v>45228.086111111108</v>
      </c>
      <c r="C262" t="s">
        <v>493</v>
      </c>
      <c r="D262">
        <v>43</v>
      </c>
      <c r="E262" t="s">
        <v>1321</v>
      </c>
    </row>
    <row r="263" spans="1:5" x14ac:dyDescent="0.25">
      <c r="A263" t="s">
        <v>1352</v>
      </c>
      <c r="B263" s="1">
        <v>45230.863888888889</v>
      </c>
      <c r="C263" t="s">
        <v>470</v>
      </c>
      <c r="D263">
        <v>57</v>
      </c>
      <c r="E263" t="s">
        <v>1314</v>
      </c>
    </row>
    <row r="264" spans="1:5" x14ac:dyDescent="0.25">
      <c r="A264" t="s">
        <v>1353</v>
      </c>
      <c r="B264" s="1">
        <v>45217.02847222222</v>
      </c>
      <c r="C264" t="s">
        <v>470</v>
      </c>
      <c r="D264">
        <v>120</v>
      </c>
      <c r="E264" t="s">
        <v>1321</v>
      </c>
    </row>
    <row r="265" spans="1:5" x14ac:dyDescent="0.25">
      <c r="A265" t="s">
        <v>1319</v>
      </c>
      <c r="B265" s="1">
        <v>45214.960416666669</v>
      </c>
      <c r="C265" t="s">
        <v>168</v>
      </c>
      <c r="D265">
        <v>38</v>
      </c>
      <c r="E265" t="s">
        <v>1314</v>
      </c>
    </row>
    <row r="266" spans="1:5" x14ac:dyDescent="0.25">
      <c r="A266" t="s">
        <v>1323</v>
      </c>
      <c r="B266" s="1">
        <v>45212.315972222219</v>
      </c>
      <c r="C266" t="s">
        <v>1419</v>
      </c>
      <c r="D266">
        <v>112</v>
      </c>
      <c r="E266" t="s">
        <v>1314</v>
      </c>
    </row>
    <row r="267" spans="1:5" x14ac:dyDescent="0.25">
      <c r="A267" t="s">
        <v>1316</v>
      </c>
      <c r="B267" s="1">
        <v>45215.597916666666</v>
      </c>
      <c r="C267" t="s">
        <v>1419</v>
      </c>
      <c r="D267">
        <v>7</v>
      </c>
      <c r="E267" t="s">
        <v>1321</v>
      </c>
    </row>
    <row r="268" spans="1:5" x14ac:dyDescent="0.25">
      <c r="A268" t="s">
        <v>1325</v>
      </c>
      <c r="B268" s="1">
        <v>45203.89166666667</v>
      </c>
      <c r="C268" t="s">
        <v>1419</v>
      </c>
      <c r="D268">
        <v>7</v>
      </c>
      <c r="E268" t="s">
        <v>1312</v>
      </c>
    </row>
    <row r="269" spans="1:5" x14ac:dyDescent="0.25">
      <c r="A269" t="s">
        <v>1336</v>
      </c>
      <c r="B269" s="1">
        <v>45220.651388888888</v>
      </c>
      <c r="C269" t="s">
        <v>1419</v>
      </c>
      <c r="D269">
        <v>36</v>
      </c>
      <c r="E269" t="s">
        <v>1314</v>
      </c>
    </row>
    <row r="270" spans="1:5" x14ac:dyDescent="0.25">
      <c r="A270" t="s">
        <v>1322</v>
      </c>
      <c r="B270" s="1">
        <v>45207.350694444445</v>
      </c>
      <c r="C270" t="s">
        <v>1420</v>
      </c>
      <c r="D270">
        <v>75</v>
      </c>
      <c r="E270" t="s">
        <v>1321</v>
      </c>
    </row>
    <row r="271" spans="1:5" x14ac:dyDescent="0.25">
      <c r="A271" t="s">
        <v>1343</v>
      </c>
      <c r="B271" s="1">
        <v>45221.039583333331</v>
      </c>
      <c r="C271" t="s">
        <v>327</v>
      </c>
      <c r="D271">
        <v>33</v>
      </c>
      <c r="E271" t="s">
        <v>1312</v>
      </c>
    </row>
    <row r="272" spans="1:5" x14ac:dyDescent="0.25">
      <c r="A272" t="s">
        <v>1365</v>
      </c>
      <c r="B272" s="1">
        <v>45205.816666666666</v>
      </c>
      <c r="C272" t="s">
        <v>1421</v>
      </c>
      <c r="D272">
        <v>33</v>
      </c>
      <c r="E272" t="s">
        <v>1321</v>
      </c>
    </row>
    <row r="273" spans="1:5" x14ac:dyDescent="0.25">
      <c r="A273" t="s">
        <v>1347</v>
      </c>
      <c r="B273" s="1">
        <v>45200.466666666667</v>
      </c>
      <c r="C273" t="s">
        <v>350</v>
      </c>
      <c r="D273">
        <v>31</v>
      </c>
      <c r="E273" t="s">
        <v>1312</v>
      </c>
    </row>
    <row r="274" spans="1:5" x14ac:dyDescent="0.25">
      <c r="A274" t="s">
        <v>1324</v>
      </c>
      <c r="B274" s="1">
        <v>45201.293055555558</v>
      </c>
      <c r="C274" t="s">
        <v>350</v>
      </c>
      <c r="D274">
        <v>95</v>
      </c>
      <c r="E274" t="s">
        <v>1321</v>
      </c>
    </row>
    <row r="275" spans="1:5" x14ac:dyDescent="0.25">
      <c r="A275" t="s">
        <v>1319</v>
      </c>
      <c r="B275" s="1">
        <v>45200.511111111111</v>
      </c>
      <c r="C275" t="s">
        <v>1422</v>
      </c>
      <c r="D275">
        <v>108</v>
      </c>
      <c r="E275" t="s">
        <v>1321</v>
      </c>
    </row>
    <row r="276" spans="1:5" x14ac:dyDescent="0.25">
      <c r="A276" t="s">
        <v>1315</v>
      </c>
      <c r="B276" s="1">
        <v>45202.259722222225</v>
      </c>
      <c r="C276" t="s">
        <v>31</v>
      </c>
      <c r="D276">
        <v>79</v>
      </c>
      <c r="E276" t="s">
        <v>1314</v>
      </c>
    </row>
    <row r="277" spans="1:5" x14ac:dyDescent="0.25">
      <c r="A277" t="s">
        <v>1341</v>
      </c>
      <c r="B277" s="1">
        <v>45221.180555555555</v>
      </c>
      <c r="C277" t="s">
        <v>31</v>
      </c>
      <c r="D277">
        <v>8</v>
      </c>
      <c r="E277" t="s">
        <v>1314</v>
      </c>
    </row>
    <row r="278" spans="1:5" x14ac:dyDescent="0.25">
      <c r="A278" t="s">
        <v>1319</v>
      </c>
      <c r="B278" s="1">
        <v>45213.254166666666</v>
      </c>
      <c r="C278" t="s">
        <v>127</v>
      </c>
      <c r="D278">
        <v>73</v>
      </c>
      <c r="E278" t="s">
        <v>1321</v>
      </c>
    </row>
    <row r="279" spans="1:5" x14ac:dyDescent="0.25">
      <c r="A279" t="s">
        <v>1322</v>
      </c>
      <c r="B279" s="1">
        <v>45226.17083333333</v>
      </c>
      <c r="C279" t="s">
        <v>127</v>
      </c>
      <c r="D279">
        <v>54</v>
      </c>
      <c r="E279" t="s">
        <v>1314</v>
      </c>
    </row>
    <row r="280" spans="1:5" x14ac:dyDescent="0.25">
      <c r="A280" t="s">
        <v>1334</v>
      </c>
      <c r="B280" s="1">
        <v>45210.890277777777</v>
      </c>
      <c r="C280" t="s">
        <v>1423</v>
      </c>
      <c r="D280">
        <v>118</v>
      </c>
      <c r="E280" t="s">
        <v>1314</v>
      </c>
    </row>
    <row r="281" spans="1:5" x14ac:dyDescent="0.25">
      <c r="A281" t="s">
        <v>1316</v>
      </c>
      <c r="B281" s="1">
        <v>45225.859027777777</v>
      </c>
      <c r="C281" t="s">
        <v>1423</v>
      </c>
      <c r="D281">
        <v>90</v>
      </c>
      <c r="E281" t="s">
        <v>1312</v>
      </c>
    </row>
    <row r="282" spans="1:5" x14ac:dyDescent="0.25">
      <c r="A282" t="s">
        <v>1323</v>
      </c>
      <c r="B282" s="1">
        <v>45211.386111111111</v>
      </c>
      <c r="C282" t="s">
        <v>1423</v>
      </c>
      <c r="D282">
        <v>13</v>
      </c>
      <c r="E282" t="s">
        <v>1312</v>
      </c>
    </row>
    <row r="283" spans="1:5" x14ac:dyDescent="0.25">
      <c r="A283" t="s">
        <v>1341</v>
      </c>
      <c r="B283" s="1">
        <v>45205.96875</v>
      </c>
      <c r="C283" t="s">
        <v>1424</v>
      </c>
      <c r="D283">
        <v>84</v>
      </c>
      <c r="E283" t="s">
        <v>1312</v>
      </c>
    </row>
    <row r="284" spans="1:5" x14ac:dyDescent="0.25">
      <c r="A284" t="s">
        <v>1344</v>
      </c>
      <c r="B284" s="1">
        <v>45226.224999999999</v>
      </c>
      <c r="C284" t="s">
        <v>505</v>
      </c>
      <c r="D284">
        <v>11</v>
      </c>
      <c r="E284" t="s">
        <v>1312</v>
      </c>
    </row>
    <row r="285" spans="1:5" x14ac:dyDescent="0.25">
      <c r="A285" t="s">
        <v>1325</v>
      </c>
      <c r="B285" s="1">
        <v>45230.64166666667</v>
      </c>
      <c r="C285" t="s">
        <v>539</v>
      </c>
      <c r="D285">
        <v>106</v>
      </c>
      <c r="E285" t="s">
        <v>1314</v>
      </c>
    </row>
    <row r="286" spans="1:5" x14ac:dyDescent="0.25">
      <c r="A286" t="s">
        <v>1343</v>
      </c>
      <c r="B286" s="1">
        <v>45229.756249999999</v>
      </c>
      <c r="C286" t="s">
        <v>1425</v>
      </c>
      <c r="D286">
        <v>82</v>
      </c>
      <c r="E286" t="s">
        <v>1321</v>
      </c>
    </row>
    <row r="287" spans="1:5" x14ac:dyDescent="0.25">
      <c r="A287" t="s">
        <v>1323</v>
      </c>
      <c r="B287" s="1">
        <v>45227.92291666667</v>
      </c>
      <c r="C287" t="s">
        <v>528</v>
      </c>
      <c r="D287">
        <v>26</v>
      </c>
      <c r="E287" t="s">
        <v>1321</v>
      </c>
    </row>
    <row r="288" spans="1:5" x14ac:dyDescent="0.25">
      <c r="A288" t="s">
        <v>1341</v>
      </c>
      <c r="B288" s="1">
        <v>45207.599305555559</v>
      </c>
      <c r="C288" t="s">
        <v>528</v>
      </c>
      <c r="D288">
        <v>59</v>
      </c>
      <c r="E288" t="s">
        <v>1314</v>
      </c>
    </row>
    <row r="289" spans="1:5" x14ac:dyDescent="0.25">
      <c r="A289" t="s">
        <v>1339</v>
      </c>
      <c r="B289" s="1">
        <v>45213.237500000003</v>
      </c>
      <c r="C289" t="s">
        <v>528</v>
      </c>
      <c r="D289">
        <v>68</v>
      </c>
      <c r="E289" t="s">
        <v>1321</v>
      </c>
    </row>
    <row r="290" spans="1:5" x14ac:dyDescent="0.25">
      <c r="A290" t="s">
        <v>1359</v>
      </c>
      <c r="B290" s="1">
        <v>45201.511805555558</v>
      </c>
      <c r="C290" t="s">
        <v>528</v>
      </c>
      <c r="D290">
        <v>62</v>
      </c>
      <c r="E290" t="s">
        <v>1312</v>
      </c>
    </row>
    <row r="291" spans="1:5" x14ac:dyDescent="0.25">
      <c r="A291" t="s">
        <v>1365</v>
      </c>
      <c r="B291" s="1">
        <v>45226.321527777778</v>
      </c>
      <c r="C291" t="s">
        <v>528</v>
      </c>
      <c r="D291">
        <v>22</v>
      </c>
      <c r="E291" t="s">
        <v>1321</v>
      </c>
    </row>
    <row r="292" spans="1:5" x14ac:dyDescent="0.25">
      <c r="A292" t="s">
        <v>1326</v>
      </c>
      <c r="B292" s="1">
        <v>45200.525694444441</v>
      </c>
      <c r="C292" t="s">
        <v>356</v>
      </c>
      <c r="D292">
        <v>88</v>
      </c>
      <c r="E292" t="s">
        <v>1321</v>
      </c>
    </row>
    <row r="293" spans="1:5" x14ac:dyDescent="0.25">
      <c r="A293" t="s">
        <v>1318</v>
      </c>
      <c r="B293" s="1">
        <v>45217.173611111109</v>
      </c>
      <c r="C293" t="s">
        <v>356</v>
      </c>
      <c r="D293">
        <v>53</v>
      </c>
      <c r="E293" t="s">
        <v>1312</v>
      </c>
    </row>
    <row r="294" spans="1:5" x14ac:dyDescent="0.25">
      <c r="A294" t="s">
        <v>1324</v>
      </c>
      <c r="B294" s="1">
        <v>45206.286805555559</v>
      </c>
      <c r="C294" t="s">
        <v>449</v>
      </c>
      <c r="D294">
        <v>96</v>
      </c>
      <c r="E294" t="s">
        <v>1312</v>
      </c>
    </row>
    <row r="295" spans="1:5" x14ac:dyDescent="0.25">
      <c r="A295" t="s">
        <v>1324</v>
      </c>
      <c r="B295" s="1">
        <v>45209.938888888886</v>
      </c>
      <c r="C295" t="s">
        <v>449</v>
      </c>
      <c r="D295">
        <v>37</v>
      </c>
      <c r="E295" t="s">
        <v>1312</v>
      </c>
    </row>
    <row r="296" spans="1:5" x14ac:dyDescent="0.25">
      <c r="A296" t="s">
        <v>1319</v>
      </c>
      <c r="B296" s="1">
        <v>45225.712500000001</v>
      </c>
      <c r="C296" t="s">
        <v>449</v>
      </c>
      <c r="D296">
        <v>25</v>
      </c>
      <c r="E296" t="s">
        <v>1314</v>
      </c>
    </row>
    <row r="297" spans="1:5" x14ac:dyDescent="0.25">
      <c r="A297" t="s">
        <v>1365</v>
      </c>
      <c r="B297" s="1">
        <v>45220.436805555553</v>
      </c>
      <c r="C297" t="s">
        <v>449</v>
      </c>
      <c r="D297">
        <v>64</v>
      </c>
      <c r="E297" t="s">
        <v>1312</v>
      </c>
    </row>
    <row r="298" spans="1:5" x14ac:dyDescent="0.25">
      <c r="A298" t="s">
        <v>1347</v>
      </c>
      <c r="B298" s="1">
        <v>45216.701388888891</v>
      </c>
      <c r="C298" t="s">
        <v>531</v>
      </c>
      <c r="D298">
        <v>80</v>
      </c>
      <c r="E298" t="s">
        <v>1314</v>
      </c>
    </row>
    <row r="299" spans="1:5" x14ac:dyDescent="0.25">
      <c r="A299" t="s">
        <v>1326</v>
      </c>
      <c r="B299" s="1">
        <v>45200.51458333333</v>
      </c>
      <c r="C299" t="s">
        <v>531</v>
      </c>
      <c r="D299">
        <v>24</v>
      </c>
      <c r="E299" t="s">
        <v>1321</v>
      </c>
    </row>
    <row r="300" spans="1:5" x14ac:dyDescent="0.25">
      <c r="A300" t="s">
        <v>1336</v>
      </c>
      <c r="B300" s="1">
        <v>45202.699305555558</v>
      </c>
      <c r="C300" t="s">
        <v>20</v>
      </c>
      <c r="D300">
        <v>63</v>
      </c>
      <c r="E300" t="s">
        <v>1312</v>
      </c>
    </row>
    <row r="301" spans="1:5" x14ac:dyDescent="0.25">
      <c r="A301" t="s">
        <v>1352</v>
      </c>
      <c r="B301" s="1">
        <v>45222.602777777778</v>
      </c>
      <c r="C301" t="s">
        <v>1426</v>
      </c>
      <c r="D301">
        <v>53</v>
      </c>
      <c r="E301" t="s">
        <v>1312</v>
      </c>
    </row>
    <row r="302" spans="1:5" x14ac:dyDescent="0.25">
      <c r="A302" t="s">
        <v>1325</v>
      </c>
      <c r="B302" s="1">
        <v>45223.693055555559</v>
      </c>
      <c r="C302" t="s">
        <v>1427</v>
      </c>
      <c r="D302">
        <v>18</v>
      </c>
      <c r="E302" t="s">
        <v>1312</v>
      </c>
    </row>
    <row r="303" spans="1:5" x14ac:dyDescent="0.25">
      <c r="A303" t="s">
        <v>1324</v>
      </c>
      <c r="B303" s="1">
        <v>45223.568055555559</v>
      </c>
      <c r="C303" t="s">
        <v>1427</v>
      </c>
      <c r="D303">
        <v>21</v>
      </c>
      <c r="E303" t="s">
        <v>1314</v>
      </c>
    </row>
    <row r="304" spans="1:5" x14ac:dyDescent="0.25">
      <c r="A304" t="s">
        <v>1327</v>
      </c>
      <c r="B304" s="1">
        <v>45216.970138888886</v>
      </c>
      <c r="C304" t="s">
        <v>443</v>
      </c>
      <c r="D304">
        <v>13</v>
      </c>
      <c r="E304" t="s">
        <v>1321</v>
      </c>
    </row>
    <row r="305" spans="1:5" x14ac:dyDescent="0.25">
      <c r="A305" t="s">
        <v>1352</v>
      </c>
      <c r="B305" s="1">
        <v>45202.412499999999</v>
      </c>
      <c r="C305" t="s">
        <v>443</v>
      </c>
      <c r="D305">
        <v>35</v>
      </c>
      <c r="E305" t="s">
        <v>1314</v>
      </c>
    </row>
    <row r="306" spans="1:5" x14ac:dyDescent="0.25">
      <c r="A306" t="s">
        <v>1353</v>
      </c>
      <c r="B306" s="1">
        <v>45209.913888888892</v>
      </c>
      <c r="C306" t="s">
        <v>443</v>
      </c>
      <c r="D306">
        <v>111</v>
      </c>
      <c r="E306" t="s">
        <v>1321</v>
      </c>
    </row>
    <row r="307" spans="1:5" x14ac:dyDescent="0.25">
      <c r="A307" t="s">
        <v>1320</v>
      </c>
      <c r="B307" s="1">
        <v>45230.228472222225</v>
      </c>
      <c r="C307" t="s">
        <v>417</v>
      </c>
      <c r="D307">
        <v>39</v>
      </c>
      <c r="E307" t="s">
        <v>1321</v>
      </c>
    </row>
    <row r="308" spans="1:5" x14ac:dyDescent="0.25">
      <c r="A308" t="s">
        <v>1365</v>
      </c>
      <c r="B308" s="1">
        <v>45219.103472222225</v>
      </c>
      <c r="C308" t="s">
        <v>417</v>
      </c>
      <c r="D308">
        <v>72</v>
      </c>
      <c r="E308" t="s">
        <v>1312</v>
      </c>
    </row>
    <row r="309" spans="1:5" x14ac:dyDescent="0.25">
      <c r="A309" t="s">
        <v>1323</v>
      </c>
      <c r="B309" s="1">
        <v>45201.726388888892</v>
      </c>
      <c r="C309" t="s">
        <v>408</v>
      </c>
      <c r="D309">
        <v>97</v>
      </c>
      <c r="E309" t="s">
        <v>1312</v>
      </c>
    </row>
    <row r="310" spans="1:5" x14ac:dyDescent="0.25">
      <c r="A310" t="s">
        <v>1316</v>
      </c>
      <c r="B310" s="1">
        <v>45208.169444444444</v>
      </c>
      <c r="C310" t="s">
        <v>494</v>
      </c>
      <c r="D310">
        <v>47</v>
      </c>
      <c r="E310" t="s">
        <v>1314</v>
      </c>
    </row>
    <row r="311" spans="1:5" x14ac:dyDescent="0.25">
      <c r="A311" t="s">
        <v>1320</v>
      </c>
      <c r="B311" s="1">
        <v>45210.895833333336</v>
      </c>
      <c r="C311" t="s">
        <v>494</v>
      </c>
      <c r="D311">
        <v>110</v>
      </c>
      <c r="E311" t="s">
        <v>1321</v>
      </c>
    </row>
    <row r="312" spans="1:5" x14ac:dyDescent="0.25">
      <c r="A312" t="s">
        <v>1341</v>
      </c>
      <c r="B312" s="1">
        <v>45216.181944444441</v>
      </c>
      <c r="C312" t="s">
        <v>1428</v>
      </c>
      <c r="D312">
        <v>86</v>
      </c>
      <c r="E312" t="s">
        <v>1312</v>
      </c>
    </row>
    <row r="313" spans="1:5" x14ac:dyDescent="0.25">
      <c r="A313" t="s">
        <v>1334</v>
      </c>
      <c r="B313" s="1">
        <v>45207.133333333331</v>
      </c>
      <c r="C313" t="s">
        <v>86</v>
      </c>
      <c r="D313">
        <v>66</v>
      </c>
      <c r="E313" t="s">
        <v>1312</v>
      </c>
    </row>
    <row r="314" spans="1:5" x14ac:dyDescent="0.25">
      <c r="A314" t="s">
        <v>1353</v>
      </c>
      <c r="B314" s="1">
        <v>45214.850694444445</v>
      </c>
      <c r="C314" t="s">
        <v>86</v>
      </c>
      <c r="D314">
        <v>31</v>
      </c>
      <c r="E314" t="s">
        <v>1321</v>
      </c>
    </row>
    <row r="315" spans="1:5" x14ac:dyDescent="0.25">
      <c r="A315" t="s">
        <v>1347</v>
      </c>
      <c r="B315" s="1">
        <v>45202.728472222225</v>
      </c>
      <c r="C315" t="s">
        <v>1429</v>
      </c>
      <c r="D315">
        <v>18</v>
      </c>
      <c r="E315" t="s">
        <v>1314</v>
      </c>
    </row>
    <row r="316" spans="1:5" x14ac:dyDescent="0.25">
      <c r="A316" t="s">
        <v>1336</v>
      </c>
      <c r="B316" s="1">
        <v>45211.711805555555</v>
      </c>
      <c r="C316" t="s">
        <v>1429</v>
      </c>
      <c r="D316">
        <v>82</v>
      </c>
      <c r="E316" t="s">
        <v>1312</v>
      </c>
    </row>
    <row r="317" spans="1:5" x14ac:dyDescent="0.25">
      <c r="A317" t="s">
        <v>1359</v>
      </c>
      <c r="B317" s="1">
        <v>45224.201388888891</v>
      </c>
      <c r="C317" t="s">
        <v>464</v>
      </c>
      <c r="D317">
        <v>43</v>
      </c>
      <c r="E317" t="s">
        <v>1321</v>
      </c>
    </row>
    <row r="318" spans="1:5" x14ac:dyDescent="0.25">
      <c r="A318" t="s">
        <v>1326</v>
      </c>
      <c r="B318" s="1">
        <v>45203.750694444447</v>
      </c>
      <c r="C318" t="s">
        <v>464</v>
      </c>
      <c r="D318">
        <v>64</v>
      </c>
      <c r="E318" t="s">
        <v>1321</v>
      </c>
    </row>
    <row r="319" spans="1:5" x14ac:dyDescent="0.25">
      <c r="A319" t="s">
        <v>1343</v>
      </c>
      <c r="B319" s="1">
        <v>45202.319444444445</v>
      </c>
      <c r="C319" t="s">
        <v>1430</v>
      </c>
      <c r="D319">
        <v>115</v>
      </c>
      <c r="E319" t="s">
        <v>1312</v>
      </c>
    </row>
    <row r="320" spans="1:5" x14ac:dyDescent="0.25">
      <c r="A320" t="s">
        <v>1327</v>
      </c>
      <c r="B320" s="1">
        <v>45203.227777777778</v>
      </c>
      <c r="C320" t="s">
        <v>1430</v>
      </c>
      <c r="D320">
        <v>61</v>
      </c>
      <c r="E320" t="s">
        <v>1312</v>
      </c>
    </row>
    <row r="321" spans="1:5" x14ac:dyDescent="0.25">
      <c r="A321" t="s">
        <v>1341</v>
      </c>
      <c r="B321" s="1">
        <v>45214.799305555556</v>
      </c>
      <c r="C321" t="s">
        <v>1431</v>
      </c>
      <c r="D321">
        <v>67</v>
      </c>
      <c r="E321" t="s">
        <v>1314</v>
      </c>
    </row>
    <row r="322" spans="1:5" x14ac:dyDescent="0.25">
      <c r="A322" t="s">
        <v>1318</v>
      </c>
      <c r="B322" s="1">
        <v>45219.301388888889</v>
      </c>
      <c r="C322" t="s">
        <v>1432</v>
      </c>
      <c r="D322">
        <v>65</v>
      </c>
      <c r="E322" t="s">
        <v>1314</v>
      </c>
    </row>
    <row r="323" spans="1:5" x14ac:dyDescent="0.25">
      <c r="A323" t="s">
        <v>1324</v>
      </c>
      <c r="B323" s="1">
        <v>45220.091666666667</v>
      </c>
      <c r="C323" t="s">
        <v>1432</v>
      </c>
      <c r="D323">
        <v>87</v>
      </c>
      <c r="E323" t="s">
        <v>1312</v>
      </c>
    </row>
    <row r="324" spans="1:5" x14ac:dyDescent="0.25">
      <c r="A324" t="s">
        <v>1315</v>
      </c>
      <c r="B324" s="1">
        <v>45210.128472222219</v>
      </c>
      <c r="C324" t="s">
        <v>1432</v>
      </c>
      <c r="D324">
        <v>115</v>
      </c>
      <c r="E324" t="s">
        <v>1314</v>
      </c>
    </row>
    <row r="325" spans="1:5" x14ac:dyDescent="0.25">
      <c r="A325" t="s">
        <v>1324</v>
      </c>
      <c r="B325" s="1">
        <v>45200.307638888888</v>
      </c>
      <c r="C325" t="s">
        <v>1432</v>
      </c>
      <c r="D325">
        <v>114</v>
      </c>
      <c r="E325" t="s">
        <v>1312</v>
      </c>
    </row>
    <row r="326" spans="1:5" x14ac:dyDescent="0.25">
      <c r="A326" t="s">
        <v>1344</v>
      </c>
      <c r="B326" s="1">
        <v>45202.443055555559</v>
      </c>
      <c r="C326" t="s">
        <v>1433</v>
      </c>
      <c r="D326">
        <v>52</v>
      </c>
      <c r="E326" t="s">
        <v>1312</v>
      </c>
    </row>
    <row r="327" spans="1:5" x14ac:dyDescent="0.25">
      <c r="A327" t="s">
        <v>1323</v>
      </c>
      <c r="B327" s="1">
        <v>45207.525000000001</v>
      </c>
      <c r="C327" t="s">
        <v>1434</v>
      </c>
      <c r="D327">
        <v>83</v>
      </c>
      <c r="E327" t="s">
        <v>1314</v>
      </c>
    </row>
    <row r="328" spans="1:5" x14ac:dyDescent="0.25">
      <c r="A328" t="s">
        <v>1325</v>
      </c>
      <c r="B328" s="1">
        <v>45200.595138888886</v>
      </c>
      <c r="C328" t="s">
        <v>1435</v>
      </c>
      <c r="D328">
        <v>69</v>
      </c>
      <c r="E328" t="s">
        <v>1321</v>
      </c>
    </row>
    <row r="329" spans="1:5" x14ac:dyDescent="0.25">
      <c r="A329" t="s">
        <v>1327</v>
      </c>
      <c r="B329" s="1">
        <v>45230.577777777777</v>
      </c>
      <c r="C329" t="s">
        <v>1435</v>
      </c>
      <c r="D329">
        <v>97</v>
      </c>
      <c r="E329" t="s">
        <v>1314</v>
      </c>
    </row>
    <row r="330" spans="1:5" x14ac:dyDescent="0.25">
      <c r="A330" t="s">
        <v>1336</v>
      </c>
      <c r="B330" s="1">
        <v>45202.469444444447</v>
      </c>
      <c r="C330" t="s">
        <v>1436</v>
      </c>
      <c r="D330">
        <v>78</v>
      </c>
      <c r="E330" t="s">
        <v>1314</v>
      </c>
    </row>
    <row r="331" spans="1:5" x14ac:dyDescent="0.25">
      <c r="A331" t="s">
        <v>1313</v>
      </c>
      <c r="B331" s="1">
        <v>45213.770833333336</v>
      </c>
      <c r="C331" t="s">
        <v>1437</v>
      </c>
      <c r="D331">
        <v>11</v>
      </c>
      <c r="E331" t="s">
        <v>1321</v>
      </c>
    </row>
    <row r="332" spans="1:5" x14ac:dyDescent="0.25">
      <c r="A332" t="s">
        <v>1326</v>
      </c>
      <c r="B332" s="1">
        <v>45226.84375</v>
      </c>
      <c r="C332" t="s">
        <v>1438</v>
      </c>
      <c r="D332">
        <v>48</v>
      </c>
      <c r="E332" t="s">
        <v>1314</v>
      </c>
    </row>
    <row r="333" spans="1:5" x14ac:dyDescent="0.25">
      <c r="A333" t="s">
        <v>1315</v>
      </c>
      <c r="B333" s="1">
        <v>45202.290277777778</v>
      </c>
      <c r="C333" t="s">
        <v>369</v>
      </c>
      <c r="D333">
        <v>103</v>
      </c>
      <c r="E333" t="s">
        <v>1312</v>
      </c>
    </row>
    <row r="334" spans="1:5" x14ac:dyDescent="0.25">
      <c r="A334" t="s">
        <v>1319</v>
      </c>
      <c r="B334" s="1">
        <v>45214.816666666666</v>
      </c>
      <c r="C334" t="s">
        <v>1439</v>
      </c>
      <c r="D334">
        <v>92</v>
      </c>
      <c r="E334" t="s">
        <v>1321</v>
      </c>
    </row>
    <row r="335" spans="1:5" x14ac:dyDescent="0.25">
      <c r="A335" t="s">
        <v>1334</v>
      </c>
      <c r="B335" s="1">
        <v>45209.81527777778</v>
      </c>
      <c r="C335" t="s">
        <v>1439</v>
      </c>
      <c r="D335">
        <v>115</v>
      </c>
      <c r="E335" t="s">
        <v>1321</v>
      </c>
    </row>
    <row r="336" spans="1:5" x14ac:dyDescent="0.25">
      <c r="A336" t="s">
        <v>1311</v>
      </c>
      <c r="B336" s="1">
        <v>45207.845833333333</v>
      </c>
      <c r="C336" t="s">
        <v>1440</v>
      </c>
      <c r="D336">
        <v>12</v>
      </c>
      <c r="E336" t="s">
        <v>1321</v>
      </c>
    </row>
    <row r="337" spans="1:5" x14ac:dyDescent="0.25">
      <c r="A337" t="s">
        <v>1343</v>
      </c>
      <c r="B337" s="1">
        <v>45223.18472222222</v>
      </c>
      <c r="C337" t="s">
        <v>1440</v>
      </c>
      <c r="D337">
        <v>42</v>
      </c>
      <c r="E337" t="s">
        <v>1312</v>
      </c>
    </row>
    <row r="338" spans="1:5" x14ac:dyDescent="0.25">
      <c r="A338" t="s">
        <v>1332</v>
      </c>
      <c r="B338" s="1">
        <v>45214.893750000003</v>
      </c>
      <c r="C338" t="s">
        <v>1441</v>
      </c>
      <c r="D338">
        <v>60</v>
      </c>
      <c r="E338" t="s">
        <v>1312</v>
      </c>
    </row>
    <row r="339" spans="1:5" x14ac:dyDescent="0.25">
      <c r="A339" t="s">
        <v>1334</v>
      </c>
      <c r="B339" s="1">
        <v>45230.185416666667</v>
      </c>
      <c r="C339" t="s">
        <v>1442</v>
      </c>
      <c r="D339">
        <v>31</v>
      </c>
      <c r="E339" t="s">
        <v>1312</v>
      </c>
    </row>
    <row r="340" spans="1:5" x14ac:dyDescent="0.25">
      <c r="A340" t="s">
        <v>1365</v>
      </c>
      <c r="B340" s="1">
        <v>45218.334722222222</v>
      </c>
      <c r="C340" t="s">
        <v>1443</v>
      </c>
      <c r="D340">
        <v>85</v>
      </c>
      <c r="E340" t="s">
        <v>1321</v>
      </c>
    </row>
    <row r="341" spans="1:5" x14ac:dyDescent="0.25">
      <c r="A341" t="s">
        <v>1327</v>
      </c>
      <c r="B341" s="1">
        <v>45225.129166666666</v>
      </c>
      <c r="C341" t="s">
        <v>1443</v>
      </c>
      <c r="D341">
        <v>36</v>
      </c>
      <c r="E341" t="s">
        <v>1321</v>
      </c>
    </row>
    <row r="342" spans="1:5" x14ac:dyDescent="0.25">
      <c r="A342" t="s">
        <v>1322</v>
      </c>
      <c r="B342" s="1">
        <v>45225.384027777778</v>
      </c>
      <c r="C342" t="s">
        <v>1444</v>
      </c>
      <c r="D342">
        <v>42</v>
      </c>
      <c r="E342" t="s">
        <v>1314</v>
      </c>
    </row>
    <row r="343" spans="1:5" x14ac:dyDescent="0.25">
      <c r="A343" t="s">
        <v>1311</v>
      </c>
      <c r="B343" s="1">
        <v>45230.537499999999</v>
      </c>
      <c r="C343" t="s">
        <v>1444</v>
      </c>
      <c r="D343">
        <v>33</v>
      </c>
      <c r="E343" t="s">
        <v>1312</v>
      </c>
    </row>
    <row r="344" spans="1:5" x14ac:dyDescent="0.25">
      <c r="A344" t="s">
        <v>1320</v>
      </c>
      <c r="B344" s="1">
        <v>45216.513888888891</v>
      </c>
      <c r="C344" t="s">
        <v>1445</v>
      </c>
      <c r="D344">
        <v>73</v>
      </c>
      <c r="E344" t="s">
        <v>1312</v>
      </c>
    </row>
    <row r="345" spans="1:5" x14ac:dyDescent="0.25">
      <c r="A345" t="s">
        <v>1359</v>
      </c>
      <c r="B345" s="1">
        <v>45222.467361111114</v>
      </c>
      <c r="C345" t="s">
        <v>1446</v>
      </c>
      <c r="D345">
        <v>104</v>
      </c>
      <c r="E345" t="s">
        <v>1321</v>
      </c>
    </row>
    <row r="346" spans="1:5" x14ac:dyDescent="0.25">
      <c r="A346" t="s">
        <v>1322</v>
      </c>
      <c r="B346" s="1">
        <v>45221.498611111114</v>
      </c>
      <c r="C346" t="s">
        <v>1447</v>
      </c>
      <c r="D346">
        <v>116</v>
      </c>
      <c r="E346" t="s">
        <v>1312</v>
      </c>
    </row>
    <row r="347" spans="1:5" x14ac:dyDescent="0.25">
      <c r="A347" t="s">
        <v>1316</v>
      </c>
      <c r="B347" s="1">
        <v>45205.052777777775</v>
      </c>
      <c r="C347" t="s">
        <v>145</v>
      </c>
      <c r="D347">
        <v>102</v>
      </c>
      <c r="E347" t="s">
        <v>1312</v>
      </c>
    </row>
    <row r="348" spans="1:5" x14ac:dyDescent="0.25">
      <c r="A348" t="s">
        <v>1315</v>
      </c>
      <c r="B348" s="1">
        <v>45221.836111111108</v>
      </c>
      <c r="C348" t="s">
        <v>145</v>
      </c>
      <c r="D348">
        <v>6</v>
      </c>
      <c r="E348" t="s">
        <v>1321</v>
      </c>
    </row>
    <row r="349" spans="1:5" x14ac:dyDescent="0.25">
      <c r="A349" t="s">
        <v>1359</v>
      </c>
      <c r="B349" s="1">
        <v>45204.759027777778</v>
      </c>
      <c r="C349" t="s">
        <v>1448</v>
      </c>
      <c r="D349">
        <v>105</v>
      </c>
      <c r="E349" t="s">
        <v>1321</v>
      </c>
    </row>
    <row r="350" spans="1:5" x14ac:dyDescent="0.25">
      <c r="A350" t="s">
        <v>1324</v>
      </c>
      <c r="B350" s="1">
        <v>45227.705555555556</v>
      </c>
      <c r="C350" t="s">
        <v>1448</v>
      </c>
      <c r="D350">
        <v>108</v>
      </c>
      <c r="E350" t="s">
        <v>1312</v>
      </c>
    </row>
    <row r="351" spans="1:5" x14ac:dyDescent="0.25">
      <c r="A351" t="s">
        <v>1332</v>
      </c>
      <c r="B351" s="1">
        <v>45227.724305555559</v>
      </c>
      <c r="C351" t="s">
        <v>1448</v>
      </c>
      <c r="D351">
        <v>20</v>
      </c>
      <c r="E351" t="s">
        <v>1314</v>
      </c>
    </row>
    <row r="352" spans="1:5" x14ac:dyDescent="0.25">
      <c r="A352" t="s">
        <v>1336</v>
      </c>
      <c r="B352" s="1">
        <v>45224.963888888888</v>
      </c>
      <c r="C352" t="s">
        <v>1449</v>
      </c>
      <c r="D352">
        <v>83</v>
      </c>
      <c r="E352" t="s">
        <v>1312</v>
      </c>
    </row>
    <row r="353" spans="1:5" x14ac:dyDescent="0.25">
      <c r="A353" t="s">
        <v>1343</v>
      </c>
      <c r="B353" s="1">
        <v>45221.384722222225</v>
      </c>
      <c r="C353" t="s">
        <v>1450</v>
      </c>
      <c r="D353">
        <v>92</v>
      </c>
      <c r="E353" t="s">
        <v>1312</v>
      </c>
    </row>
    <row r="354" spans="1:5" x14ac:dyDescent="0.25">
      <c r="A354" t="s">
        <v>1334</v>
      </c>
      <c r="B354" s="1">
        <v>45214.613194444442</v>
      </c>
      <c r="C354" t="s">
        <v>1451</v>
      </c>
      <c r="D354">
        <v>61</v>
      </c>
      <c r="E354" t="s">
        <v>1321</v>
      </c>
    </row>
    <row r="355" spans="1:5" x14ac:dyDescent="0.25">
      <c r="A355" t="s">
        <v>1326</v>
      </c>
      <c r="B355" s="1">
        <v>45228.614583333336</v>
      </c>
      <c r="C355" t="s">
        <v>204</v>
      </c>
      <c r="D355">
        <v>48</v>
      </c>
      <c r="E355" t="s">
        <v>1312</v>
      </c>
    </row>
    <row r="356" spans="1:5" x14ac:dyDescent="0.25">
      <c r="A356" t="s">
        <v>1320</v>
      </c>
      <c r="B356" s="1">
        <v>45222.763194444444</v>
      </c>
      <c r="C356" t="s">
        <v>204</v>
      </c>
      <c r="D356">
        <v>91</v>
      </c>
      <c r="E356" t="s">
        <v>1321</v>
      </c>
    </row>
    <row r="357" spans="1:5" x14ac:dyDescent="0.25">
      <c r="A357" t="s">
        <v>1353</v>
      </c>
      <c r="B357" s="1">
        <v>45219.095833333333</v>
      </c>
      <c r="C357" t="s">
        <v>204</v>
      </c>
      <c r="D357">
        <v>113</v>
      </c>
      <c r="E357" t="s">
        <v>1321</v>
      </c>
    </row>
    <row r="358" spans="1:5" x14ac:dyDescent="0.25">
      <c r="A358" t="s">
        <v>1322</v>
      </c>
      <c r="B358" s="1">
        <v>45214.172222222223</v>
      </c>
      <c r="C358" t="s">
        <v>204</v>
      </c>
      <c r="D358">
        <v>6</v>
      </c>
      <c r="E358" t="s">
        <v>1314</v>
      </c>
    </row>
    <row r="359" spans="1:5" x14ac:dyDescent="0.25">
      <c r="A359" t="s">
        <v>1313</v>
      </c>
      <c r="B359" s="1">
        <v>45203.570833333331</v>
      </c>
      <c r="C359" t="s">
        <v>1452</v>
      </c>
      <c r="D359">
        <v>68</v>
      </c>
      <c r="E359" t="s">
        <v>1321</v>
      </c>
    </row>
    <row r="360" spans="1:5" x14ac:dyDescent="0.25">
      <c r="A360" t="s">
        <v>1319</v>
      </c>
      <c r="B360" s="1">
        <v>45229.298611111109</v>
      </c>
      <c r="C360" t="s">
        <v>1453</v>
      </c>
      <c r="D360">
        <v>74</v>
      </c>
      <c r="E360" t="s">
        <v>1321</v>
      </c>
    </row>
    <row r="361" spans="1:5" x14ac:dyDescent="0.25">
      <c r="A361" t="s">
        <v>1332</v>
      </c>
      <c r="B361" s="1">
        <v>45211.546527777777</v>
      </c>
      <c r="C361" t="s">
        <v>1453</v>
      </c>
      <c r="D361">
        <v>115</v>
      </c>
      <c r="E361" t="s">
        <v>1314</v>
      </c>
    </row>
    <row r="362" spans="1:5" x14ac:dyDescent="0.25">
      <c r="A362" t="s">
        <v>1324</v>
      </c>
      <c r="B362" s="1">
        <v>45225.211111111108</v>
      </c>
      <c r="C362" t="s">
        <v>1454</v>
      </c>
      <c r="D362">
        <v>33</v>
      </c>
      <c r="E362" t="s">
        <v>1312</v>
      </c>
    </row>
    <row r="363" spans="1:5" x14ac:dyDescent="0.25">
      <c r="A363" t="s">
        <v>1332</v>
      </c>
      <c r="B363" s="1">
        <v>45213.342361111114</v>
      </c>
      <c r="C363" t="s">
        <v>475</v>
      </c>
      <c r="D363">
        <v>63</v>
      </c>
      <c r="E363" t="s">
        <v>1312</v>
      </c>
    </row>
    <row r="364" spans="1:5" x14ac:dyDescent="0.25">
      <c r="A364" t="s">
        <v>1313</v>
      </c>
      <c r="B364" s="1">
        <v>45202.361805555556</v>
      </c>
      <c r="C364" t="s">
        <v>1455</v>
      </c>
      <c r="D364">
        <v>15</v>
      </c>
      <c r="E364" t="s">
        <v>1312</v>
      </c>
    </row>
    <row r="365" spans="1:5" x14ac:dyDescent="0.25">
      <c r="A365" t="s">
        <v>1326</v>
      </c>
      <c r="B365" s="1">
        <v>45220.416666666664</v>
      </c>
      <c r="C365" t="s">
        <v>371</v>
      </c>
      <c r="D365">
        <v>32</v>
      </c>
      <c r="E365" t="s">
        <v>1312</v>
      </c>
    </row>
    <row r="366" spans="1:5" x14ac:dyDescent="0.25">
      <c r="A366" t="s">
        <v>1344</v>
      </c>
      <c r="B366" s="1">
        <v>45210.961111111108</v>
      </c>
      <c r="C366" t="s">
        <v>371</v>
      </c>
      <c r="D366">
        <v>66</v>
      </c>
      <c r="E366" t="s">
        <v>1314</v>
      </c>
    </row>
    <row r="367" spans="1:5" x14ac:dyDescent="0.25">
      <c r="A367" t="s">
        <v>1318</v>
      </c>
      <c r="B367" s="1">
        <v>45226.747916666667</v>
      </c>
      <c r="C367" t="s">
        <v>1456</v>
      </c>
      <c r="D367">
        <v>52</v>
      </c>
      <c r="E367" t="s">
        <v>1312</v>
      </c>
    </row>
    <row r="368" spans="1:5" x14ac:dyDescent="0.25">
      <c r="A368" t="s">
        <v>1318</v>
      </c>
      <c r="B368" s="1">
        <v>45215.457638888889</v>
      </c>
      <c r="C368" t="s">
        <v>446</v>
      </c>
      <c r="D368">
        <v>100</v>
      </c>
      <c r="E368" t="s">
        <v>1314</v>
      </c>
    </row>
    <row r="369" spans="1:5" x14ac:dyDescent="0.25">
      <c r="A369" t="s">
        <v>1341</v>
      </c>
      <c r="B369" s="1">
        <v>45203.304861111108</v>
      </c>
      <c r="C369" t="s">
        <v>446</v>
      </c>
      <c r="D369">
        <v>106</v>
      </c>
      <c r="E369" t="s">
        <v>1312</v>
      </c>
    </row>
    <row r="370" spans="1:5" x14ac:dyDescent="0.25">
      <c r="A370" t="s">
        <v>1339</v>
      </c>
      <c r="B370" s="1">
        <v>45201.30972222222</v>
      </c>
      <c r="C370" t="s">
        <v>1457</v>
      </c>
      <c r="D370">
        <v>56</v>
      </c>
      <c r="E370" t="s">
        <v>1321</v>
      </c>
    </row>
    <row r="371" spans="1:5" x14ac:dyDescent="0.25">
      <c r="A371" t="s">
        <v>1311</v>
      </c>
      <c r="B371" s="1">
        <v>45208.084027777775</v>
      </c>
      <c r="C371" t="s">
        <v>1458</v>
      </c>
      <c r="D371">
        <v>50</v>
      </c>
      <c r="E371" t="s">
        <v>1312</v>
      </c>
    </row>
    <row r="372" spans="1:5" x14ac:dyDescent="0.25">
      <c r="A372" t="s">
        <v>1339</v>
      </c>
      <c r="B372" s="1">
        <v>45222.179166666669</v>
      </c>
      <c r="C372" t="s">
        <v>173</v>
      </c>
      <c r="D372">
        <v>28</v>
      </c>
      <c r="E372" t="s">
        <v>1312</v>
      </c>
    </row>
    <row r="373" spans="1:5" x14ac:dyDescent="0.25">
      <c r="A373" t="s">
        <v>1323</v>
      </c>
      <c r="B373" s="1">
        <v>45214.736805555556</v>
      </c>
      <c r="C373" t="s">
        <v>503</v>
      </c>
      <c r="D373">
        <v>34</v>
      </c>
      <c r="E373" t="s">
        <v>1321</v>
      </c>
    </row>
    <row r="374" spans="1:5" x14ac:dyDescent="0.25">
      <c r="A374" t="s">
        <v>1353</v>
      </c>
      <c r="B374" s="1">
        <v>45224.6</v>
      </c>
      <c r="C374" t="s">
        <v>1459</v>
      </c>
      <c r="D374">
        <v>70</v>
      </c>
      <c r="E374" t="s">
        <v>1321</v>
      </c>
    </row>
    <row r="375" spans="1:5" x14ac:dyDescent="0.25">
      <c r="A375" t="s">
        <v>1322</v>
      </c>
      <c r="B375" s="1">
        <v>45206.366666666669</v>
      </c>
      <c r="C375" t="s">
        <v>1460</v>
      </c>
      <c r="D375">
        <v>30</v>
      </c>
      <c r="E375" t="s">
        <v>1321</v>
      </c>
    </row>
    <row r="376" spans="1:5" x14ac:dyDescent="0.25">
      <c r="A376" t="s">
        <v>1311</v>
      </c>
      <c r="B376" s="1">
        <v>45225.171527777777</v>
      </c>
      <c r="C376" t="s">
        <v>120</v>
      </c>
      <c r="D376">
        <v>104</v>
      </c>
      <c r="E376" t="s">
        <v>1312</v>
      </c>
    </row>
    <row r="377" spans="1:5" x14ac:dyDescent="0.25">
      <c r="A377" t="s">
        <v>1327</v>
      </c>
      <c r="B377" s="1">
        <v>45215.093055555553</v>
      </c>
      <c r="C377" t="s">
        <v>136</v>
      </c>
      <c r="D377">
        <v>87</v>
      </c>
      <c r="E377" t="s">
        <v>1314</v>
      </c>
    </row>
    <row r="378" spans="1:5" x14ac:dyDescent="0.25">
      <c r="A378" t="s">
        <v>1316</v>
      </c>
      <c r="B378" s="1">
        <v>45202.21875</v>
      </c>
      <c r="C378" t="s">
        <v>195</v>
      </c>
      <c r="D378">
        <v>86</v>
      </c>
      <c r="E378" t="s">
        <v>1321</v>
      </c>
    </row>
    <row r="379" spans="1:5" x14ac:dyDescent="0.25">
      <c r="A379" t="s">
        <v>1332</v>
      </c>
      <c r="B379" s="1">
        <v>45210.458333333336</v>
      </c>
      <c r="C379" t="s">
        <v>195</v>
      </c>
      <c r="D379">
        <v>95</v>
      </c>
      <c r="E379" t="s">
        <v>1312</v>
      </c>
    </row>
    <row r="380" spans="1:5" x14ac:dyDescent="0.25">
      <c r="A380" t="s">
        <v>1315</v>
      </c>
      <c r="B380" s="1">
        <v>45217.321527777778</v>
      </c>
      <c r="C380" t="s">
        <v>1461</v>
      </c>
      <c r="D380">
        <v>118</v>
      </c>
      <c r="E380" t="s">
        <v>1312</v>
      </c>
    </row>
    <row r="381" spans="1:5" x14ac:dyDescent="0.25">
      <c r="A381" t="s">
        <v>1313</v>
      </c>
      <c r="B381" s="1">
        <v>45210.03125</v>
      </c>
      <c r="C381" t="s">
        <v>95</v>
      </c>
      <c r="D381">
        <v>63</v>
      </c>
      <c r="E381" t="s">
        <v>1321</v>
      </c>
    </row>
    <row r="382" spans="1:5" x14ac:dyDescent="0.25">
      <c r="A382" t="s">
        <v>1339</v>
      </c>
      <c r="B382" s="1">
        <v>45207.987500000003</v>
      </c>
      <c r="C382" t="s">
        <v>95</v>
      </c>
      <c r="D382">
        <v>15</v>
      </c>
      <c r="E382" t="s">
        <v>1312</v>
      </c>
    </row>
    <row r="383" spans="1:5" x14ac:dyDescent="0.25">
      <c r="A383" t="s">
        <v>1343</v>
      </c>
      <c r="B383" s="1">
        <v>45202.45416666667</v>
      </c>
      <c r="C383" t="s">
        <v>1462</v>
      </c>
      <c r="D383">
        <v>89</v>
      </c>
      <c r="E383" t="s">
        <v>1321</v>
      </c>
    </row>
    <row r="384" spans="1:5" x14ac:dyDescent="0.25">
      <c r="A384" t="s">
        <v>1336</v>
      </c>
      <c r="B384" s="1">
        <v>45224.818055555559</v>
      </c>
      <c r="C384" t="s">
        <v>1462</v>
      </c>
      <c r="D384">
        <v>5</v>
      </c>
      <c r="E384" t="s">
        <v>1321</v>
      </c>
    </row>
    <row r="385" spans="1:5" x14ac:dyDescent="0.25">
      <c r="A385" t="s">
        <v>1343</v>
      </c>
      <c r="B385" s="1">
        <v>45225.215277777781</v>
      </c>
      <c r="C385" t="s">
        <v>75</v>
      </c>
      <c r="D385">
        <v>41</v>
      </c>
      <c r="E385" t="s">
        <v>1321</v>
      </c>
    </row>
    <row r="386" spans="1:5" x14ac:dyDescent="0.25">
      <c r="A386" t="s">
        <v>1341</v>
      </c>
      <c r="B386" s="1">
        <v>45225.527777777781</v>
      </c>
      <c r="C386" t="s">
        <v>1463</v>
      </c>
      <c r="D386">
        <v>6</v>
      </c>
      <c r="E386" t="s">
        <v>1312</v>
      </c>
    </row>
    <row r="387" spans="1:5" x14ac:dyDescent="0.25">
      <c r="A387" t="s">
        <v>1352</v>
      </c>
      <c r="B387" s="1">
        <v>45225.77847222222</v>
      </c>
      <c r="C387" t="s">
        <v>1464</v>
      </c>
      <c r="D387">
        <v>89</v>
      </c>
      <c r="E387" t="s">
        <v>1314</v>
      </c>
    </row>
    <row r="388" spans="1:5" x14ac:dyDescent="0.25">
      <c r="A388" t="s">
        <v>1326</v>
      </c>
      <c r="B388" s="1">
        <v>45225.159722222219</v>
      </c>
      <c r="C388" t="s">
        <v>1465</v>
      </c>
      <c r="D388">
        <v>113</v>
      </c>
      <c r="E388" t="s">
        <v>1314</v>
      </c>
    </row>
    <row r="389" spans="1:5" x14ac:dyDescent="0.25">
      <c r="A389" t="s">
        <v>1319</v>
      </c>
      <c r="B389" s="1">
        <v>45216.457638888889</v>
      </c>
      <c r="C389" t="s">
        <v>128</v>
      </c>
      <c r="D389">
        <v>39</v>
      </c>
      <c r="E389" t="s">
        <v>1314</v>
      </c>
    </row>
    <row r="390" spans="1:5" x14ac:dyDescent="0.25">
      <c r="A390" t="s">
        <v>1352</v>
      </c>
      <c r="B390" s="1">
        <v>45204.905555555553</v>
      </c>
      <c r="C390" t="s">
        <v>525</v>
      </c>
      <c r="D390">
        <v>61</v>
      </c>
      <c r="E390" t="s">
        <v>1314</v>
      </c>
    </row>
    <row r="391" spans="1:5" x14ac:dyDescent="0.25">
      <c r="A391" t="s">
        <v>1347</v>
      </c>
      <c r="B391" s="1">
        <v>45215.756944444445</v>
      </c>
      <c r="C391" t="s">
        <v>1466</v>
      </c>
      <c r="D391">
        <v>24</v>
      </c>
      <c r="E391" t="s">
        <v>1321</v>
      </c>
    </row>
    <row r="392" spans="1:5" x14ac:dyDescent="0.25">
      <c r="A392" t="s">
        <v>1315</v>
      </c>
      <c r="B392" s="1">
        <v>45220.830555555556</v>
      </c>
      <c r="C392" t="s">
        <v>1467</v>
      </c>
      <c r="D392">
        <v>59</v>
      </c>
      <c r="E392" t="s">
        <v>1321</v>
      </c>
    </row>
    <row r="393" spans="1:5" x14ac:dyDescent="0.25">
      <c r="A393" t="s">
        <v>1323</v>
      </c>
      <c r="B393" s="1">
        <v>45224.456944444442</v>
      </c>
      <c r="C393" t="s">
        <v>1467</v>
      </c>
      <c r="D393">
        <v>32</v>
      </c>
      <c r="E393" t="s">
        <v>1314</v>
      </c>
    </row>
    <row r="394" spans="1:5" x14ac:dyDescent="0.25">
      <c r="A394" t="s">
        <v>1324</v>
      </c>
      <c r="B394" s="1">
        <v>45208.662499999999</v>
      </c>
      <c r="C394" t="s">
        <v>1468</v>
      </c>
      <c r="D394">
        <v>104</v>
      </c>
      <c r="E394" t="s">
        <v>1321</v>
      </c>
    </row>
    <row r="395" spans="1:5" x14ac:dyDescent="0.25">
      <c r="A395" t="s">
        <v>1336</v>
      </c>
      <c r="B395" s="1">
        <v>45225.948611111111</v>
      </c>
      <c r="C395" t="s">
        <v>159</v>
      </c>
      <c r="D395">
        <v>30</v>
      </c>
      <c r="E395" t="s">
        <v>1314</v>
      </c>
    </row>
    <row r="396" spans="1:5" x14ac:dyDescent="0.25">
      <c r="A396" t="s">
        <v>1322</v>
      </c>
      <c r="B396" s="1">
        <v>45216.960416666669</v>
      </c>
      <c r="C396" t="s">
        <v>472</v>
      </c>
      <c r="D396">
        <v>41</v>
      </c>
      <c r="E396" t="s">
        <v>1312</v>
      </c>
    </row>
    <row r="397" spans="1:5" x14ac:dyDescent="0.25">
      <c r="A397" t="s">
        <v>1318</v>
      </c>
      <c r="B397" s="1">
        <v>45207.908333333333</v>
      </c>
      <c r="C397" t="s">
        <v>1469</v>
      </c>
      <c r="D397">
        <v>103</v>
      </c>
      <c r="E397" t="s">
        <v>1314</v>
      </c>
    </row>
    <row r="398" spans="1:5" x14ac:dyDescent="0.25">
      <c r="A398" t="s">
        <v>1325</v>
      </c>
      <c r="B398" s="1">
        <v>45201.859027777777</v>
      </c>
      <c r="C398" t="s">
        <v>1470</v>
      </c>
      <c r="D398">
        <v>26</v>
      </c>
      <c r="E398" t="s">
        <v>1312</v>
      </c>
    </row>
    <row r="399" spans="1:5" x14ac:dyDescent="0.25">
      <c r="A399" t="s">
        <v>1359</v>
      </c>
      <c r="B399" s="1">
        <v>45202.717361111114</v>
      </c>
      <c r="C399" t="s">
        <v>311</v>
      </c>
      <c r="D399">
        <v>115</v>
      </c>
      <c r="E399" t="s">
        <v>1321</v>
      </c>
    </row>
    <row r="400" spans="1:5" x14ac:dyDescent="0.25">
      <c r="A400" t="s">
        <v>1352</v>
      </c>
      <c r="B400" s="1">
        <v>45205.474305555559</v>
      </c>
      <c r="C400" t="s">
        <v>483</v>
      </c>
      <c r="D400">
        <v>25</v>
      </c>
      <c r="E400" t="s">
        <v>1314</v>
      </c>
    </row>
    <row r="401" spans="1:5" x14ac:dyDescent="0.25">
      <c r="A401" t="s">
        <v>1334</v>
      </c>
      <c r="B401" s="1">
        <v>45225.625694444447</v>
      </c>
      <c r="C401" t="s">
        <v>404</v>
      </c>
      <c r="D401">
        <v>108</v>
      </c>
      <c r="E401" t="s">
        <v>1321</v>
      </c>
    </row>
    <row r="402" spans="1:5" x14ac:dyDescent="0.25">
      <c r="A402" t="s">
        <v>1327</v>
      </c>
      <c r="B402" s="1">
        <v>45209.988888888889</v>
      </c>
      <c r="C402" t="s">
        <v>1471</v>
      </c>
      <c r="D402">
        <v>80</v>
      </c>
      <c r="E402" t="s">
        <v>1312</v>
      </c>
    </row>
    <row r="403" spans="1:5" x14ac:dyDescent="0.25">
      <c r="A403" t="s">
        <v>1327</v>
      </c>
      <c r="B403" s="1">
        <v>45209.183333333334</v>
      </c>
      <c r="C403" t="s">
        <v>1472</v>
      </c>
      <c r="D403">
        <v>81</v>
      </c>
      <c r="E403" t="s">
        <v>1312</v>
      </c>
    </row>
    <row r="404" spans="1:5" x14ac:dyDescent="0.25">
      <c r="A404" t="s">
        <v>1344</v>
      </c>
      <c r="B404" s="1">
        <v>45223.548611111109</v>
      </c>
      <c r="C404" t="s">
        <v>1472</v>
      </c>
      <c r="D404">
        <v>19</v>
      </c>
      <c r="E404" t="s">
        <v>1312</v>
      </c>
    </row>
    <row r="405" spans="1:5" x14ac:dyDescent="0.25">
      <c r="A405" t="s">
        <v>1327</v>
      </c>
      <c r="B405" s="1">
        <v>45220.584027777775</v>
      </c>
      <c r="C405" t="s">
        <v>77</v>
      </c>
      <c r="D405">
        <v>92</v>
      </c>
      <c r="E405" t="s">
        <v>1321</v>
      </c>
    </row>
    <row r="406" spans="1:5" x14ac:dyDescent="0.25">
      <c r="A406" t="s">
        <v>1334</v>
      </c>
      <c r="B406" s="1">
        <v>45219.453472222223</v>
      </c>
      <c r="C406" t="s">
        <v>1473</v>
      </c>
      <c r="D406">
        <v>52</v>
      </c>
      <c r="E406" t="s">
        <v>1312</v>
      </c>
    </row>
    <row r="407" spans="1:5" x14ac:dyDescent="0.25">
      <c r="A407" t="s">
        <v>1318</v>
      </c>
      <c r="B407" s="1">
        <v>45209.781944444447</v>
      </c>
      <c r="C407" t="s">
        <v>1473</v>
      </c>
      <c r="D407">
        <v>10</v>
      </c>
      <c r="E407" t="s">
        <v>1312</v>
      </c>
    </row>
    <row r="408" spans="1:5" x14ac:dyDescent="0.25">
      <c r="A408" t="s">
        <v>1336</v>
      </c>
      <c r="B408" s="1">
        <v>45202.443055555559</v>
      </c>
      <c r="C408" t="s">
        <v>1473</v>
      </c>
      <c r="D408">
        <v>43</v>
      </c>
      <c r="E408" t="s">
        <v>1314</v>
      </c>
    </row>
    <row r="409" spans="1:5" x14ac:dyDescent="0.25">
      <c r="A409" t="s">
        <v>1347</v>
      </c>
      <c r="B409" s="1">
        <v>45220.551388888889</v>
      </c>
      <c r="C409" t="s">
        <v>1474</v>
      </c>
      <c r="D409">
        <v>6</v>
      </c>
      <c r="E409" t="s">
        <v>1314</v>
      </c>
    </row>
    <row r="410" spans="1:5" x14ac:dyDescent="0.25">
      <c r="A410" t="s">
        <v>1344</v>
      </c>
      <c r="B410" s="1">
        <v>45200.570138888892</v>
      </c>
      <c r="C410" t="s">
        <v>434</v>
      </c>
      <c r="D410">
        <v>53</v>
      </c>
      <c r="E410" t="s">
        <v>1321</v>
      </c>
    </row>
    <row r="411" spans="1:5" x14ac:dyDescent="0.25">
      <c r="A411" t="s">
        <v>1332</v>
      </c>
      <c r="B411" s="1">
        <v>45205.793749999997</v>
      </c>
      <c r="C411" t="s">
        <v>1475</v>
      </c>
      <c r="D411">
        <v>99</v>
      </c>
      <c r="E411" t="s">
        <v>1312</v>
      </c>
    </row>
    <row r="412" spans="1:5" x14ac:dyDescent="0.25">
      <c r="A412" t="s">
        <v>1324</v>
      </c>
      <c r="B412" s="1">
        <v>45215.049305555556</v>
      </c>
      <c r="C412" t="s">
        <v>94</v>
      </c>
      <c r="D412">
        <v>33</v>
      </c>
      <c r="E412" t="s">
        <v>1312</v>
      </c>
    </row>
    <row r="413" spans="1:5" x14ac:dyDescent="0.25">
      <c r="A413" t="s">
        <v>1323</v>
      </c>
      <c r="B413" s="1">
        <v>45215.587500000001</v>
      </c>
      <c r="C413" t="s">
        <v>94</v>
      </c>
      <c r="D413">
        <v>24</v>
      </c>
      <c r="E413" t="s">
        <v>1312</v>
      </c>
    </row>
    <row r="414" spans="1:5" x14ac:dyDescent="0.25">
      <c r="A414" t="s">
        <v>1332</v>
      </c>
      <c r="B414" s="1">
        <v>45223.450694444444</v>
      </c>
      <c r="C414" t="s">
        <v>381</v>
      </c>
      <c r="D414">
        <v>14</v>
      </c>
      <c r="E414" t="s">
        <v>1321</v>
      </c>
    </row>
    <row r="415" spans="1:5" x14ac:dyDescent="0.25">
      <c r="A415" t="s">
        <v>1316</v>
      </c>
      <c r="B415" s="1">
        <v>45220.877083333333</v>
      </c>
      <c r="C415" t="s">
        <v>453</v>
      </c>
      <c r="D415">
        <v>78</v>
      </c>
      <c r="E415" t="s">
        <v>1314</v>
      </c>
    </row>
    <row r="416" spans="1:5" x14ac:dyDescent="0.25">
      <c r="A416" t="s">
        <v>1313</v>
      </c>
      <c r="B416" s="1">
        <v>45227.195833333331</v>
      </c>
      <c r="C416" t="s">
        <v>453</v>
      </c>
      <c r="D416">
        <v>113</v>
      </c>
      <c r="E416" t="s">
        <v>1312</v>
      </c>
    </row>
    <row r="417" spans="1:5" x14ac:dyDescent="0.25">
      <c r="A417" t="s">
        <v>1326</v>
      </c>
      <c r="B417" s="1">
        <v>45221.517361111109</v>
      </c>
      <c r="C417" t="s">
        <v>58</v>
      </c>
      <c r="D417">
        <v>83</v>
      </c>
      <c r="E417" t="s">
        <v>1321</v>
      </c>
    </row>
    <row r="418" spans="1:5" x14ac:dyDescent="0.25">
      <c r="A418" t="s">
        <v>1332</v>
      </c>
      <c r="B418" s="1">
        <v>45218.675694444442</v>
      </c>
      <c r="C418" t="s">
        <v>58</v>
      </c>
      <c r="D418">
        <v>37</v>
      </c>
      <c r="E418" t="s">
        <v>1321</v>
      </c>
    </row>
    <row r="419" spans="1:5" x14ac:dyDescent="0.25">
      <c r="A419" t="s">
        <v>1339</v>
      </c>
      <c r="B419" s="1">
        <v>45211.098611111112</v>
      </c>
      <c r="C419" t="s">
        <v>172</v>
      </c>
      <c r="D419">
        <v>59</v>
      </c>
      <c r="E419" t="s">
        <v>1321</v>
      </c>
    </row>
    <row r="420" spans="1:5" x14ac:dyDescent="0.25">
      <c r="A420" t="s">
        <v>1323</v>
      </c>
      <c r="B420" s="1">
        <v>45213.066666666666</v>
      </c>
      <c r="C420" t="s">
        <v>172</v>
      </c>
      <c r="D420">
        <v>63</v>
      </c>
      <c r="E420" t="s">
        <v>1314</v>
      </c>
    </row>
    <row r="421" spans="1:5" x14ac:dyDescent="0.25">
      <c r="A421" t="s">
        <v>1326</v>
      </c>
      <c r="B421" s="1">
        <v>45226.104166666664</v>
      </c>
      <c r="C421" t="s">
        <v>458</v>
      </c>
      <c r="D421">
        <v>110</v>
      </c>
      <c r="E421" t="s">
        <v>1312</v>
      </c>
    </row>
    <row r="422" spans="1:5" x14ac:dyDescent="0.25">
      <c r="A422" t="s">
        <v>1320</v>
      </c>
      <c r="B422" s="1">
        <v>45219.506249999999</v>
      </c>
      <c r="C422" t="s">
        <v>458</v>
      </c>
      <c r="D422">
        <v>41</v>
      </c>
      <c r="E422" t="s">
        <v>1312</v>
      </c>
    </row>
    <row r="423" spans="1:5" x14ac:dyDescent="0.25">
      <c r="A423" t="s">
        <v>1336</v>
      </c>
      <c r="B423" s="1">
        <v>45205.178472222222</v>
      </c>
      <c r="C423" t="s">
        <v>326</v>
      </c>
      <c r="D423">
        <v>42</v>
      </c>
      <c r="E423" t="s">
        <v>1312</v>
      </c>
    </row>
    <row r="424" spans="1:5" x14ac:dyDescent="0.25">
      <c r="A424" t="s">
        <v>1323</v>
      </c>
      <c r="B424" s="1">
        <v>45212.680555555555</v>
      </c>
      <c r="C424" t="s">
        <v>1476</v>
      </c>
      <c r="D424">
        <v>63</v>
      </c>
      <c r="E424" t="s">
        <v>1314</v>
      </c>
    </row>
    <row r="425" spans="1:5" x14ac:dyDescent="0.25">
      <c r="A425" t="s">
        <v>1313</v>
      </c>
      <c r="B425" s="1">
        <v>45220.222916666666</v>
      </c>
      <c r="C425" t="s">
        <v>487</v>
      </c>
      <c r="D425">
        <v>65</v>
      </c>
      <c r="E425" t="s">
        <v>1321</v>
      </c>
    </row>
    <row r="426" spans="1:5" x14ac:dyDescent="0.25">
      <c r="A426" t="s">
        <v>1347</v>
      </c>
      <c r="B426" s="1">
        <v>45222.777777777781</v>
      </c>
      <c r="C426" t="s">
        <v>487</v>
      </c>
      <c r="D426">
        <v>102</v>
      </c>
      <c r="E426" t="s">
        <v>1321</v>
      </c>
    </row>
    <row r="427" spans="1:5" x14ac:dyDescent="0.25">
      <c r="A427" t="s">
        <v>1316</v>
      </c>
      <c r="B427" s="1">
        <v>45209.777083333334</v>
      </c>
      <c r="C427" t="s">
        <v>359</v>
      </c>
      <c r="D427">
        <v>40</v>
      </c>
      <c r="E427" t="s">
        <v>1321</v>
      </c>
    </row>
    <row r="428" spans="1:5" x14ac:dyDescent="0.25">
      <c r="A428" t="s">
        <v>1344</v>
      </c>
      <c r="B428" s="1">
        <v>45230.119444444441</v>
      </c>
      <c r="C428" t="s">
        <v>359</v>
      </c>
      <c r="D428">
        <v>8</v>
      </c>
      <c r="E428" t="s">
        <v>1312</v>
      </c>
    </row>
    <row r="429" spans="1:5" x14ac:dyDescent="0.25">
      <c r="A429" t="s">
        <v>1320</v>
      </c>
      <c r="B429" s="1">
        <v>45216.729861111111</v>
      </c>
      <c r="C429" t="s">
        <v>359</v>
      </c>
      <c r="D429">
        <v>78</v>
      </c>
      <c r="E429" t="s">
        <v>1312</v>
      </c>
    </row>
    <row r="430" spans="1:5" x14ac:dyDescent="0.25">
      <c r="A430" t="s">
        <v>1343</v>
      </c>
      <c r="B430" s="1">
        <v>45203.864583333336</v>
      </c>
      <c r="C430" t="s">
        <v>1477</v>
      </c>
      <c r="D430">
        <v>100</v>
      </c>
      <c r="E430" t="s">
        <v>1321</v>
      </c>
    </row>
    <row r="431" spans="1:5" x14ac:dyDescent="0.25">
      <c r="A431" t="s">
        <v>1325</v>
      </c>
      <c r="B431" s="1">
        <v>45208.762499999997</v>
      </c>
      <c r="C431" t="s">
        <v>1478</v>
      </c>
      <c r="D431">
        <v>101</v>
      </c>
      <c r="E431" t="s">
        <v>1314</v>
      </c>
    </row>
    <row r="432" spans="1:5" x14ac:dyDescent="0.25">
      <c r="A432" t="s">
        <v>1332</v>
      </c>
      <c r="B432" s="1">
        <v>45213.960416666669</v>
      </c>
      <c r="C432" t="s">
        <v>1479</v>
      </c>
      <c r="D432">
        <v>103</v>
      </c>
      <c r="E432" t="s">
        <v>1312</v>
      </c>
    </row>
    <row r="433" spans="1:5" x14ac:dyDescent="0.25">
      <c r="A433" t="s">
        <v>1334</v>
      </c>
      <c r="B433" s="1">
        <v>45217.193749999999</v>
      </c>
      <c r="C433" t="s">
        <v>1480</v>
      </c>
      <c r="D433">
        <v>56</v>
      </c>
      <c r="E433" t="s">
        <v>1314</v>
      </c>
    </row>
    <row r="434" spans="1:5" x14ac:dyDescent="0.25">
      <c r="A434" t="s">
        <v>1344</v>
      </c>
      <c r="B434" s="1">
        <v>45217.504166666666</v>
      </c>
      <c r="C434" t="s">
        <v>1480</v>
      </c>
      <c r="D434">
        <v>55</v>
      </c>
      <c r="E434" t="s">
        <v>1321</v>
      </c>
    </row>
    <row r="435" spans="1:5" x14ac:dyDescent="0.25">
      <c r="A435" t="s">
        <v>1352</v>
      </c>
      <c r="B435" s="1">
        <v>45219.076388888891</v>
      </c>
      <c r="C435" t="s">
        <v>1480</v>
      </c>
      <c r="D435">
        <v>93</v>
      </c>
      <c r="E435" t="s">
        <v>1321</v>
      </c>
    </row>
    <row r="436" spans="1:5" x14ac:dyDescent="0.25">
      <c r="A436" t="s">
        <v>1318</v>
      </c>
      <c r="B436" s="1">
        <v>45200.511111111111</v>
      </c>
      <c r="C436" t="s">
        <v>280</v>
      </c>
      <c r="D436">
        <v>22</v>
      </c>
      <c r="E436" t="s">
        <v>1321</v>
      </c>
    </row>
    <row r="437" spans="1:5" x14ac:dyDescent="0.25">
      <c r="A437" t="s">
        <v>1347</v>
      </c>
      <c r="B437" s="1">
        <v>45213.145138888889</v>
      </c>
      <c r="C437" t="s">
        <v>280</v>
      </c>
      <c r="D437">
        <v>105</v>
      </c>
      <c r="E437" t="s">
        <v>1312</v>
      </c>
    </row>
    <row r="438" spans="1:5" x14ac:dyDescent="0.25">
      <c r="A438" t="s">
        <v>1325</v>
      </c>
      <c r="B438" s="1">
        <v>45206.23333333333</v>
      </c>
      <c r="C438" t="s">
        <v>303</v>
      </c>
      <c r="D438">
        <v>26</v>
      </c>
      <c r="E438" t="s">
        <v>1321</v>
      </c>
    </row>
    <row r="439" spans="1:5" x14ac:dyDescent="0.25">
      <c r="A439" t="s">
        <v>1319</v>
      </c>
      <c r="B439" s="1">
        <v>45205.353472222225</v>
      </c>
      <c r="C439" t="s">
        <v>352</v>
      </c>
      <c r="D439">
        <v>52</v>
      </c>
      <c r="E439" t="s">
        <v>1312</v>
      </c>
    </row>
    <row r="440" spans="1:5" x14ac:dyDescent="0.25">
      <c r="A440" t="s">
        <v>1318</v>
      </c>
      <c r="B440" s="1">
        <v>45215.743750000001</v>
      </c>
      <c r="C440" t="s">
        <v>1481</v>
      </c>
      <c r="D440">
        <v>103</v>
      </c>
      <c r="E440" t="s">
        <v>1314</v>
      </c>
    </row>
    <row r="441" spans="1:5" x14ac:dyDescent="0.25">
      <c r="A441" t="s">
        <v>1341</v>
      </c>
      <c r="B441" s="1">
        <v>45211.425000000003</v>
      </c>
      <c r="C441" t="s">
        <v>317</v>
      </c>
      <c r="D441">
        <v>57</v>
      </c>
      <c r="E441" t="s">
        <v>1312</v>
      </c>
    </row>
    <row r="442" spans="1:5" x14ac:dyDescent="0.25">
      <c r="A442" t="s">
        <v>1326</v>
      </c>
      <c r="B442" s="1">
        <v>45227.577777777777</v>
      </c>
      <c r="C442" t="s">
        <v>317</v>
      </c>
      <c r="D442">
        <v>50</v>
      </c>
      <c r="E442" t="s">
        <v>1321</v>
      </c>
    </row>
    <row r="443" spans="1:5" x14ac:dyDescent="0.25">
      <c r="A443" t="s">
        <v>1365</v>
      </c>
      <c r="B443" s="1">
        <v>45221.265972222223</v>
      </c>
      <c r="C443" t="s">
        <v>346</v>
      </c>
      <c r="D443">
        <v>88</v>
      </c>
      <c r="E443" t="s">
        <v>1312</v>
      </c>
    </row>
    <row r="444" spans="1:5" x14ac:dyDescent="0.25">
      <c r="A444" t="s">
        <v>1319</v>
      </c>
      <c r="B444" s="1">
        <v>45230.067361111112</v>
      </c>
      <c r="C444" t="s">
        <v>1482</v>
      </c>
      <c r="D444">
        <v>75</v>
      </c>
      <c r="E444" t="s">
        <v>1314</v>
      </c>
    </row>
    <row r="445" spans="1:5" x14ac:dyDescent="0.25">
      <c r="A445" t="s">
        <v>1322</v>
      </c>
      <c r="B445" s="1">
        <v>45218.665972222225</v>
      </c>
      <c r="C445" t="s">
        <v>1483</v>
      </c>
      <c r="D445">
        <v>90</v>
      </c>
      <c r="E445" t="s">
        <v>1321</v>
      </c>
    </row>
    <row r="446" spans="1:5" x14ac:dyDescent="0.25">
      <c r="A446" t="s">
        <v>1359</v>
      </c>
      <c r="B446" s="1">
        <v>45205.154166666667</v>
      </c>
      <c r="C446" t="s">
        <v>544</v>
      </c>
      <c r="D446">
        <v>12</v>
      </c>
      <c r="E446" t="s">
        <v>1314</v>
      </c>
    </row>
    <row r="447" spans="1:5" x14ac:dyDescent="0.25">
      <c r="A447" t="s">
        <v>1319</v>
      </c>
      <c r="B447" s="1">
        <v>45221.84652777778</v>
      </c>
      <c r="C447" t="s">
        <v>544</v>
      </c>
      <c r="D447">
        <v>96</v>
      </c>
      <c r="E447" t="s">
        <v>1321</v>
      </c>
    </row>
    <row r="448" spans="1:5" x14ac:dyDescent="0.25">
      <c r="A448" t="s">
        <v>1323</v>
      </c>
      <c r="B448" s="1">
        <v>45211.106944444444</v>
      </c>
      <c r="C448" t="s">
        <v>544</v>
      </c>
      <c r="D448">
        <v>87</v>
      </c>
      <c r="E448" t="s">
        <v>1321</v>
      </c>
    </row>
    <row r="449" spans="1:5" x14ac:dyDescent="0.25">
      <c r="A449" t="s">
        <v>1339</v>
      </c>
      <c r="B449" s="1">
        <v>45211.316666666666</v>
      </c>
      <c r="C449" t="s">
        <v>394</v>
      </c>
      <c r="D449">
        <v>93</v>
      </c>
      <c r="E449" t="s">
        <v>1321</v>
      </c>
    </row>
    <row r="450" spans="1:5" x14ac:dyDescent="0.25">
      <c r="A450" t="s">
        <v>1347</v>
      </c>
      <c r="B450" s="1">
        <v>45221.049305555556</v>
      </c>
      <c r="C450" t="s">
        <v>394</v>
      </c>
      <c r="D450">
        <v>53</v>
      </c>
      <c r="E450" t="s">
        <v>1312</v>
      </c>
    </row>
    <row r="451" spans="1:5" x14ac:dyDescent="0.25">
      <c r="A451" t="s">
        <v>1332</v>
      </c>
      <c r="B451" s="1">
        <v>45213.597916666666</v>
      </c>
      <c r="C451" t="s">
        <v>1484</v>
      </c>
      <c r="D451">
        <v>108</v>
      </c>
      <c r="E451" t="s">
        <v>1312</v>
      </c>
    </row>
    <row r="452" spans="1:5" x14ac:dyDescent="0.25">
      <c r="A452" t="s">
        <v>1332</v>
      </c>
      <c r="B452" s="1">
        <v>45221.50277777778</v>
      </c>
      <c r="C452" t="s">
        <v>1485</v>
      </c>
      <c r="D452">
        <v>69</v>
      </c>
      <c r="E452" t="s">
        <v>1314</v>
      </c>
    </row>
    <row r="453" spans="1:5" x14ac:dyDescent="0.25">
      <c r="A453" t="s">
        <v>1316</v>
      </c>
      <c r="B453" s="1">
        <v>45201.243055555555</v>
      </c>
      <c r="C453" t="s">
        <v>1486</v>
      </c>
      <c r="D453">
        <v>57</v>
      </c>
      <c r="E453" t="s">
        <v>1321</v>
      </c>
    </row>
    <row r="454" spans="1:5" x14ac:dyDescent="0.25">
      <c r="A454" t="s">
        <v>1339</v>
      </c>
      <c r="B454" s="1">
        <v>45209.684027777781</v>
      </c>
      <c r="C454" t="s">
        <v>1486</v>
      </c>
      <c r="D454">
        <v>44</v>
      </c>
      <c r="E454" t="s">
        <v>1321</v>
      </c>
    </row>
    <row r="455" spans="1:5" x14ac:dyDescent="0.25">
      <c r="A455" t="s">
        <v>1336</v>
      </c>
      <c r="B455" s="1">
        <v>45217.68472222222</v>
      </c>
      <c r="C455" t="s">
        <v>1486</v>
      </c>
      <c r="D455">
        <v>43</v>
      </c>
      <c r="E455" t="s">
        <v>1314</v>
      </c>
    </row>
    <row r="456" spans="1:5" x14ac:dyDescent="0.25">
      <c r="A456" t="s">
        <v>1341</v>
      </c>
      <c r="B456" s="1">
        <v>45204.76666666667</v>
      </c>
      <c r="C456" t="s">
        <v>413</v>
      </c>
      <c r="D456">
        <v>9</v>
      </c>
      <c r="E456" t="s">
        <v>1321</v>
      </c>
    </row>
    <row r="457" spans="1:5" x14ac:dyDescent="0.25">
      <c r="A457" t="s">
        <v>1365</v>
      </c>
      <c r="B457" s="1">
        <v>45209.32708333333</v>
      </c>
      <c r="C457" t="s">
        <v>183</v>
      </c>
      <c r="D457">
        <v>107</v>
      </c>
      <c r="E457" t="s">
        <v>1312</v>
      </c>
    </row>
    <row r="458" spans="1:5" x14ac:dyDescent="0.25">
      <c r="A458" t="s">
        <v>1341</v>
      </c>
      <c r="B458" s="1">
        <v>45206.366666666669</v>
      </c>
      <c r="C458" t="s">
        <v>1487</v>
      </c>
      <c r="D458">
        <v>69</v>
      </c>
      <c r="E458" t="s">
        <v>1312</v>
      </c>
    </row>
    <row r="459" spans="1:5" x14ac:dyDescent="0.25">
      <c r="A459" t="s">
        <v>1343</v>
      </c>
      <c r="B459" s="1">
        <v>45202.659722222219</v>
      </c>
      <c r="C459" t="s">
        <v>1487</v>
      </c>
      <c r="D459">
        <v>42</v>
      </c>
      <c r="E459" t="s">
        <v>1314</v>
      </c>
    </row>
    <row r="460" spans="1:5" x14ac:dyDescent="0.25">
      <c r="A460" t="s">
        <v>1352</v>
      </c>
      <c r="B460" s="1">
        <v>45203.447916666664</v>
      </c>
      <c r="C460" t="s">
        <v>1487</v>
      </c>
      <c r="D460">
        <v>84</v>
      </c>
      <c r="E460" t="s">
        <v>1321</v>
      </c>
    </row>
    <row r="461" spans="1:5" x14ac:dyDescent="0.25">
      <c r="A461" t="s">
        <v>1316</v>
      </c>
      <c r="B461" s="1">
        <v>45207.40625</v>
      </c>
      <c r="C461" t="s">
        <v>1488</v>
      </c>
      <c r="D461">
        <v>49</v>
      </c>
      <c r="E461" t="s">
        <v>1312</v>
      </c>
    </row>
    <row r="462" spans="1:5" x14ac:dyDescent="0.25">
      <c r="A462" t="s">
        <v>1319</v>
      </c>
      <c r="B462" s="1">
        <v>45225.737500000003</v>
      </c>
      <c r="C462" t="s">
        <v>1488</v>
      </c>
      <c r="D462">
        <v>6</v>
      </c>
      <c r="E462" t="s">
        <v>1312</v>
      </c>
    </row>
    <row r="463" spans="1:5" x14ac:dyDescent="0.25">
      <c r="A463" t="s">
        <v>1365</v>
      </c>
      <c r="B463" s="1">
        <v>45216.14166666667</v>
      </c>
      <c r="C463" t="s">
        <v>471</v>
      </c>
      <c r="D463">
        <v>94</v>
      </c>
      <c r="E463" t="s">
        <v>1314</v>
      </c>
    </row>
    <row r="464" spans="1:5" x14ac:dyDescent="0.25">
      <c r="A464" t="s">
        <v>1339</v>
      </c>
      <c r="B464" s="1">
        <v>45207.379861111112</v>
      </c>
      <c r="C464" t="s">
        <v>1489</v>
      </c>
      <c r="D464">
        <v>118</v>
      </c>
      <c r="E464" t="s">
        <v>1321</v>
      </c>
    </row>
    <row r="465" spans="1:5" x14ac:dyDescent="0.25">
      <c r="A465" t="s">
        <v>1359</v>
      </c>
      <c r="B465" s="1">
        <v>45218.990277777775</v>
      </c>
      <c r="C465" t="s">
        <v>1489</v>
      </c>
      <c r="D465">
        <v>100</v>
      </c>
      <c r="E465" t="s">
        <v>1314</v>
      </c>
    </row>
    <row r="466" spans="1:5" x14ac:dyDescent="0.25">
      <c r="A466" t="s">
        <v>1325</v>
      </c>
      <c r="B466" s="1">
        <v>45214.145833333336</v>
      </c>
      <c r="C466" t="s">
        <v>1489</v>
      </c>
      <c r="D466">
        <v>29</v>
      </c>
      <c r="E466" t="s">
        <v>1321</v>
      </c>
    </row>
    <row r="467" spans="1:5" x14ac:dyDescent="0.25">
      <c r="A467" t="s">
        <v>1365</v>
      </c>
      <c r="B467" s="1">
        <v>45203.997916666667</v>
      </c>
      <c r="C467" t="s">
        <v>109</v>
      </c>
      <c r="D467">
        <v>101</v>
      </c>
      <c r="E467" t="s">
        <v>1321</v>
      </c>
    </row>
    <row r="468" spans="1:5" x14ac:dyDescent="0.25">
      <c r="A468" t="s">
        <v>1339</v>
      </c>
      <c r="B468" s="1">
        <v>45220.811805555553</v>
      </c>
      <c r="C468" t="s">
        <v>376</v>
      </c>
      <c r="D468">
        <v>100</v>
      </c>
      <c r="E468" t="s">
        <v>1321</v>
      </c>
    </row>
    <row r="469" spans="1:5" x14ac:dyDescent="0.25">
      <c r="A469" t="s">
        <v>1326</v>
      </c>
      <c r="B469" s="1">
        <v>45222.367361111108</v>
      </c>
      <c r="C469" t="s">
        <v>1490</v>
      </c>
      <c r="D469">
        <v>117</v>
      </c>
      <c r="E469" t="s">
        <v>1312</v>
      </c>
    </row>
    <row r="470" spans="1:5" x14ac:dyDescent="0.25">
      <c r="A470" t="s">
        <v>1334</v>
      </c>
      <c r="B470" s="1">
        <v>45222.107638888891</v>
      </c>
      <c r="C470" t="s">
        <v>1491</v>
      </c>
      <c r="D470">
        <v>85</v>
      </c>
      <c r="E470" t="s">
        <v>1314</v>
      </c>
    </row>
    <row r="471" spans="1:5" x14ac:dyDescent="0.25">
      <c r="A471" t="s">
        <v>1341</v>
      </c>
      <c r="B471" s="1">
        <v>45219.753472222219</v>
      </c>
      <c r="C471" t="s">
        <v>1491</v>
      </c>
      <c r="D471">
        <v>77</v>
      </c>
      <c r="E471" t="s">
        <v>1314</v>
      </c>
    </row>
    <row r="472" spans="1:5" x14ac:dyDescent="0.25">
      <c r="A472" t="s">
        <v>1365</v>
      </c>
      <c r="B472" s="1">
        <v>45221.997916666667</v>
      </c>
      <c r="C472" t="s">
        <v>1491</v>
      </c>
      <c r="D472">
        <v>59</v>
      </c>
      <c r="E472" t="s">
        <v>1314</v>
      </c>
    </row>
    <row r="473" spans="1:5" x14ac:dyDescent="0.25">
      <c r="A473" t="s">
        <v>1315</v>
      </c>
      <c r="B473" s="1">
        <v>45203.032638888886</v>
      </c>
      <c r="C473" t="s">
        <v>266</v>
      </c>
      <c r="D473">
        <v>73</v>
      </c>
      <c r="E473" t="s">
        <v>1314</v>
      </c>
    </row>
    <row r="474" spans="1:5" x14ac:dyDescent="0.25">
      <c r="A474" t="s">
        <v>1359</v>
      </c>
      <c r="B474" s="1">
        <v>45228.791666666664</v>
      </c>
      <c r="C474" t="s">
        <v>266</v>
      </c>
      <c r="D474">
        <v>63</v>
      </c>
      <c r="E474" t="s">
        <v>1314</v>
      </c>
    </row>
    <row r="475" spans="1:5" x14ac:dyDescent="0.25">
      <c r="A475" t="s">
        <v>1313</v>
      </c>
      <c r="B475" s="1">
        <v>45222.943749999999</v>
      </c>
      <c r="C475" t="s">
        <v>140</v>
      </c>
      <c r="D475">
        <v>114</v>
      </c>
      <c r="E475" t="s">
        <v>1314</v>
      </c>
    </row>
    <row r="476" spans="1:5" x14ac:dyDescent="0.25">
      <c r="A476" t="s">
        <v>1313</v>
      </c>
      <c r="B476" s="1">
        <v>45215.163888888892</v>
      </c>
      <c r="C476" t="s">
        <v>1492</v>
      </c>
      <c r="D476">
        <v>109</v>
      </c>
      <c r="E476" t="s">
        <v>1312</v>
      </c>
    </row>
    <row r="477" spans="1:5" x14ac:dyDescent="0.25">
      <c r="A477" t="s">
        <v>1334</v>
      </c>
      <c r="B477" s="1">
        <v>45226.003472222219</v>
      </c>
      <c r="C477" t="s">
        <v>1493</v>
      </c>
      <c r="D477">
        <v>76</v>
      </c>
      <c r="E477" t="s">
        <v>1314</v>
      </c>
    </row>
    <row r="478" spans="1:5" x14ac:dyDescent="0.25">
      <c r="A478" t="s">
        <v>1341</v>
      </c>
      <c r="B478" s="1">
        <v>45230.088194444441</v>
      </c>
      <c r="C478" t="s">
        <v>1493</v>
      </c>
      <c r="D478">
        <v>87</v>
      </c>
      <c r="E478" t="s">
        <v>1321</v>
      </c>
    </row>
    <row r="479" spans="1:5" x14ac:dyDescent="0.25">
      <c r="A479" t="s">
        <v>1347</v>
      </c>
      <c r="B479" s="1">
        <v>45211.219444444447</v>
      </c>
      <c r="C479" t="s">
        <v>476</v>
      </c>
      <c r="D479">
        <v>5</v>
      </c>
      <c r="E479" t="s">
        <v>1314</v>
      </c>
    </row>
    <row r="480" spans="1:5" x14ac:dyDescent="0.25">
      <c r="A480" t="s">
        <v>1323</v>
      </c>
      <c r="B480" s="1">
        <v>45227.324305555558</v>
      </c>
      <c r="C480" t="s">
        <v>1494</v>
      </c>
      <c r="D480">
        <v>52</v>
      </c>
      <c r="E480" t="s">
        <v>1314</v>
      </c>
    </row>
    <row r="481" spans="1:5" x14ac:dyDescent="0.25">
      <c r="A481" t="s">
        <v>1332</v>
      </c>
      <c r="B481" s="1">
        <v>45200.832638888889</v>
      </c>
      <c r="C481" t="s">
        <v>477</v>
      </c>
      <c r="D481">
        <v>27</v>
      </c>
      <c r="E481" t="s">
        <v>1314</v>
      </c>
    </row>
    <row r="482" spans="1:5" x14ac:dyDescent="0.25">
      <c r="A482" t="s">
        <v>1318</v>
      </c>
      <c r="B482" s="1">
        <v>45218.127083333333</v>
      </c>
      <c r="C482" t="s">
        <v>477</v>
      </c>
      <c r="D482">
        <v>58</v>
      </c>
      <c r="E482" t="s">
        <v>1312</v>
      </c>
    </row>
    <row r="483" spans="1:5" x14ac:dyDescent="0.25">
      <c r="A483" t="s">
        <v>1352</v>
      </c>
      <c r="B483" s="1">
        <v>45202.695138888892</v>
      </c>
      <c r="C483" t="s">
        <v>1495</v>
      </c>
      <c r="D483">
        <v>21</v>
      </c>
      <c r="E483" t="s">
        <v>1314</v>
      </c>
    </row>
    <row r="484" spans="1:5" x14ac:dyDescent="0.25">
      <c r="A484" t="s">
        <v>1336</v>
      </c>
      <c r="B484" s="1">
        <v>45200.394444444442</v>
      </c>
      <c r="C484" t="s">
        <v>1495</v>
      </c>
      <c r="D484">
        <v>115</v>
      </c>
      <c r="E484" t="s">
        <v>1312</v>
      </c>
    </row>
    <row r="485" spans="1:5" x14ac:dyDescent="0.25">
      <c r="A485" t="s">
        <v>1353</v>
      </c>
      <c r="B485" s="1">
        <v>45201.243055555555</v>
      </c>
      <c r="C485" t="s">
        <v>1495</v>
      </c>
      <c r="D485">
        <v>73</v>
      </c>
      <c r="E485" t="s">
        <v>1312</v>
      </c>
    </row>
    <row r="486" spans="1:5" x14ac:dyDescent="0.25">
      <c r="A486" t="s">
        <v>1316</v>
      </c>
      <c r="B486" s="1">
        <v>45227.768750000003</v>
      </c>
      <c r="C486" t="s">
        <v>1496</v>
      </c>
      <c r="D486">
        <v>61</v>
      </c>
      <c r="E486" t="s">
        <v>1312</v>
      </c>
    </row>
    <row r="487" spans="1:5" x14ac:dyDescent="0.25">
      <c r="A487" t="s">
        <v>1318</v>
      </c>
      <c r="B487" s="1">
        <v>45230.1875</v>
      </c>
      <c r="C487" t="s">
        <v>1497</v>
      </c>
      <c r="D487">
        <v>9</v>
      </c>
      <c r="E487" t="s">
        <v>1321</v>
      </c>
    </row>
    <row r="488" spans="1:5" x14ac:dyDescent="0.25">
      <c r="A488" t="s">
        <v>1322</v>
      </c>
      <c r="B488" s="1">
        <v>45213.822222222225</v>
      </c>
      <c r="C488" t="s">
        <v>1498</v>
      </c>
      <c r="D488">
        <v>100</v>
      </c>
      <c r="E488" t="s">
        <v>1312</v>
      </c>
    </row>
    <row r="489" spans="1:5" x14ac:dyDescent="0.25">
      <c r="A489" t="s">
        <v>1334</v>
      </c>
      <c r="B489" s="1">
        <v>45209.094444444447</v>
      </c>
      <c r="C489" t="s">
        <v>1499</v>
      </c>
      <c r="D489">
        <v>96</v>
      </c>
      <c r="E489" t="s">
        <v>1314</v>
      </c>
    </row>
    <row r="490" spans="1:5" x14ac:dyDescent="0.25">
      <c r="A490" t="s">
        <v>1352</v>
      </c>
      <c r="B490" s="1">
        <v>45219.683333333334</v>
      </c>
      <c r="C490" t="s">
        <v>139</v>
      </c>
      <c r="D490">
        <v>99</v>
      </c>
      <c r="E490" t="s">
        <v>1312</v>
      </c>
    </row>
    <row r="491" spans="1:5" x14ac:dyDescent="0.25">
      <c r="A491" t="s">
        <v>1320</v>
      </c>
      <c r="B491" s="1">
        <v>45210.879861111112</v>
      </c>
      <c r="C491" t="s">
        <v>71</v>
      </c>
      <c r="D491">
        <v>53</v>
      </c>
      <c r="E491" t="s">
        <v>1314</v>
      </c>
    </row>
    <row r="492" spans="1:5" x14ac:dyDescent="0.25">
      <c r="A492" t="s">
        <v>1313</v>
      </c>
      <c r="B492" s="1">
        <v>45219.041666666664</v>
      </c>
      <c r="C492" t="s">
        <v>1500</v>
      </c>
      <c r="D492">
        <v>100</v>
      </c>
      <c r="E492" t="s">
        <v>1321</v>
      </c>
    </row>
    <row r="493" spans="1:5" x14ac:dyDescent="0.25">
      <c r="A493" t="s">
        <v>1326</v>
      </c>
      <c r="B493" s="1">
        <v>45218.056944444441</v>
      </c>
      <c r="C493" t="s">
        <v>1500</v>
      </c>
      <c r="D493">
        <v>46</v>
      </c>
      <c r="E493" t="s">
        <v>1321</v>
      </c>
    </row>
    <row r="494" spans="1:5" x14ac:dyDescent="0.25">
      <c r="A494" t="s">
        <v>1325</v>
      </c>
      <c r="B494" s="1">
        <v>45216.393055555556</v>
      </c>
      <c r="C494" t="s">
        <v>1501</v>
      </c>
      <c r="D494">
        <v>34</v>
      </c>
      <c r="E494" t="s">
        <v>1321</v>
      </c>
    </row>
    <row r="495" spans="1:5" x14ac:dyDescent="0.25">
      <c r="A495" t="s">
        <v>1344</v>
      </c>
      <c r="B495" s="1">
        <v>45200.427777777775</v>
      </c>
      <c r="C495" t="s">
        <v>1502</v>
      </c>
      <c r="D495">
        <v>16</v>
      </c>
      <c r="E495" t="s">
        <v>1312</v>
      </c>
    </row>
    <row r="496" spans="1:5" x14ac:dyDescent="0.25">
      <c r="A496" t="s">
        <v>1365</v>
      </c>
      <c r="B496" s="1">
        <v>45213.89166666667</v>
      </c>
      <c r="C496" t="s">
        <v>1502</v>
      </c>
      <c r="D496">
        <v>104</v>
      </c>
      <c r="E496" t="s">
        <v>1314</v>
      </c>
    </row>
    <row r="497" spans="1:5" x14ac:dyDescent="0.25">
      <c r="A497" t="s">
        <v>1326</v>
      </c>
      <c r="B497" s="1">
        <v>45206.027083333334</v>
      </c>
      <c r="C497" t="s">
        <v>285</v>
      </c>
      <c r="D497">
        <v>36</v>
      </c>
      <c r="E497" t="s">
        <v>1321</v>
      </c>
    </row>
    <row r="498" spans="1:5" x14ac:dyDescent="0.25">
      <c r="A498" t="s">
        <v>1344</v>
      </c>
      <c r="B498" s="1">
        <v>45202.747916666667</v>
      </c>
      <c r="C498" t="s">
        <v>285</v>
      </c>
      <c r="D498">
        <v>28</v>
      </c>
      <c r="E498" t="s">
        <v>1312</v>
      </c>
    </row>
    <row r="499" spans="1:5" x14ac:dyDescent="0.25">
      <c r="A499" t="s">
        <v>1320</v>
      </c>
      <c r="B499" s="1">
        <v>45204.572222222225</v>
      </c>
      <c r="C499" t="s">
        <v>285</v>
      </c>
      <c r="D499">
        <v>88</v>
      </c>
      <c r="E499" t="s">
        <v>1321</v>
      </c>
    </row>
    <row r="500" spans="1:5" x14ac:dyDescent="0.25">
      <c r="A500" t="s">
        <v>1320</v>
      </c>
      <c r="B500" s="1">
        <v>45206.563888888886</v>
      </c>
      <c r="C500" t="s">
        <v>320</v>
      </c>
      <c r="D500">
        <v>37</v>
      </c>
      <c r="E500" t="s">
        <v>1314</v>
      </c>
    </row>
    <row r="501" spans="1:5" x14ac:dyDescent="0.25">
      <c r="A501" t="s">
        <v>1311</v>
      </c>
      <c r="B501" s="1">
        <v>45210.511805555558</v>
      </c>
      <c r="C501" t="s">
        <v>1503</v>
      </c>
      <c r="D501">
        <v>27</v>
      </c>
      <c r="E501" t="s">
        <v>1312</v>
      </c>
    </row>
    <row r="502" spans="1:5" x14ac:dyDescent="0.25">
      <c r="A502" t="s">
        <v>1352</v>
      </c>
      <c r="B502" s="1">
        <v>45209.724999999999</v>
      </c>
      <c r="C502" t="s">
        <v>1504</v>
      </c>
      <c r="D502">
        <v>97</v>
      </c>
      <c r="E502" t="s">
        <v>1321</v>
      </c>
    </row>
    <row r="503" spans="1:5" x14ac:dyDescent="0.25">
      <c r="A503" t="s">
        <v>1324</v>
      </c>
      <c r="B503" s="1">
        <v>45215.704861111109</v>
      </c>
      <c r="C503" t="s">
        <v>178</v>
      </c>
      <c r="D503">
        <v>107</v>
      </c>
      <c r="E503" t="s">
        <v>1314</v>
      </c>
    </row>
    <row r="504" spans="1:5" x14ac:dyDescent="0.25">
      <c r="A504" t="s">
        <v>1343</v>
      </c>
      <c r="B504" s="1">
        <v>45230.484027777777</v>
      </c>
      <c r="C504" t="s">
        <v>178</v>
      </c>
      <c r="D504">
        <v>37</v>
      </c>
      <c r="E504" t="s">
        <v>1312</v>
      </c>
    </row>
    <row r="505" spans="1:5" x14ac:dyDescent="0.25">
      <c r="A505" t="s">
        <v>1316</v>
      </c>
      <c r="B505" s="1">
        <v>45209.588194444441</v>
      </c>
      <c r="C505" t="s">
        <v>1505</v>
      </c>
      <c r="D505">
        <v>41</v>
      </c>
      <c r="E505" t="s">
        <v>1312</v>
      </c>
    </row>
    <row r="506" spans="1:5" x14ac:dyDescent="0.25">
      <c r="A506" t="s">
        <v>1365</v>
      </c>
      <c r="B506" s="1">
        <v>45221.095833333333</v>
      </c>
      <c r="C506" t="s">
        <v>1505</v>
      </c>
      <c r="D506">
        <v>113</v>
      </c>
      <c r="E506" t="s">
        <v>1321</v>
      </c>
    </row>
    <row r="507" spans="1:5" x14ac:dyDescent="0.25">
      <c r="A507" t="s">
        <v>1353</v>
      </c>
      <c r="B507" s="1">
        <v>45216.137499999997</v>
      </c>
      <c r="C507" t="s">
        <v>176</v>
      </c>
      <c r="D507">
        <v>120</v>
      </c>
      <c r="E507" t="s">
        <v>1312</v>
      </c>
    </row>
    <row r="508" spans="1:5" x14ac:dyDescent="0.25">
      <c r="A508" t="s">
        <v>1319</v>
      </c>
      <c r="B508" s="1">
        <v>45211.55972222222</v>
      </c>
      <c r="C508" t="s">
        <v>1506</v>
      </c>
      <c r="D508">
        <v>69</v>
      </c>
      <c r="E508" t="s">
        <v>1312</v>
      </c>
    </row>
    <row r="509" spans="1:5" x14ac:dyDescent="0.25">
      <c r="A509" t="s">
        <v>1326</v>
      </c>
      <c r="B509" s="1">
        <v>45200.981944444444</v>
      </c>
      <c r="C509" t="s">
        <v>1506</v>
      </c>
      <c r="D509">
        <v>98</v>
      </c>
      <c r="E509" t="s">
        <v>1314</v>
      </c>
    </row>
    <row r="510" spans="1:5" x14ac:dyDescent="0.25">
      <c r="A510" t="s">
        <v>1315</v>
      </c>
      <c r="B510" s="1">
        <v>45219.840277777781</v>
      </c>
      <c r="C510" t="s">
        <v>1506</v>
      </c>
      <c r="D510">
        <v>92</v>
      </c>
      <c r="E510" t="s">
        <v>1314</v>
      </c>
    </row>
    <row r="511" spans="1:5" x14ac:dyDescent="0.25">
      <c r="A511" t="s">
        <v>1311</v>
      </c>
      <c r="B511" s="1">
        <v>45217.627083333333</v>
      </c>
      <c r="C511" t="s">
        <v>529</v>
      </c>
      <c r="D511">
        <v>33</v>
      </c>
      <c r="E511" t="s">
        <v>1314</v>
      </c>
    </row>
    <row r="512" spans="1:5" x14ac:dyDescent="0.25">
      <c r="A512" t="s">
        <v>1322</v>
      </c>
      <c r="B512" s="1">
        <v>45228.57708333333</v>
      </c>
      <c r="C512" t="s">
        <v>529</v>
      </c>
      <c r="D512">
        <v>80</v>
      </c>
      <c r="E512" t="s">
        <v>1321</v>
      </c>
    </row>
    <row r="513" spans="1:5" x14ac:dyDescent="0.25">
      <c r="A513" t="s">
        <v>1359</v>
      </c>
      <c r="B513" s="1">
        <v>45212.599305555559</v>
      </c>
      <c r="C513" t="s">
        <v>529</v>
      </c>
      <c r="D513">
        <v>58</v>
      </c>
      <c r="E513" t="s">
        <v>1312</v>
      </c>
    </row>
    <row r="514" spans="1:5" x14ac:dyDescent="0.25">
      <c r="A514" t="s">
        <v>1326</v>
      </c>
      <c r="B514" s="1">
        <v>45218.270138888889</v>
      </c>
      <c r="C514" t="s">
        <v>529</v>
      </c>
      <c r="D514">
        <v>40</v>
      </c>
      <c r="E514" t="s">
        <v>1312</v>
      </c>
    </row>
    <row r="515" spans="1:5" x14ac:dyDescent="0.25">
      <c r="A515" t="s">
        <v>1347</v>
      </c>
      <c r="B515" s="1">
        <v>45219.793749999997</v>
      </c>
      <c r="C515" t="s">
        <v>1507</v>
      </c>
      <c r="D515">
        <v>43</v>
      </c>
      <c r="E515" t="s">
        <v>1312</v>
      </c>
    </row>
    <row r="516" spans="1:5" x14ac:dyDescent="0.25">
      <c r="A516" t="s">
        <v>1311</v>
      </c>
      <c r="B516" s="1">
        <v>45214.168055555558</v>
      </c>
      <c r="C516" t="s">
        <v>521</v>
      </c>
      <c r="D516">
        <v>106</v>
      </c>
      <c r="E516" t="s">
        <v>1314</v>
      </c>
    </row>
    <row r="517" spans="1:5" x14ac:dyDescent="0.25">
      <c r="A517" t="s">
        <v>1327</v>
      </c>
      <c r="B517" s="1">
        <v>45201.527777777781</v>
      </c>
      <c r="C517" t="s">
        <v>412</v>
      </c>
      <c r="D517">
        <v>20</v>
      </c>
      <c r="E517" t="s">
        <v>1312</v>
      </c>
    </row>
    <row r="518" spans="1:5" x14ac:dyDescent="0.25">
      <c r="A518" t="s">
        <v>1341</v>
      </c>
      <c r="B518" s="1">
        <v>45203.615277777775</v>
      </c>
      <c r="C518" t="s">
        <v>1508</v>
      </c>
      <c r="D518">
        <v>41</v>
      </c>
      <c r="E518" t="s">
        <v>1314</v>
      </c>
    </row>
    <row r="519" spans="1:5" x14ac:dyDescent="0.25">
      <c r="A519" t="s">
        <v>1334</v>
      </c>
      <c r="B519" s="1">
        <v>45202.695138888892</v>
      </c>
      <c r="C519" t="s">
        <v>1509</v>
      </c>
      <c r="D519">
        <v>49</v>
      </c>
      <c r="E519" t="s">
        <v>1312</v>
      </c>
    </row>
    <row r="520" spans="1:5" x14ac:dyDescent="0.25">
      <c r="A520" t="s">
        <v>1316</v>
      </c>
      <c r="B520" s="1">
        <v>45214.943055555559</v>
      </c>
      <c r="C520" t="s">
        <v>508</v>
      </c>
      <c r="D520">
        <v>16</v>
      </c>
      <c r="E520" t="s">
        <v>1314</v>
      </c>
    </row>
    <row r="521" spans="1:5" x14ac:dyDescent="0.25">
      <c r="A521" t="s">
        <v>1334</v>
      </c>
      <c r="B521" s="1">
        <v>45210.926388888889</v>
      </c>
      <c r="C521" t="s">
        <v>508</v>
      </c>
      <c r="D521">
        <v>45</v>
      </c>
      <c r="E521" t="s">
        <v>1312</v>
      </c>
    </row>
    <row r="522" spans="1:5" x14ac:dyDescent="0.25">
      <c r="A522" t="s">
        <v>1334</v>
      </c>
      <c r="B522" s="1">
        <v>45206.857638888891</v>
      </c>
      <c r="C522" t="s">
        <v>508</v>
      </c>
      <c r="D522">
        <v>45</v>
      </c>
      <c r="E522" t="s">
        <v>1321</v>
      </c>
    </row>
    <row r="523" spans="1:5" x14ac:dyDescent="0.25">
      <c r="A523" t="s">
        <v>1336</v>
      </c>
      <c r="B523" s="1">
        <v>45204.090277777781</v>
      </c>
      <c r="C523" t="s">
        <v>1510</v>
      </c>
      <c r="D523">
        <v>93</v>
      </c>
      <c r="E523" t="s">
        <v>1321</v>
      </c>
    </row>
    <row r="524" spans="1:5" x14ac:dyDescent="0.25">
      <c r="A524" t="s">
        <v>1327</v>
      </c>
      <c r="B524" s="1">
        <v>45203.009027777778</v>
      </c>
      <c r="C524" t="s">
        <v>1510</v>
      </c>
      <c r="D524">
        <v>49</v>
      </c>
      <c r="E524" t="s">
        <v>1314</v>
      </c>
    </row>
    <row r="525" spans="1:5" x14ac:dyDescent="0.25">
      <c r="A525" t="s">
        <v>1315</v>
      </c>
      <c r="B525" s="1">
        <v>45217.28125</v>
      </c>
      <c r="C525" t="s">
        <v>1511</v>
      </c>
      <c r="D525">
        <v>51</v>
      </c>
      <c r="E525" t="s">
        <v>1312</v>
      </c>
    </row>
    <row r="526" spans="1:5" x14ac:dyDescent="0.25">
      <c r="A526" t="s">
        <v>1343</v>
      </c>
      <c r="B526" s="1">
        <v>45227.527083333334</v>
      </c>
      <c r="C526" t="s">
        <v>90</v>
      </c>
      <c r="D526">
        <v>107</v>
      </c>
      <c r="E526" t="s">
        <v>1312</v>
      </c>
    </row>
    <row r="527" spans="1:5" x14ac:dyDescent="0.25">
      <c r="A527" t="s">
        <v>1352</v>
      </c>
      <c r="B527" s="1">
        <v>45229.39166666667</v>
      </c>
      <c r="C527" t="s">
        <v>97</v>
      </c>
      <c r="D527">
        <v>28</v>
      </c>
      <c r="E527" t="s">
        <v>1321</v>
      </c>
    </row>
    <row r="528" spans="1:5" x14ac:dyDescent="0.25">
      <c r="A528" t="s">
        <v>1344</v>
      </c>
      <c r="B528" s="1">
        <v>45217.999305555553</v>
      </c>
      <c r="C528" t="s">
        <v>97</v>
      </c>
      <c r="D528">
        <v>38</v>
      </c>
      <c r="E528" t="s">
        <v>1312</v>
      </c>
    </row>
    <row r="529" spans="1:5" x14ac:dyDescent="0.25">
      <c r="A529" t="s">
        <v>1323</v>
      </c>
      <c r="B529" s="1">
        <v>45216.183333333334</v>
      </c>
      <c r="C529" t="s">
        <v>97</v>
      </c>
      <c r="D529">
        <v>67</v>
      </c>
      <c r="E529" t="s">
        <v>1312</v>
      </c>
    </row>
    <row r="530" spans="1:5" x14ac:dyDescent="0.25">
      <c r="A530" t="s">
        <v>1365</v>
      </c>
      <c r="B530" s="1">
        <v>45223.990972222222</v>
      </c>
      <c r="C530" t="s">
        <v>278</v>
      </c>
      <c r="D530">
        <v>23</v>
      </c>
      <c r="E530" t="s">
        <v>1314</v>
      </c>
    </row>
    <row r="531" spans="1:5" x14ac:dyDescent="0.25">
      <c r="A531" t="s">
        <v>1347</v>
      </c>
      <c r="B531" s="1">
        <v>45201.640972222223</v>
      </c>
      <c r="C531" t="s">
        <v>1512</v>
      </c>
      <c r="D531">
        <v>86</v>
      </c>
      <c r="E531" t="s">
        <v>1321</v>
      </c>
    </row>
    <row r="532" spans="1:5" x14ac:dyDescent="0.25">
      <c r="A532" t="s">
        <v>1359</v>
      </c>
      <c r="B532" s="1">
        <v>45208.172222222223</v>
      </c>
      <c r="C532" t="s">
        <v>1512</v>
      </c>
      <c r="D532">
        <v>87</v>
      </c>
      <c r="E532" t="s">
        <v>1314</v>
      </c>
    </row>
    <row r="533" spans="1:5" x14ac:dyDescent="0.25">
      <c r="A533" t="s">
        <v>1319</v>
      </c>
      <c r="B533" s="1">
        <v>45203.893750000003</v>
      </c>
      <c r="C533" t="s">
        <v>1512</v>
      </c>
      <c r="D533">
        <v>32</v>
      </c>
      <c r="E533" t="s">
        <v>1314</v>
      </c>
    </row>
    <row r="534" spans="1:5" x14ac:dyDescent="0.25">
      <c r="A534" t="s">
        <v>1315</v>
      </c>
      <c r="B534" s="1">
        <v>45218.368750000001</v>
      </c>
      <c r="C534" t="s">
        <v>50</v>
      </c>
      <c r="D534">
        <v>70</v>
      </c>
      <c r="E534" t="s">
        <v>1314</v>
      </c>
    </row>
    <row r="535" spans="1:5" x14ac:dyDescent="0.25">
      <c r="A535" t="s">
        <v>1315</v>
      </c>
      <c r="B535" s="1">
        <v>45208.073611111111</v>
      </c>
      <c r="C535" t="s">
        <v>50</v>
      </c>
      <c r="D535">
        <v>85</v>
      </c>
      <c r="E535" t="s">
        <v>1312</v>
      </c>
    </row>
    <row r="536" spans="1:5" x14ac:dyDescent="0.25">
      <c r="A536" t="s">
        <v>1313</v>
      </c>
      <c r="B536" s="1">
        <v>45214.23541666667</v>
      </c>
      <c r="C536" t="s">
        <v>380</v>
      </c>
      <c r="D536">
        <v>33</v>
      </c>
      <c r="E536" t="s">
        <v>1314</v>
      </c>
    </row>
    <row r="537" spans="1:5" x14ac:dyDescent="0.25">
      <c r="A537" t="s">
        <v>1327</v>
      </c>
      <c r="B537" s="1">
        <v>45218.659722222219</v>
      </c>
      <c r="C537" t="s">
        <v>1513</v>
      </c>
      <c r="D537">
        <v>24</v>
      </c>
      <c r="E537" t="s">
        <v>1314</v>
      </c>
    </row>
    <row r="538" spans="1:5" x14ac:dyDescent="0.25">
      <c r="A538" t="s">
        <v>1332</v>
      </c>
      <c r="B538" s="1">
        <v>45207.526388888888</v>
      </c>
      <c r="C538" t="s">
        <v>91</v>
      </c>
      <c r="D538">
        <v>78</v>
      </c>
      <c r="E538" t="s">
        <v>1321</v>
      </c>
    </row>
    <row r="539" spans="1:5" x14ac:dyDescent="0.25">
      <c r="A539" t="s">
        <v>1324</v>
      </c>
      <c r="B539" s="1">
        <v>45212.447222222225</v>
      </c>
      <c r="C539" t="s">
        <v>260</v>
      </c>
      <c r="D539">
        <v>88</v>
      </c>
      <c r="E539" t="s">
        <v>1312</v>
      </c>
    </row>
    <row r="540" spans="1:5" x14ac:dyDescent="0.25">
      <c r="A540" t="s">
        <v>1325</v>
      </c>
      <c r="B540" s="1">
        <v>45203.522222222222</v>
      </c>
      <c r="C540" t="s">
        <v>260</v>
      </c>
      <c r="D540">
        <v>11</v>
      </c>
      <c r="E540" t="s">
        <v>1312</v>
      </c>
    </row>
    <row r="541" spans="1:5" x14ac:dyDescent="0.25">
      <c r="A541" t="s">
        <v>1341</v>
      </c>
      <c r="B541" s="1">
        <v>45202.376388888886</v>
      </c>
      <c r="C541" t="s">
        <v>260</v>
      </c>
      <c r="D541">
        <v>28</v>
      </c>
      <c r="E541" t="s">
        <v>1314</v>
      </c>
    </row>
    <row r="542" spans="1:5" x14ac:dyDescent="0.25">
      <c r="A542" t="s">
        <v>1339</v>
      </c>
      <c r="B542" s="1">
        <v>45220.15902777778</v>
      </c>
      <c r="C542" t="s">
        <v>467</v>
      </c>
      <c r="D542">
        <v>60</v>
      </c>
      <c r="E542" t="s">
        <v>1321</v>
      </c>
    </row>
    <row r="543" spans="1:5" x14ac:dyDescent="0.25">
      <c r="A543" t="s">
        <v>1316</v>
      </c>
      <c r="B543" s="1">
        <v>45218.378472222219</v>
      </c>
      <c r="C543" t="s">
        <v>107</v>
      </c>
      <c r="D543">
        <v>102</v>
      </c>
      <c r="E543" t="s">
        <v>1314</v>
      </c>
    </row>
    <row r="544" spans="1:5" x14ac:dyDescent="0.25">
      <c r="A544" t="s">
        <v>1322</v>
      </c>
      <c r="B544" s="1">
        <v>45221.772222222222</v>
      </c>
      <c r="C544" t="s">
        <v>107</v>
      </c>
      <c r="D544">
        <v>107</v>
      </c>
      <c r="E544" t="s">
        <v>1314</v>
      </c>
    </row>
    <row r="545" spans="1:5" x14ac:dyDescent="0.25">
      <c r="A545" t="s">
        <v>1334</v>
      </c>
      <c r="B545" s="1">
        <v>45211.706250000003</v>
      </c>
      <c r="C545" t="s">
        <v>1514</v>
      </c>
      <c r="D545">
        <v>115</v>
      </c>
      <c r="E545" t="s">
        <v>1321</v>
      </c>
    </row>
    <row r="546" spans="1:5" x14ac:dyDescent="0.25">
      <c r="A546" t="s">
        <v>1352</v>
      </c>
      <c r="B546" s="1">
        <v>45230.26458333333</v>
      </c>
      <c r="C546" t="s">
        <v>171</v>
      </c>
      <c r="D546">
        <v>62</v>
      </c>
      <c r="E546" t="s">
        <v>1314</v>
      </c>
    </row>
    <row r="547" spans="1:5" x14ac:dyDescent="0.25">
      <c r="A547" t="s">
        <v>1326</v>
      </c>
      <c r="B547" s="1">
        <v>45204.59097222222</v>
      </c>
      <c r="C547" t="s">
        <v>167</v>
      </c>
      <c r="D547">
        <v>108</v>
      </c>
      <c r="E547" t="s">
        <v>1312</v>
      </c>
    </row>
    <row r="548" spans="1:5" x14ac:dyDescent="0.25">
      <c r="A548" t="s">
        <v>1344</v>
      </c>
      <c r="B548" s="1">
        <v>45207.127083333333</v>
      </c>
      <c r="C548" t="s">
        <v>167</v>
      </c>
      <c r="D548">
        <v>38</v>
      </c>
      <c r="E548" t="s">
        <v>1314</v>
      </c>
    </row>
    <row r="549" spans="1:5" x14ac:dyDescent="0.25">
      <c r="A549" t="s">
        <v>1324</v>
      </c>
      <c r="B549" s="1">
        <v>45217.473611111112</v>
      </c>
      <c r="C549" t="s">
        <v>167</v>
      </c>
      <c r="D549">
        <v>37</v>
      </c>
      <c r="E549" t="s">
        <v>1321</v>
      </c>
    </row>
    <row r="550" spans="1:5" x14ac:dyDescent="0.25">
      <c r="A550" t="s">
        <v>1327</v>
      </c>
      <c r="B550" s="1">
        <v>45210.38958333333</v>
      </c>
      <c r="C550" t="s">
        <v>134</v>
      </c>
      <c r="D550">
        <v>85</v>
      </c>
      <c r="E550" t="s">
        <v>1314</v>
      </c>
    </row>
    <row r="551" spans="1:5" x14ac:dyDescent="0.25">
      <c r="A551" t="s">
        <v>1316</v>
      </c>
      <c r="B551" s="1">
        <v>45206.362500000003</v>
      </c>
      <c r="C551" t="s">
        <v>134</v>
      </c>
      <c r="D551">
        <v>60</v>
      </c>
      <c r="E551" t="s">
        <v>1321</v>
      </c>
    </row>
    <row r="552" spans="1:5" x14ac:dyDescent="0.25">
      <c r="A552" t="s">
        <v>1325</v>
      </c>
      <c r="B552" s="1">
        <v>45213.518750000003</v>
      </c>
      <c r="C552" t="s">
        <v>334</v>
      </c>
      <c r="D552">
        <v>88</v>
      </c>
      <c r="E552" t="s">
        <v>1312</v>
      </c>
    </row>
    <row r="553" spans="1:5" x14ac:dyDescent="0.25">
      <c r="A553" t="s">
        <v>1347</v>
      </c>
      <c r="B553" s="1">
        <v>45216.094444444447</v>
      </c>
      <c r="C553" t="s">
        <v>334</v>
      </c>
      <c r="D553">
        <v>74</v>
      </c>
      <c r="E553" t="s">
        <v>1314</v>
      </c>
    </row>
    <row r="554" spans="1:5" x14ac:dyDescent="0.25">
      <c r="A554" t="s">
        <v>1322</v>
      </c>
      <c r="B554" s="1">
        <v>45220.724999999999</v>
      </c>
      <c r="C554" t="s">
        <v>148</v>
      </c>
      <c r="D554">
        <v>28</v>
      </c>
      <c r="E554" t="s">
        <v>1321</v>
      </c>
    </row>
    <row r="555" spans="1:5" x14ac:dyDescent="0.25">
      <c r="A555" t="s">
        <v>1365</v>
      </c>
      <c r="B555" s="1">
        <v>45225.965277777781</v>
      </c>
      <c r="C555" t="s">
        <v>148</v>
      </c>
      <c r="D555">
        <v>36</v>
      </c>
      <c r="E555" t="s">
        <v>1314</v>
      </c>
    </row>
    <row r="556" spans="1:5" x14ac:dyDescent="0.25">
      <c r="A556" t="s">
        <v>1344</v>
      </c>
      <c r="B556" s="1">
        <v>45228.515277777777</v>
      </c>
      <c r="C556" t="s">
        <v>277</v>
      </c>
      <c r="D556">
        <v>105</v>
      </c>
      <c r="E556" t="s">
        <v>1314</v>
      </c>
    </row>
    <row r="557" spans="1:5" x14ac:dyDescent="0.25">
      <c r="A557" t="s">
        <v>1323</v>
      </c>
      <c r="B557" s="1">
        <v>45229.429861111108</v>
      </c>
      <c r="C557" t="s">
        <v>1515</v>
      </c>
      <c r="D557">
        <v>90</v>
      </c>
      <c r="E557" t="s">
        <v>1314</v>
      </c>
    </row>
    <row r="558" spans="1:5" x14ac:dyDescent="0.25">
      <c r="A558" t="s">
        <v>1332</v>
      </c>
      <c r="B558" s="1">
        <v>45230.776388888888</v>
      </c>
      <c r="C558" t="s">
        <v>1515</v>
      </c>
      <c r="D558">
        <v>55</v>
      </c>
      <c r="E558" t="s">
        <v>1312</v>
      </c>
    </row>
    <row r="559" spans="1:5" x14ac:dyDescent="0.25">
      <c r="A559" t="s">
        <v>1322</v>
      </c>
      <c r="B559" s="1">
        <v>45224.709722222222</v>
      </c>
      <c r="C559" t="s">
        <v>1516</v>
      </c>
      <c r="D559">
        <v>62</v>
      </c>
      <c r="E559" t="s">
        <v>1312</v>
      </c>
    </row>
    <row r="560" spans="1:5" x14ac:dyDescent="0.25">
      <c r="A560" t="s">
        <v>1311</v>
      </c>
      <c r="B560" s="1">
        <v>45229.772222222222</v>
      </c>
      <c r="C560" t="s">
        <v>1517</v>
      </c>
      <c r="D560">
        <v>27</v>
      </c>
      <c r="E560" t="s">
        <v>1314</v>
      </c>
    </row>
    <row r="561" spans="1:5" x14ac:dyDescent="0.25">
      <c r="A561" t="s">
        <v>1323</v>
      </c>
      <c r="B561" s="1">
        <v>45219.925694444442</v>
      </c>
      <c r="C561" t="s">
        <v>1517</v>
      </c>
      <c r="D561">
        <v>22</v>
      </c>
      <c r="E561" t="s">
        <v>1314</v>
      </c>
    </row>
    <row r="562" spans="1:5" x14ac:dyDescent="0.25">
      <c r="A562" t="s">
        <v>1327</v>
      </c>
      <c r="B562" s="1">
        <v>45200.931250000001</v>
      </c>
      <c r="C562" t="s">
        <v>1518</v>
      </c>
      <c r="D562">
        <v>22</v>
      </c>
      <c r="E562" t="s">
        <v>1314</v>
      </c>
    </row>
    <row r="563" spans="1:5" x14ac:dyDescent="0.25">
      <c r="A563" t="s">
        <v>1352</v>
      </c>
      <c r="B563" s="1">
        <v>45213.446527777778</v>
      </c>
      <c r="C563" t="s">
        <v>1518</v>
      </c>
      <c r="D563">
        <v>111</v>
      </c>
      <c r="E563" t="s">
        <v>1314</v>
      </c>
    </row>
    <row r="564" spans="1:5" x14ac:dyDescent="0.25">
      <c r="A564" t="s">
        <v>1318</v>
      </c>
      <c r="B564" s="1">
        <v>45218.011111111111</v>
      </c>
      <c r="C564" t="s">
        <v>1519</v>
      </c>
      <c r="D564">
        <v>59</v>
      </c>
      <c r="E564" t="s">
        <v>1314</v>
      </c>
    </row>
    <row r="565" spans="1:5" x14ac:dyDescent="0.25">
      <c r="A565" t="s">
        <v>1323</v>
      </c>
      <c r="B565" s="1">
        <v>45205.729166666664</v>
      </c>
      <c r="C565" t="s">
        <v>307</v>
      </c>
      <c r="D565">
        <v>106</v>
      </c>
      <c r="E565" t="s">
        <v>1321</v>
      </c>
    </row>
    <row r="566" spans="1:5" x14ac:dyDescent="0.25">
      <c r="A566" t="s">
        <v>1347</v>
      </c>
      <c r="B566" s="1">
        <v>45223.293749999997</v>
      </c>
      <c r="C566" t="s">
        <v>307</v>
      </c>
      <c r="D566">
        <v>42</v>
      </c>
      <c r="E566" t="s">
        <v>1321</v>
      </c>
    </row>
    <row r="567" spans="1:5" x14ac:dyDescent="0.25">
      <c r="A567" t="s">
        <v>1343</v>
      </c>
      <c r="B567" s="1">
        <v>45205.11041666667</v>
      </c>
      <c r="C567" t="s">
        <v>1520</v>
      </c>
      <c r="D567">
        <v>104</v>
      </c>
      <c r="E567" t="s">
        <v>1314</v>
      </c>
    </row>
    <row r="568" spans="1:5" x14ac:dyDescent="0.25">
      <c r="A568" t="s">
        <v>1315</v>
      </c>
      <c r="B568" s="1">
        <v>45214.870138888888</v>
      </c>
      <c r="C568" t="s">
        <v>1520</v>
      </c>
      <c r="D568">
        <v>72</v>
      </c>
      <c r="E568" t="s">
        <v>1314</v>
      </c>
    </row>
    <row r="569" spans="1:5" x14ac:dyDescent="0.25">
      <c r="A569" t="s">
        <v>1326</v>
      </c>
      <c r="B569" s="1">
        <v>45211.105555555558</v>
      </c>
      <c r="C569" t="s">
        <v>1520</v>
      </c>
      <c r="D569">
        <v>67</v>
      </c>
      <c r="E569" t="s">
        <v>1314</v>
      </c>
    </row>
    <row r="570" spans="1:5" x14ac:dyDescent="0.25">
      <c r="A570" t="s">
        <v>1320</v>
      </c>
      <c r="B570" s="1">
        <v>45214.193055555559</v>
      </c>
      <c r="C570" t="s">
        <v>1520</v>
      </c>
      <c r="D570">
        <v>76</v>
      </c>
      <c r="E570" t="s">
        <v>1321</v>
      </c>
    </row>
    <row r="571" spans="1:5" x14ac:dyDescent="0.25">
      <c r="A571" t="s">
        <v>1359</v>
      </c>
      <c r="B571" s="1">
        <v>45227.306250000001</v>
      </c>
      <c r="C571" t="s">
        <v>1520</v>
      </c>
      <c r="D571">
        <v>71</v>
      </c>
      <c r="E571" t="s">
        <v>1312</v>
      </c>
    </row>
    <row r="572" spans="1:5" x14ac:dyDescent="0.25">
      <c r="A572" t="s">
        <v>1323</v>
      </c>
      <c r="B572" s="1">
        <v>45215.056944444441</v>
      </c>
      <c r="C572" t="s">
        <v>288</v>
      </c>
      <c r="D572">
        <v>99</v>
      </c>
      <c r="E572" t="s">
        <v>1312</v>
      </c>
    </row>
    <row r="573" spans="1:5" x14ac:dyDescent="0.25">
      <c r="A573" t="s">
        <v>1318</v>
      </c>
      <c r="B573" s="1">
        <v>45221.283333333333</v>
      </c>
      <c r="C573" t="s">
        <v>288</v>
      </c>
      <c r="D573">
        <v>22</v>
      </c>
      <c r="E573" t="s">
        <v>1314</v>
      </c>
    </row>
    <row r="574" spans="1:5" x14ac:dyDescent="0.25">
      <c r="A574" t="s">
        <v>1320</v>
      </c>
      <c r="B574" s="1">
        <v>45209.925694444442</v>
      </c>
      <c r="C574" t="s">
        <v>1521</v>
      </c>
      <c r="D574">
        <v>35</v>
      </c>
      <c r="E574" t="s">
        <v>1314</v>
      </c>
    </row>
    <row r="575" spans="1:5" x14ac:dyDescent="0.25">
      <c r="A575" t="s">
        <v>1323</v>
      </c>
      <c r="B575" s="1">
        <v>45225.623611111114</v>
      </c>
      <c r="C575" t="s">
        <v>351</v>
      </c>
      <c r="D575">
        <v>22</v>
      </c>
      <c r="E575" t="s">
        <v>1314</v>
      </c>
    </row>
    <row r="576" spans="1:5" x14ac:dyDescent="0.25">
      <c r="A576" t="s">
        <v>1344</v>
      </c>
      <c r="B576" s="1">
        <v>45227.77847222222</v>
      </c>
      <c r="C576" t="s">
        <v>351</v>
      </c>
      <c r="D576">
        <v>67</v>
      </c>
      <c r="E576" t="s">
        <v>1321</v>
      </c>
    </row>
    <row r="577" spans="1:5" x14ac:dyDescent="0.25">
      <c r="A577" t="s">
        <v>1341</v>
      </c>
      <c r="B577" s="1">
        <v>45221.780555555553</v>
      </c>
      <c r="C577" t="s">
        <v>469</v>
      </c>
      <c r="D577">
        <v>67</v>
      </c>
      <c r="E577" t="s">
        <v>1314</v>
      </c>
    </row>
    <row r="578" spans="1:5" x14ac:dyDescent="0.25">
      <c r="A578" t="s">
        <v>1318</v>
      </c>
      <c r="B578" s="1">
        <v>45224.347916666666</v>
      </c>
      <c r="C578" t="s">
        <v>469</v>
      </c>
      <c r="D578">
        <v>14</v>
      </c>
      <c r="E578" t="s">
        <v>1314</v>
      </c>
    </row>
    <row r="579" spans="1:5" x14ac:dyDescent="0.25">
      <c r="A579" t="s">
        <v>1343</v>
      </c>
      <c r="B579" s="1">
        <v>45211.477083333331</v>
      </c>
      <c r="C579" t="s">
        <v>70</v>
      </c>
      <c r="D579">
        <v>111</v>
      </c>
      <c r="E579" t="s">
        <v>1314</v>
      </c>
    </row>
    <row r="580" spans="1:5" x14ac:dyDescent="0.25">
      <c r="A580" t="s">
        <v>1315</v>
      </c>
      <c r="B580" s="1">
        <v>45201.884722222225</v>
      </c>
      <c r="C580" t="s">
        <v>70</v>
      </c>
      <c r="D580">
        <v>54</v>
      </c>
      <c r="E580" t="s">
        <v>1321</v>
      </c>
    </row>
    <row r="581" spans="1:5" x14ac:dyDescent="0.25">
      <c r="A581" t="s">
        <v>1344</v>
      </c>
      <c r="B581" s="1">
        <v>45205.87222222222</v>
      </c>
      <c r="C581" t="s">
        <v>1522</v>
      </c>
      <c r="D581">
        <v>17</v>
      </c>
      <c r="E581" t="s">
        <v>1314</v>
      </c>
    </row>
    <row r="582" spans="1:5" x14ac:dyDescent="0.25">
      <c r="A582" t="s">
        <v>1341</v>
      </c>
      <c r="B582" s="1">
        <v>45205.236111111109</v>
      </c>
      <c r="C582" t="s">
        <v>1523</v>
      </c>
      <c r="D582">
        <v>67</v>
      </c>
      <c r="E582" t="s">
        <v>1312</v>
      </c>
    </row>
    <row r="583" spans="1:5" x14ac:dyDescent="0.25">
      <c r="A583" t="s">
        <v>1311</v>
      </c>
      <c r="B583" s="1">
        <v>45219.818749999999</v>
      </c>
      <c r="C583" t="s">
        <v>1523</v>
      </c>
      <c r="D583">
        <v>99</v>
      </c>
      <c r="E583" t="s">
        <v>1321</v>
      </c>
    </row>
    <row r="584" spans="1:5" x14ac:dyDescent="0.25">
      <c r="A584" t="s">
        <v>1316</v>
      </c>
      <c r="B584" s="1">
        <v>45214.59652777778</v>
      </c>
      <c r="C584" t="s">
        <v>1523</v>
      </c>
      <c r="D584">
        <v>88</v>
      </c>
      <c r="E584" t="s">
        <v>1321</v>
      </c>
    </row>
    <row r="585" spans="1:5" x14ac:dyDescent="0.25">
      <c r="A585" t="s">
        <v>1341</v>
      </c>
      <c r="B585" s="1">
        <v>45205.440972222219</v>
      </c>
      <c r="C585" t="s">
        <v>68</v>
      </c>
      <c r="D585">
        <v>115</v>
      </c>
      <c r="E585" t="s">
        <v>1312</v>
      </c>
    </row>
    <row r="586" spans="1:5" x14ac:dyDescent="0.25">
      <c r="A586" t="s">
        <v>1318</v>
      </c>
      <c r="B586" s="1">
        <v>45222.748611111114</v>
      </c>
      <c r="C586" t="s">
        <v>156</v>
      </c>
      <c r="D586">
        <v>28</v>
      </c>
      <c r="E586" t="s">
        <v>1312</v>
      </c>
    </row>
    <row r="587" spans="1:5" x14ac:dyDescent="0.25">
      <c r="A587" t="s">
        <v>1319</v>
      </c>
      <c r="B587" s="1">
        <v>45218.793055555558</v>
      </c>
      <c r="C587" t="s">
        <v>1524</v>
      </c>
      <c r="D587">
        <v>100</v>
      </c>
      <c r="E587" t="s">
        <v>1321</v>
      </c>
    </row>
    <row r="588" spans="1:5" x14ac:dyDescent="0.25">
      <c r="A588" t="s">
        <v>1336</v>
      </c>
      <c r="B588" s="1">
        <v>45218.89166666667</v>
      </c>
      <c r="C588" t="s">
        <v>1524</v>
      </c>
      <c r="D588">
        <v>107</v>
      </c>
      <c r="E588" t="s">
        <v>1312</v>
      </c>
    </row>
    <row r="589" spans="1:5" x14ac:dyDescent="0.25">
      <c r="A589" t="s">
        <v>1341</v>
      </c>
      <c r="B589" s="1">
        <v>45222.10833333333</v>
      </c>
      <c r="C589" t="s">
        <v>1525</v>
      </c>
      <c r="D589">
        <v>88</v>
      </c>
      <c r="E589" t="s">
        <v>1321</v>
      </c>
    </row>
    <row r="590" spans="1:5" x14ac:dyDescent="0.25">
      <c r="A590" t="s">
        <v>1325</v>
      </c>
      <c r="B590" s="1">
        <v>45215.272222222222</v>
      </c>
      <c r="C590" t="s">
        <v>1526</v>
      </c>
      <c r="D590">
        <v>56</v>
      </c>
      <c r="E590" t="s">
        <v>1321</v>
      </c>
    </row>
    <row r="591" spans="1:5" x14ac:dyDescent="0.25">
      <c r="A591" t="s">
        <v>1365</v>
      </c>
      <c r="B591" s="1">
        <v>45210.912499999999</v>
      </c>
      <c r="C591" t="s">
        <v>1527</v>
      </c>
      <c r="D591">
        <v>119</v>
      </c>
      <c r="E591" t="s">
        <v>1321</v>
      </c>
    </row>
    <row r="592" spans="1:5" x14ac:dyDescent="0.25">
      <c r="A592" t="s">
        <v>1359</v>
      </c>
      <c r="B592" s="1">
        <v>45220.792361111111</v>
      </c>
      <c r="C592" t="s">
        <v>1527</v>
      </c>
      <c r="D592">
        <v>10</v>
      </c>
      <c r="E592" t="s">
        <v>1321</v>
      </c>
    </row>
    <row r="593" spans="1:5" x14ac:dyDescent="0.25">
      <c r="A593" t="s">
        <v>1353</v>
      </c>
      <c r="B593" s="1">
        <v>45201.086111111108</v>
      </c>
      <c r="C593" t="s">
        <v>442</v>
      </c>
      <c r="D593">
        <v>55</v>
      </c>
      <c r="E593" t="s">
        <v>1314</v>
      </c>
    </row>
    <row r="594" spans="1:5" x14ac:dyDescent="0.25">
      <c r="A594" t="s">
        <v>1313</v>
      </c>
      <c r="B594" s="1">
        <v>45211.424305555556</v>
      </c>
      <c r="C594" t="s">
        <v>442</v>
      </c>
      <c r="D594">
        <v>116</v>
      </c>
      <c r="E594" t="s">
        <v>1312</v>
      </c>
    </row>
    <row r="595" spans="1:5" x14ac:dyDescent="0.25">
      <c r="A595" t="s">
        <v>1353</v>
      </c>
      <c r="B595" s="1">
        <v>45218.331944444442</v>
      </c>
      <c r="C595" t="s">
        <v>442</v>
      </c>
      <c r="D595">
        <v>15</v>
      </c>
      <c r="E595" t="s">
        <v>1321</v>
      </c>
    </row>
    <row r="596" spans="1:5" x14ac:dyDescent="0.25">
      <c r="A596" t="s">
        <v>1316</v>
      </c>
      <c r="B596" s="1">
        <v>45221.268750000003</v>
      </c>
      <c r="C596" t="s">
        <v>442</v>
      </c>
      <c r="D596">
        <v>18</v>
      </c>
      <c r="E596" t="s">
        <v>1312</v>
      </c>
    </row>
    <row r="597" spans="1:5" x14ac:dyDescent="0.25">
      <c r="A597" t="s">
        <v>1341</v>
      </c>
      <c r="B597" s="1">
        <v>45222.597222222219</v>
      </c>
      <c r="C597" t="s">
        <v>442</v>
      </c>
      <c r="D597">
        <v>22</v>
      </c>
      <c r="E597" t="s">
        <v>1312</v>
      </c>
    </row>
    <row r="598" spans="1:5" x14ac:dyDescent="0.25">
      <c r="A598" t="s">
        <v>1320</v>
      </c>
      <c r="B598" s="1">
        <v>45207.960416666669</v>
      </c>
      <c r="C598" t="s">
        <v>383</v>
      </c>
      <c r="D598">
        <v>23</v>
      </c>
      <c r="E598" t="s">
        <v>1321</v>
      </c>
    </row>
    <row r="599" spans="1:5" x14ac:dyDescent="0.25">
      <c r="A599" t="s">
        <v>1336</v>
      </c>
      <c r="B599" s="1">
        <v>45204.53125</v>
      </c>
      <c r="C599" t="s">
        <v>383</v>
      </c>
      <c r="D599">
        <v>47</v>
      </c>
      <c r="E599" t="s">
        <v>1314</v>
      </c>
    </row>
    <row r="600" spans="1:5" x14ac:dyDescent="0.25">
      <c r="A600" t="s">
        <v>1326</v>
      </c>
      <c r="B600" s="1">
        <v>45230.486111111109</v>
      </c>
      <c r="C600" t="s">
        <v>383</v>
      </c>
      <c r="D600">
        <v>38</v>
      </c>
      <c r="E600" t="s">
        <v>1314</v>
      </c>
    </row>
    <row r="601" spans="1:5" x14ac:dyDescent="0.25">
      <c r="A601" t="s">
        <v>1322</v>
      </c>
      <c r="B601" s="1">
        <v>45201.877083333333</v>
      </c>
      <c r="C601" t="s">
        <v>383</v>
      </c>
      <c r="D601">
        <v>82</v>
      </c>
      <c r="E601" t="s">
        <v>1321</v>
      </c>
    </row>
    <row r="602" spans="1:5" x14ac:dyDescent="0.25">
      <c r="A602" t="s">
        <v>1323</v>
      </c>
      <c r="B602" s="1">
        <v>45230.862500000003</v>
      </c>
      <c r="C602" t="s">
        <v>65</v>
      </c>
      <c r="D602">
        <v>67</v>
      </c>
      <c r="E602" t="s">
        <v>1314</v>
      </c>
    </row>
    <row r="603" spans="1:5" x14ac:dyDescent="0.25">
      <c r="A603" t="s">
        <v>1319</v>
      </c>
      <c r="B603" s="1">
        <v>45222.631249999999</v>
      </c>
      <c r="C603" t="s">
        <v>65</v>
      </c>
      <c r="D603">
        <v>90</v>
      </c>
      <c r="E603" t="s">
        <v>1314</v>
      </c>
    </row>
    <row r="604" spans="1:5" x14ac:dyDescent="0.25">
      <c r="A604" t="s">
        <v>1319</v>
      </c>
      <c r="B604" s="1">
        <v>45222.427083333336</v>
      </c>
      <c r="C604" t="s">
        <v>360</v>
      </c>
      <c r="D604">
        <v>82</v>
      </c>
      <c r="E604" t="s">
        <v>1314</v>
      </c>
    </row>
    <row r="605" spans="1:5" x14ac:dyDescent="0.25">
      <c r="A605" t="s">
        <v>1344</v>
      </c>
      <c r="B605" s="1">
        <v>45211.368055555555</v>
      </c>
      <c r="C605" t="s">
        <v>1528</v>
      </c>
      <c r="D605">
        <v>15</v>
      </c>
      <c r="E605" t="s">
        <v>1312</v>
      </c>
    </row>
    <row r="606" spans="1:5" x14ac:dyDescent="0.25">
      <c r="A606" t="s">
        <v>1326</v>
      </c>
      <c r="B606" s="1">
        <v>45217.570833333331</v>
      </c>
      <c r="C606" t="s">
        <v>1528</v>
      </c>
      <c r="D606">
        <v>28</v>
      </c>
      <c r="E606" t="s">
        <v>1314</v>
      </c>
    </row>
    <row r="607" spans="1:5" x14ac:dyDescent="0.25">
      <c r="A607" t="s">
        <v>1352</v>
      </c>
      <c r="B607" s="1">
        <v>45226.988194444442</v>
      </c>
      <c r="C607" t="s">
        <v>1529</v>
      </c>
      <c r="D607">
        <v>83</v>
      </c>
      <c r="E607" t="s">
        <v>1312</v>
      </c>
    </row>
    <row r="608" spans="1:5" x14ac:dyDescent="0.25">
      <c r="A608" t="s">
        <v>1326</v>
      </c>
      <c r="B608" s="1">
        <v>45201.468055555553</v>
      </c>
      <c r="C608" t="s">
        <v>366</v>
      </c>
      <c r="D608">
        <v>80</v>
      </c>
      <c r="E608" t="s">
        <v>1314</v>
      </c>
    </row>
    <row r="609" spans="1:5" x14ac:dyDescent="0.25">
      <c r="A609" t="s">
        <v>1322</v>
      </c>
      <c r="B609" s="1">
        <v>45218.240277777775</v>
      </c>
      <c r="C609" t="s">
        <v>1530</v>
      </c>
      <c r="D609">
        <v>53</v>
      </c>
      <c r="E609" t="s">
        <v>1321</v>
      </c>
    </row>
    <row r="610" spans="1:5" x14ac:dyDescent="0.25">
      <c r="A610" t="s">
        <v>1326</v>
      </c>
      <c r="B610" s="1">
        <v>45218.875694444447</v>
      </c>
      <c r="C610" t="s">
        <v>1530</v>
      </c>
      <c r="D610">
        <v>39</v>
      </c>
      <c r="E610" t="s">
        <v>1314</v>
      </c>
    </row>
    <row r="611" spans="1:5" x14ac:dyDescent="0.25">
      <c r="A611" t="s">
        <v>1313</v>
      </c>
      <c r="B611" s="1">
        <v>45208.961805555555</v>
      </c>
      <c r="C611" t="s">
        <v>361</v>
      </c>
      <c r="D611">
        <v>68</v>
      </c>
      <c r="E611" t="s">
        <v>1314</v>
      </c>
    </row>
    <row r="612" spans="1:5" x14ac:dyDescent="0.25">
      <c r="A612" t="s">
        <v>1365</v>
      </c>
      <c r="B612" s="1">
        <v>45230.004861111112</v>
      </c>
      <c r="C612" t="s">
        <v>365</v>
      </c>
      <c r="D612">
        <v>58</v>
      </c>
      <c r="E612" t="s">
        <v>1314</v>
      </c>
    </row>
    <row r="613" spans="1:5" x14ac:dyDescent="0.25">
      <c r="A613" t="s">
        <v>1313</v>
      </c>
      <c r="B613" s="1">
        <v>45223.3125</v>
      </c>
      <c r="C613" t="s">
        <v>1531</v>
      </c>
      <c r="D613">
        <v>62</v>
      </c>
      <c r="E613" t="s">
        <v>1314</v>
      </c>
    </row>
    <row r="614" spans="1:5" x14ac:dyDescent="0.25">
      <c r="A614" t="s">
        <v>1319</v>
      </c>
      <c r="B614" s="1">
        <v>45223.710416666669</v>
      </c>
      <c r="C614" t="s">
        <v>1532</v>
      </c>
      <c r="D614">
        <v>43</v>
      </c>
      <c r="E614" t="s">
        <v>1312</v>
      </c>
    </row>
    <row r="615" spans="1:5" x14ac:dyDescent="0.25">
      <c r="A615" t="s">
        <v>1324</v>
      </c>
      <c r="B615" s="1">
        <v>45222.879166666666</v>
      </c>
      <c r="C615" t="s">
        <v>1532</v>
      </c>
      <c r="D615">
        <v>103</v>
      </c>
      <c r="E615" t="s">
        <v>1321</v>
      </c>
    </row>
    <row r="616" spans="1:5" x14ac:dyDescent="0.25">
      <c r="A616" t="s">
        <v>1313</v>
      </c>
      <c r="B616" s="1">
        <v>45212.48541666667</v>
      </c>
      <c r="C616" t="s">
        <v>1533</v>
      </c>
      <c r="D616">
        <v>75</v>
      </c>
      <c r="E616" t="s">
        <v>1314</v>
      </c>
    </row>
    <row r="617" spans="1:5" x14ac:dyDescent="0.25">
      <c r="A617" t="s">
        <v>1311</v>
      </c>
      <c r="B617" s="1">
        <v>45201.585416666669</v>
      </c>
      <c r="C617" t="s">
        <v>1534</v>
      </c>
      <c r="D617">
        <v>17</v>
      </c>
      <c r="E617" t="s">
        <v>1321</v>
      </c>
    </row>
    <row r="618" spans="1:5" x14ac:dyDescent="0.25">
      <c r="A618" t="s">
        <v>1311</v>
      </c>
      <c r="B618" s="1">
        <v>45204.122916666667</v>
      </c>
      <c r="C618" t="s">
        <v>236</v>
      </c>
      <c r="D618">
        <v>34</v>
      </c>
      <c r="E618" t="s">
        <v>1314</v>
      </c>
    </row>
    <row r="619" spans="1:5" x14ac:dyDescent="0.25">
      <c r="A619" t="s">
        <v>1344</v>
      </c>
      <c r="B619" s="1">
        <v>45209.988888888889</v>
      </c>
      <c r="C619" t="s">
        <v>236</v>
      </c>
      <c r="D619">
        <v>51</v>
      </c>
      <c r="E619" t="s">
        <v>1312</v>
      </c>
    </row>
    <row r="620" spans="1:5" x14ac:dyDescent="0.25">
      <c r="A620" t="s">
        <v>1336</v>
      </c>
      <c r="B620" s="1">
        <v>45214.634722222225</v>
      </c>
      <c r="C620" t="s">
        <v>236</v>
      </c>
      <c r="D620">
        <v>112</v>
      </c>
      <c r="E620" t="s">
        <v>1312</v>
      </c>
    </row>
    <row r="621" spans="1:5" x14ac:dyDescent="0.25">
      <c r="A621" t="s">
        <v>1323</v>
      </c>
      <c r="B621" s="1">
        <v>45204.011111111111</v>
      </c>
      <c r="C621" t="s">
        <v>353</v>
      </c>
      <c r="D621">
        <v>12</v>
      </c>
      <c r="E621" t="s">
        <v>1312</v>
      </c>
    </row>
    <row r="622" spans="1:5" x14ac:dyDescent="0.25">
      <c r="A622" t="s">
        <v>1341</v>
      </c>
      <c r="B622" s="1">
        <v>45226.964583333334</v>
      </c>
      <c r="C622" t="s">
        <v>112</v>
      </c>
      <c r="D622">
        <v>27</v>
      </c>
      <c r="E622" t="s">
        <v>1312</v>
      </c>
    </row>
    <row r="623" spans="1:5" x14ac:dyDescent="0.25">
      <c r="A623" t="s">
        <v>1353</v>
      </c>
      <c r="B623" s="1">
        <v>45203.273611111108</v>
      </c>
      <c r="C623" t="s">
        <v>1535</v>
      </c>
      <c r="D623">
        <v>23</v>
      </c>
      <c r="E623" t="s">
        <v>1321</v>
      </c>
    </row>
    <row r="624" spans="1:5" x14ac:dyDescent="0.25">
      <c r="A624" t="s">
        <v>1315</v>
      </c>
      <c r="B624" s="1">
        <v>45204.338888888888</v>
      </c>
      <c r="C624" t="s">
        <v>1535</v>
      </c>
      <c r="D624">
        <v>60</v>
      </c>
      <c r="E624" t="s">
        <v>1314</v>
      </c>
    </row>
    <row r="625" spans="1:5" x14ac:dyDescent="0.25">
      <c r="A625" t="s">
        <v>1347</v>
      </c>
      <c r="B625" s="1">
        <v>45208.10833333333</v>
      </c>
      <c r="C625" t="s">
        <v>480</v>
      </c>
      <c r="D625">
        <v>102</v>
      </c>
      <c r="E625" t="s">
        <v>1312</v>
      </c>
    </row>
    <row r="626" spans="1:5" x14ac:dyDescent="0.25">
      <c r="A626" t="s">
        <v>1311</v>
      </c>
      <c r="B626" s="1">
        <v>45220.618750000001</v>
      </c>
      <c r="C626" t="s">
        <v>480</v>
      </c>
      <c r="D626">
        <v>79</v>
      </c>
      <c r="E626" t="s">
        <v>1314</v>
      </c>
    </row>
    <row r="627" spans="1:5" x14ac:dyDescent="0.25">
      <c r="A627" t="s">
        <v>1352</v>
      </c>
      <c r="B627" s="1">
        <v>45230.061111111114</v>
      </c>
      <c r="C627" t="s">
        <v>1536</v>
      </c>
      <c r="D627">
        <v>103</v>
      </c>
      <c r="E627" t="s">
        <v>1314</v>
      </c>
    </row>
    <row r="628" spans="1:5" x14ac:dyDescent="0.25">
      <c r="A628" t="s">
        <v>1344</v>
      </c>
      <c r="B628" s="1">
        <v>45223.719444444447</v>
      </c>
      <c r="C628" t="s">
        <v>1536</v>
      </c>
      <c r="D628">
        <v>61</v>
      </c>
      <c r="E628" t="s">
        <v>1312</v>
      </c>
    </row>
    <row r="629" spans="1:5" x14ac:dyDescent="0.25">
      <c r="A629" t="s">
        <v>1344</v>
      </c>
      <c r="B629" s="1">
        <v>45226.631249999999</v>
      </c>
      <c r="C629" t="s">
        <v>1537</v>
      </c>
      <c r="D629">
        <v>112</v>
      </c>
      <c r="E629" t="s">
        <v>1312</v>
      </c>
    </row>
    <row r="630" spans="1:5" x14ac:dyDescent="0.25">
      <c r="A630" t="s">
        <v>1322</v>
      </c>
      <c r="B630" s="1">
        <v>45200.506249999999</v>
      </c>
      <c r="C630" t="s">
        <v>227</v>
      </c>
      <c r="D630">
        <v>99</v>
      </c>
      <c r="E630" t="s">
        <v>1314</v>
      </c>
    </row>
    <row r="631" spans="1:5" x14ac:dyDescent="0.25">
      <c r="A631" t="s">
        <v>1341</v>
      </c>
      <c r="B631" s="1">
        <v>45200.445138888892</v>
      </c>
      <c r="C631" t="s">
        <v>227</v>
      </c>
      <c r="D631">
        <v>112</v>
      </c>
      <c r="E631" t="s">
        <v>1314</v>
      </c>
    </row>
    <row r="632" spans="1:5" x14ac:dyDescent="0.25">
      <c r="A632" t="s">
        <v>1344</v>
      </c>
      <c r="B632" s="1">
        <v>45230.12777777778</v>
      </c>
      <c r="C632" t="s">
        <v>227</v>
      </c>
      <c r="D632">
        <v>87</v>
      </c>
      <c r="E632" t="s">
        <v>1321</v>
      </c>
    </row>
    <row r="633" spans="1:5" x14ac:dyDescent="0.25">
      <c r="A633" t="s">
        <v>1320</v>
      </c>
      <c r="B633" s="1">
        <v>45217.384722222225</v>
      </c>
      <c r="C633" t="s">
        <v>220</v>
      </c>
      <c r="D633">
        <v>99</v>
      </c>
      <c r="E633" t="s">
        <v>1312</v>
      </c>
    </row>
    <row r="634" spans="1:5" x14ac:dyDescent="0.25">
      <c r="A634" t="s">
        <v>1334</v>
      </c>
      <c r="B634" s="1">
        <v>45228.736111111109</v>
      </c>
      <c r="C634" t="s">
        <v>331</v>
      </c>
      <c r="D634">
        <v>66</v>
      </c>
      <c r="E634" t="s">
        <v>1321</v>
      </c>
    </row>
    <row r="635" spans="1:5" x14ac:dyDescent="0.25">
      <c r="A635" t="s">
        <v>1343</v>
      </c>
      <c r="B635" s="1">
        <v>45222.52847222222</v>
      </c>
      <c r="C635" t="s">
        <v>1538</v>
      </c>
      <c r="D635">
        <v>111</v>
      </c>
      <c r="E635" t="s">
        <v>1314</v>
      </c>
    </row>
    <row r="636" spans="1:5" x14ac:dyDescent="0.25">
      <c r="A636" t="s">
        <v>1347</v>
      </c>
      <c r="B636" s="1">
        <v>45216.001388888886</v>
      </c>
      <c r="C636" t="s">
        <v>1539</v>
      </c>
      <c r="D636">
        <v>74</v>
      </c>
      <c r="E636" t="s">
        <v>1321</v>
      </c>
    </row>
    <row r="637" spans="1:5" x14ac:dyDescent="0.25">
      <c r="A637" t="s">
        <v>1353</v>
      </c>
      <c r="B637" s="1">
        <v>45202.499305555553</v>
      </c>
      <c r="C637" t="s">
        <v>1539</v>
      </c>
      <c r="D637">
        <v>57</v>
      </c>
      <c r="E637" t="s">
        <v>1312</v>
      </c>
    </row>
    <row r="638" spans="1:5" x14ac:dyDescent="0.25">
      <c r="A638" t="s">
        <v>1326</v>
      </c>
      <c r="B638" s="1">
        <v>45209.901388888888</v>
      </c>
      <c r="C638" t="s">
        <v>56</v>
      </c>
      <c r="D638">
        <v>68</v>
      </c>
      <c r="E638" t="s">
        <v>1312</v>
      </c>
    </row>
    <row r="639" spans="1:5" x14ac:dyDescent="0.25">
      <c r="A639" t="s">
        <v>1319</v>
      </c>
      <c r="B639" s="1">
        <v>45208.279166666667</v>
      </c>
      <c r="C639" t="s">
        <v>255</v>
      </c>
      <c r="D639">
        <v>41</v>
      </c>
      <c r="E639" t="s">
        <v>1312</v>
      </c>
    </row>
    <row r="640" spans="1:5" x14ac:dyDescent="0.25">
      <c r="A640" t="s">
        <v>1334</v>
      </c>
      <c r="B640" s="1">
        <v>45219.834027777775</v>
      </c>
      <c r="C640" t="s">
        <v>1540</v>
      </c>
      <c r="D640">
        <v>64</v>
      </c>
      <c r="E640" t="s">
        <v>1321</v>
      </c>
    </row>
    <row r="641" spans="1:5" x14ac:dyDescent="0.25">
      <c r="A641" t="s">
        <v>1324</v>
      </c>
      <c r="B641" s="1">
        <v>45208.506249999999</v>
      </c>
      <c r="C641" t="s">
        <v>1541</v>
      </c>
      <c r="D641">
        <v>91</v>
      </c>
      <c r="E641" t="s">
        <v>1321</v>
      </c>
    </row>
    <row r="642" spans="1:5" x14ac:dyDescent="0.25">
      <c r="A642" t="s">
        <v>1322</v>
      </c>
      <c r="B642" s="1">
        <v>45228.518055555556</v>
      </c>
      <c r="C642" t="s">
        <v>1541</v>
      </c>
      <c r="D642">
        <v>92</v>
      </c>
      <c r="E642" t="s">
        <v>1321</v>
      </c>
    </row>
    <row r="643" spans="1:5" x14ac:dyDescent="0.25">
      <c r="A643" t="s">
        <v>1359</v>
      </c>
      <c r="B643" s="1">
        <v>45221.27847222222</v>
      </c>
      <c r="C643" t="s">
        <v>348</v>
      </c>
      <c r="D643">
        <v>83</v>
      </c>
      <c r="E643" t="s">
        <v>1321</v>
      </c>
    </row>
    <row r="644" spans="1:5" x14ac:dyDescent="0.25">
      <c r="A644" t="s">
        <v>1332</v>
      </c>
      <c r="B644" s="1">
        <v>45205.47152777778</v>
      </c>
      <c r="C644" t="s">
        <v>81</v>
      </c>
      <c r="D644">
        <v>50</v>
      </c>
      <c r="E644" t="s">
        <v>1312</v>
      </c>
    </row>
    <row r="645" spans="1:5" x14ac:dyDescent="0.25">
      <c r="A645" t="s">
        <v>1344</v>
      </c>
      <c r="B645" s="1">
        <v>45200.342361111114</v>
      </c>
      <c r="C645" t="s">
        <v>81</v>
      </c>
      <c r="D645">
        <v>86</v>
      </c>
      <c r="E645" t="s">
        <v>1312</v>
      </c>
    </row>
    <row r="646" spans="1:5" x14ac:dyDescent="0.25">
      <c r="A646" t="s">
        <v>1311</v>
      </c>
      <c r="B646" s="1">
        <v>45224.297222222223</v>
      </c>
      <c r="C646" t="s">
        <v>1542</v>
      </c>
      <c r="D646">
        <v>12</v>
      </c>
      <c r="E646" t="s">
        <v>1321</v>
      </c>
    </row>
    <row r="647" spans="1:5" x14ac:dyDescent="0.25">
      <c r="A647" t="s">
        <v>1347</v>
      </c>
      <c r="B647" s="1">
        <v>45229.972222222219</v>
      </c>
      <c r="C647" t="s">
        <v>221</v>
      </c>
      <c r="D647">
        <v>5</v>
      </c>
      <c r="E647" t="s">
        <v>1321</v>
      </c>
    </row>
    <row r="648" spans="1:5" x14ac:dyDescent="0.25">
      <c r="A648" t="s">
        <v>1311</v>
      </c>
      <c r="B648" s="1">
        <v>45226.209027777775</v>
      </c>
      <c r="C648" t="s">
        <v>221</v>
      </c>
      <c r="D648">
        <v>81</v>
      </c>
      <c r="E648" t="s">
        <v>1321</v>
      </c>
    </row>
    <row r="649" spans="1:5" x14ac:dyDescent="0.25">
      <c r="A649" t="s">
        <v>1336</v>
      </c>
      <c r="B649" s="1">
        <v>45213.238194444442</v>
      </c>
      <c r="C649" t="s">
        <v>221</v>
      </c>
      <c r="D649">
        <v>53</v>
      </c>
      <c r="E649" t="s">
        <v>1312</v>
      </c>
    </row>
    <row r="650" spans="1:5" x14ac:dyDescent="0.25">
      <c r="A650" t="s">
        <v>1324</v>
      </c>
      <c r="B650" s="1">
        <v>45209.977777777778</v>
      </c>
      <c r="C650" t="s">
        <v>1543</v>
      </c>
      <c r="D650">
        <v>6</v>
      </c>
      <c r="E650" t="s">
        <v>1321</v>
      </c>
    </row>
    <row r="651" spans="1:5" x14ac:dyDescent="0.25">
      <c r="A651" t="s">
        <v>1327</v>
      </c>
      <c r="B651" s="1">
        <v>45218.314583333333</v>
      </c>
      <c r="C651" t="s">
        <v>1543</v>
      </c>
      <c r="D651">
        <v>45</v>
      </c>
      <c r="E651" t="s">
        <v>1314</v>
      </c>
    </row>
    <row r="652" spans="1:5" x14ac:dyDescent="0.25">
      <c r="A652" t="s">
        <v>1365</v>
      </c>
      <c r="B652" s="1">
        <v>45228.34097222222</v>
      </c>
      <c r="C652" t="s">
        <v>1544</v>
      </c>
      <c r="D652">
        <v>118</v>
      </c>
      <c r="E652" t="s">
        <v>1321</v>
      </c>
    </row>
    <row r="653" spans="1:5" x14ac:dyDescent="0.25">
      <c r="A653" t="s">
        <v>1326</v>
      </c>
      <c r="B653" s="1">
        <v>45212.965277777781</v>
      </c>
      <c r="C653" t="s">
        <v>267</v>
      </c>
      <c r="D653">
        <v>27</v>
      </c>
      <c r="E653" t="s">
        <v>1321</v>
      </c>
    </row>
    <row r="654" spans="1:5" x14ac:dyDescent="0.25">
      <c r="A654" t="s">
        <v>1359</v>
      </c>
      <c r="B654" s="1">
        <v>45218.286111111112</v>
      </c>
      <c r="C654" t="s">
        <v>409</v>
      </c>
      <c r="D654">
        <v>89</v>
      </c>
      <c r="E654" t="s">
        <v>1314</v>
      </c>
    </row>
    <row r="655" spans="1:5" x14ac:dyDescent="0.25">
      <c r="A655" t="s">
        <v>1322</v>
      </c>
      <c r="B655" s="1">
        <v>45221.197916666664</v>
      </c>
      <c r="C655" t="s">
        <v>409</v>
      </c>
      <c r="D655">
        <v>61</v>
      </c>
      <c r="E655" t="s">
        <v>1321</v>
      </c>
    </row>
    <row r="656" spans="1:5" x14ac:dyDescent="0.25">
      <c r="A656" t="s">
        <v>1315</v>
      </c>
      <c r="B656" s="1">
        <v>45208.957638888889</v>
      </c>
      <c r="C656" t="s">
        <v>235</v>
      </c>
      <c r="D656">
        <v>115</v>
      </c>
      <c r="E656" t="s">
        <v>1314</v>
      </c>
    </row>
    <row r="657" spans="1:5" x14ac:dyDescent="0.25">
      <c r="A657" t="s">
        <v>1313</v>
      </c>
      <c r="B657" s="1">
        <v>45226.747916666667</v>
      </c>
      <c r="C657" t="s">
        <v>1545</v>
      </c>
      <c r="D657">
        <v>68</v>
      </c>
      <c r="E657" t="s">
        <v>1312</v>
      </c>
    </row>
    <row r="658" spans="1:5" x14ac:dyDescent="0.25">
      <c r="A658" t="s">
        <v>1311</v>
      </c>
      <c r="B658" s="1">
        <v>45200.534722222219</v>
      </c>
      <c r="C658" t="s">
        <v>196</v>
      </c>
      <c r="D658">
        <v>50</v>
      </c>
      <c r="E658" t="s">
        <v>1321</v>
      </c>
    </row>
    <row r="659" spans="1:5" x14ac:dyDescent="0.25">
      <c r="A659" t="s">
        <v>1313</v>
      </c>
      <c r="B659" s="1">
        <v>45213.87222222222</v>
      </c>
      <c r="C659" t="s">
        <v>179</v>
      </c>
      <c r="D659">
        <v>46</v>
      </c>
      <c r="E659" t="s">
        <v>1312</v>
      </c>
    </row>
    <row r="660" spans="1:5" x14ac:dyDescent="0.25">
      <c r="A660" t="s">
        <v>1352</v>
      </c>
      <c r="B660" s="1">
        <v>45219.181250000001</v>
      </c>
      <c r="C660" t="s">
        <v>537</v>
      </c>
      <c r="D660">
        <v>97</v>
      </c>
      <c r="E660" t="s">
        <v>1312</v>
      </c>
    </row>
    <row r="661" spans="1:5" x14ac:dyDescent="0.25">
      <c r="A661" t="s">
        <v>1359</v>
      </c>
      <c r="B661" s="1">
        <v>45217.368750000001</v>
      </c>
      <c r="C661" t="s">
        <v>537</v>
      </c>
      <c r="D661">
        <v>8</v>
      </c>
      <c r="E661" t="s">
        <v>1314</v>
      </c>
    </row>
    <row r="662" spans="1:5" x14ac:dyDescent="0.25">
      <c r="A662" t="s">
        <v>1325</v>
      </c>
      <c r="B662" s="1">
        <v>45206.974305555559</v>
      </c>
      <c r="C662" t="s">
        <v>282</v>
      </c>
      <c r="D662">
        <v>53</v>
      </c>
      <c r="E662" t="s">
        <v>1312</v>
      </c>
    </row>
    <row r="663" spans="1:5" x14ac:dyDescent="0.25">
      <c r="A663" t="s">
        <v>1327</v>
      </c>
      <c r="B663" s="1">
        <v>45217.755555555559</v>
      </c>
      <c r="C663" t="s">
        <v>8</v>
      </c>
      <c r="D663">
        <v>100</v>
      </c>
      <c r="E663" t="s">
        <v>1314</v>
      </c>
    </row>
    <row r="664" spans="1:5" x14ac:dyDescent="0.25">
      <c r="A664" t="s">
        <v>1359</v>
      </c>
      <c r="B664" s="1">
        <v>45214.59375</v>
      </c>
      <c r="C664" t="s">
        <v>1546</v>
      </c>
      <c r="D664">
        <v>51</v>
      </c>
      <c r="E664" t="s">
        <v>1321</v>
      </c>
    </row>
    <row r="665" spans="1:5" x14ac:dyDescent="0.25">
      <c r="A665" t="s">
        <v>1327</v>
      </c>
      <c r="B665" s="1">
        <v>45228.100694444445</v>
      </c>
      <c r="C665" t="s">
        <v>1546</v>
      </c>
      <c r="D665">
        <v>23</v>
      </c>
      <c r="E665" t="s">
        <v>1321</v>
      </c>
    </row>
    <row r="666" spans="1:5" x14ac:dyDescent="0.25">
      <c r="A666" t="s">
        <v>1339</v>
      </c>
      <c r="B666" s="1">
        <v>45209.251388888886</v>
      </c>
      <c r="C666" t="s">
        <v>1546</v>
      </c>
      <c r="D666">
        <v>46</v>
      </c>
      <c r="E666" t="s">
        <v>1312</v>
      </c>
    </row>
    <row r="667" spans="1:5" x14ac:dyDescent="0.25">
      <c r="A667" t="s">
        <v>1324</v>
      </c>
      <c r="B667" s="1">
        <v>45224.428472222222</v>
      </c>
      <c r="C667" t="s">
        <v>402</v>
      </c>
      <c r="D667">
        <v>65</v>
      </c>
      <c r="E667" t="s">
        <v>1312</v>
      </c>
    </row>
    <row r="668" spans="1:5" x14ac:dyDescent="0.25">
      <c r="A668" t="s">
        <v>1316</v>
      </c>
      <c r="B668" s="1">
        <v>45201.574305555558</v>
      </c>
      <c r="C668" t="s">
        <v>402</v>
      </c>
      <c r="D668">
        <v>75</v>
      </c>
      <c r="E668" t="s">
        <v>1321</v>
      </c>
    </row>
    <row r="669" spans="1:5" x14ac:dyDescent="0.25">
      <c r="A669" t="s">
        <v>1315</v>
      </c>
      <c r="B669" s="1">
        <v>45214.713194444441</v>
      </c>
      <c r="C669" t="s">
        <v>402</v>
      </c>
      <c r="D669">
        <v>25</v>
      </c>
      <c r="E669" t="s">
        <v>1314</v>
      </c>
    </row>
    <row r="670" spans="1:5" x14ac:dyDescent="0.25">
      <c r="A670" t="s">
        <v>1365</v>
      </c>
      <c r="B670" s="1">
        <v>45228.758333333331</v>
      </c>
      <c r="C670" t="s">
        <v>1547</v>
      </c>
      <c r="D670">
        <v>54</v>
      </c>
      <c r="E670" t="s">
        <v>1314</v>
      </c>
    </row>
    <row r="671" spans="1:5" x14ac:dyDescent="0.25">
      <c r="A671" t="s">
        <v>1339</v>
      </c>
      <c r="B671" s="1">
        <v>45213.027083333334</v>
      </c>
      <c r="C671" t="s">
        <v>286</v>
      </c>
      <c r="D671">
        <v>68</v>
      </c>
      <c r="E671" t="s">
        <v>1321</v>
      </c>
    </row>
    <row r="672" spans="1:5" x14ac:dyDescent="0.25">
      <c r="A672" t="s">
        <v>1334</v>
      </c>
      <c r="B672" s="1">
        <v>45211.618750000001</v>
      </c>
      <c r="C672" t="s">
        <v>438</v>
      </c>
      <c r="D672">
        <v>92</v>
      </c>
      <c r="E672" t="s">
        <v>1314</v>
      </c>
    </row>
    <row r="673" spans="1:5" x14ac:dyDescent="0.25">
      <c r="A673" t="s">
        <v>1322</v>
      </c>
      <c r="B673" s="1">
        <v>45215.775000000001</v>
      </c>
      <c r="C673" t="s">
        <v>438</v>
      </c>
      <c r="D673">
        <v>95</v>
      </c>
      <c r="E673" t="s">
        <v>1312</v>
      </c>
    </row>
    <row r="674" spans="1:5" x14ac:dyDescent="0.25">
      <c r="A674" t="s">
        <v>1325</v>
      </c>
      <c r="B674" s="1">
        <v>45202.054861111108</v>
      </c>
      <c r="C674" t="s">
        <v>1548</v>
      </c>
      <c r="D674">
        <v>11</v>
      </c>
      <c r="E674" t="s">
        <v>1314</v>
      </c>
    </row>
    <row r="675" spans="1:5" x14ac:dyDescent="0.25">
      <c r="A675" t="s">
        <v>1332</v>
      </c>
      <c r="B675" s="1">
        <v>45221.857638888891</v>
      </c>
      <c r="C675" t="s">
        <v>1548</v>
      </c>
      <c r="D675">
        <v>60</v>
      </c>
      <c r="E675" t="s">
        <v>1321</v>
      </c>
    </row>
    <row r="676" spans="1:5" x14ac:dyDescent="0.25">
      <c r="A676" t="s">
        <v>1313</v>
      </c>
      <c r="B676" s="1">
        <v>45204.948611111111</v>
      </c>
      <c r="C676" t="s">
        <v>1549</v>
      </c>
      <c r="D676">
        <v>47</v>
      </c>
      <c r="E676" t="s">
        <v>1312</v>
      </c>
    </row>
    <row r="677" spans="1:5" x14ac:dyDescent="0.25">
      <c r="A677" t="s">
        <v>1313</v>
      </c>
      <c r="B677" s="1">
        <v>45220.506249999999</v>
      </c>
      <c r="C677" t="s">
        <v>1550</v>
      </c>
      <c r="D677">
        <v>20</v>
      </c>
      <c r="E677" t="s">
        <v>1314</v>
      </c>
    </row>
    <row r="678" spans="1:5" x14ac:dyDescent="0.25">
      <c r="A678" t="s">
        <v>1353</v>
      </c>
      <c r="B678" s="1">
        <v>45229.986805555556</v>
      </c>
      <c r="C678" t="s">
        <v>1550</v>
      </c>
      <c r="D678">
        <v>37</v>
      </c>
      <c r="E678" t="s">
        <v>1321</v>
      </c>
    </row>
    <row r="679" spans="1:5" x14ac:dyDescent="0.25">
      <c r="A679" t="s">
        <v>1323</v>
      </c>
      <c r="B679" s="1">
        <v>45215.322222222225</v>
      </c>
      <c r="C679" t="s">
        <v>1550</v>
      </c>
      <c r="D679">
        <v>57</v>
      </c>
      <c r="E679" t="s">
        <v>1321</v>
      </c>
    </row>
    <row r="680" spans="1:5" x14ac:dyDescent="0.25">
      <c r="A680" t="s">
        <v>1316</v>
      </c>
      <c r="B680" s="1">
        <v>45205.711111111108</v>
      </c>
      <c r="C680" t="s">
        <v>1551</v>
      </c>
      <c r="D680">
        <v>109</v>
      </c>
      <c r="E680" t="s">
        <v>1321</v>
      </c>
    </row>
    <row r="681" spans="1:5" x14ac:dyDescent="0.25">
      <c r="A681" t="s">
        <v>1325</v>
      </c>
      <c r="B681" s="1">
        <v>45200.06527777778</v>
      </c>
      <c r="C681" t="s">
        <v>1551</v>
      </c>
      <c r="D681">
        <v>9</v>
      </c>
      <c r="E681" t="s">
        <v>1314</v>
      </c>
    </row>
    <row r="682" spans="1:5" x14ac:dyDescent="0.25">
      <c r="A682" t="s">
        <v>1324</v>
      </c>
      <c r="B682" s="1">
        <v>45215.776388888888</v>
      </c>
      <c r="C682" t="s">
        <v>258</v>
      </c>
      <c r="D682">
        <v>87</v>
      </c>
      <c r="E682" t="s">
        <v>1321</v>
      </c>
    </row>
    <row r="683" spans="1:5" x14ac:dyDescent="0.25">
      <c r="A683" t="s">
        <v>1359</v>
      </c>
      <c r="B683" s="1">
        <v>45206.162499999999</v>
      </c>
      <c r="C683" t="s">
        <v>1552</v>
      </c>
      <c r="D683">
        <v>69</v>
      </c>
      <c r="E683" t="s">
        <v>1314</v>
      </c>
    </row>
    <row r="684" spans="1:5" x14ac:dyDescent="0.25">
      <c r="A684" t="s">
        <v>1316</v>
      </c>
      <c r="B684" s="1">
        <v>45215.376388888886</v>
      </c>
      <c r="C684" t="s">
        <v>451</v>
      </c>
      <c r="D684">
        <v>65</v>
      </c>
      <c r="E684" t="s">
        <v>1321</v>
      </c>
    </row>
    <row r="685" spans="1:5" x14ac:dyDescent="0.25">
      <c r="A685" t="s">
        <v>1322</v>
      </c>
      <c r="B685" s="1">
        <v>45224.482638888891</v>
      </c>
      <c r="C685" t="s">
        <v>451</v>
      </c>
      <c r="D685">
        <v>95</v>
      </c>
      <c r="E685" t="s">
        <v>1312</v>
      </c>
    </row>
    <row r="686" spans="1:5" x14ac:dyDescent="0.25">
      <c r="A686" t="s">
        <v>1315</v>
      </c>
      <c r="B686" s="1">
        <v>45204.283333333333</v>
      </c>
      <c r="C686" t="s">
        <v>451</v>
      </c>
      <c r="D686">
        <v>11</v>
      </c>
      <c r="E686" t="s">
        <v>1321</v>
      </c>
    </row>
    <row r="687" spans="1:5" x14ac:dyDescent="0.25">
      <c r="A687" t="s">
        <v>1365</v>
      </c>
      <c r="B687" s="1">
        <v>45216.902777777781</v>
      </c>
      <c r="C687" t="s">
        <v>38</v>
      </c>
      <c r="D687">
        <v>20</v>
      </c>
      <c r="E687" t="s">
        <v>1321</v>
      </c>
    </row>
    <row r="688" spans="1:5" x14ac:dyDescent="0.25">
      <c r="A688" t="s">
        <v>1343</v>
      </c>
      <c r="B688" s="1">
        <v>45227.163194444445</v>
      </c>
      <c r="C688" t="s">
        <v>1553</v>
      </c>
      <c r="D688">
        <v>78</v>
      </c>
      <c r="E688" t="s">
        <v>1312</v>
      </c>
    </row>
    <row r="689" spans="1:5" x14ac:dyDescent="0.25">
      <c r="A689" t="s">
        <v>1343</v>
      </c>
      <c r="B689" s="1">
        <v>45221.839583333334</v>
      </c>
      <c r="C689" t="s">
        <v>1554</v>
      </c>
      <c r="D689">
        <v>18</v>
      </c>
      <c r="E689" t="s">
        <v>1314</v>
      </c>
    </row>
    <row r="690" spans="1:5" x14ac:dyDescent="0.25">
      <c r="A690" t="s">
        <v>1316</v>
      </c>
      <c r="B690" s="1">
        <v>45214.109722222223</v>
      </c>
      <c r="C690" t="s">
        <v>1555</v>
      </c>
      <c r="D690">
        <v>102</v>
      </c>
      <c r="E690" t="s">
        <v>1312</v>
      </c>
    </row>
    <row r="691" spans="1:5" x14ac:dyDescent="0.25">
      <c r="A691" t="s">
        <v>1325</v>
      </c>
      <c r="B691" s="1">
        <v>45210.84097222222</v>
      </c>
      <c r="C691" t="s">
        <v>1555</v>
      </c>
      <c r="D691">
        <v>7</v>
      </c>
      <c r="E691" t="s">
        <v>1314</v>
      </c>
    </row>
    <row r="692" spans="1:5" x14ac:dyDescent="0.25">
      <c r="A692" t="s">
        <v>1332</v>
      </c>
      <c r="B692" s="1">
        <v>45201.009027777778</v>
      </c>
      <c r="C692" t="s">
        <v>149</v>
      </c>
      <c r="D692">
        <v>56</v>
      </c>
      <c r="E692" t="s">
        <v>1312</v>
      </c>
    </row>
    <row r="693" spans="1:5" x14ac:dyDescent="0.25">
      <c r="A693" t="s">
        <v>1336</v>
      </c>
      <c r="B693" s="1">
        <v>45209.659722222219</v>
      </c>
      <c r="C693" t="s">
        <v>149</v>
      </c>
      <c r="D693">
        <v>67</v>
      </c>
      <c r="E693" t="s">
        <v>1321</v>
      </c>
    </row>
    <row r="694" spans="1:5" x14ac:dyDescent="0.25">
      <c r="A694" t="s">
        <v>1359</v>
      </c>
      <c r="B694" s="1">
        <v>45226.586805555555</v>
      </c>
      <c r="C694" t="s">
        <v>149</v>
      </c>
      <c r="D694">
        <v>33</v>
      </c>
      <c r="E694" t="s">
        <v>1321</v>
      </c>
    </row>
    <row r="695" spans="1:5" x14ac:dyDescent="0.25">
      <c r="A695" t="s">
        <v>1319</v>
      </c>
      <c r="B695" s="1">
        <v>45218.635416666664</v>
      </c>
      <c r="C695" t="s">
        <v>1556</v>
      </c>
      <c r="D695">
        <v>17</v>
      </c>
      <c r="E695" t="s">
        <v>1321</v>
      </c>
    </row>
    <row r="696" spans="1:5" x14ac:dyDescent="0.25">
      <c r="A696" t="s">
        <v>1319</v>
      </c>
      <c r="B696" s="1">
        <v>45214.185416666667</v>
      </c>
      <c r="C696" t="s">
        <v>1556</v>
      </c>
      <c r="D696">
        <v>36</v>
      </c>
      <c r="E696" t="s">
        <v>1312</v>
      </c>
    </row>
    <row r="697" spans="1:5" x14ac:dyDescent="0.25">
      <c r="A697" t="s">
        <v>1319</v>
      </c>
      <c r="B697" s="1">
        <v>45201.224999999999</v>
      </c>
      <c r="C697" t="s">
        <v>237</v>
      </c>
      <c r="D697">
        <v>83</v>
      </c>
      <c r="E697" t="s">
        <v>1312</v>
      </c>
    </row>
    <row r="698" spans="1:5" x14ac:dyDescent="0.25">
      <c r="A698" t="s">
        <v>1347</v>
      </c>
      <c r="B698" s="1">
        <v>45229.065972222219</v>
      </c>
      <c r="C698" t="s">
        <v>237</v>
      </c>
      <c r="D698">
        <v>93</v>
      </c>
      <c r="E698" t="s">
        <v>1314</v>
      </c>
    </row>
    <row r="699" spans="1:5" x14ac:dyDescent="0.25">
      <c r="A699" t="s">
        <v>1365</v>
      </c>
      <c r="B699" s="1">
        <v>45225.776388888888</v>
      </c>
      <c r="C699" t="s">
        <v>237</v>
      </c>
      <c r="D699">
        <v>71</v>
      </c>
      <c r="E699" t="s">
        <v>1314</v>
      </c>
    </row>
    <row r="700" spans="1:5" x14ac:dyDescent="0.25">
      <c r="A700" t="s">
        <v>1313</v>
      </c>
      <c r="B700" s="1">
        <v>45201.212500000001</v>
      </c>
      <c r="C700" t="s">
        <v>237</v>
      </c>
      <c r="D700">
        <v>40</v>
      </c>
      <c r="E700" t="s">
        <v>1312</v>
      </c>
    </row>
    <row r="701" spans="1:5" x14ac:dyDescent="0.25">
      <c r="A701" t="s">
        <v>1339</v>
      </c>
      <c r="B701" s="1">
        <v>45208.959027777775</v>
      </c>
      <c r="C701" t="s">
        <v>237</v>
      </c>
      <c r="D701">
        <v>98</v>
      </c>
      <c r="E701" t="s">
        <v>1321</v>
      </c>
    </row>
    <row r="702" spans="1:5" x14ac:dyDescent="0.25">
      <c r="A702" t="s">
        <v>1327</v>
      </c>
      <c r="B702" s="1">
        <v>45215.088888888888</v>
      </c>
      <c r="C702" t="s">
        <v>1557</v>
      </c>
      <c r="D702">
        <v>59</v>
      </c>
      <c r="E702" t="s">
        <v>1321</v>
      </c>
    </row>
    <row r="703" spans="1:5" x14ac:dyDescent="0.25">
      <c r="A703" t="s">
        <v>1320</v>
      </c>
      <c r="B703" s="1">
        <v>45210.805555555555</v>
      </c>
      <c r="C703" t="s">
        <v>1557</v>
      </c>
      <c r="D703">
        <v>97</v>
      </c>
      <c r="E703" t="s">
        <v>1314</v>
      </c>
    </row>
    <row r="704" spans="1:5" x14ac:dyDescent="0.25">
      <c r="A704" t="s">
        <v>1315</v>
      </c>
      <c r="B704" s="1">
        <v>45227.484722222223</v>
      </c>
      <c r="C704" t="s">
        <v>1558</v>
      </c>
      <c r="D704">
        <v>24</v>
      </c>
      <c r="E704" t="s">
        <v>1312</v>
      </c>
    </row>
    <row r="705" spans="1:5" x14ac:dyDescent="0.25">
      <c r="A705" t="s">
        <v>1339</v>
      </c>
      <c r="B705" s="1">
        <v>45221.106249999997</v>
      </c>
      <c r="C705" t="s">
        <v>1558</v>
      </c>
      <c r="D705">
        <v>52</v>
      </c>
      <c r="E705" t="s">
        <v>1321</v>
      </c>
    </row>
    <row r="706" spans="1:5" x14ac:dyDescent="0.25">
      <c r="A706" t="s">
        <v>1324</v>
      </c>
      <c r="B706" s="1">
        <v>45212.200694444444</v>
      </c>
      <c r="C706" t="s">
        <v>1559</v>
      </c>
      <c r="D706">
        <v>82</v>
      </c>
      <c r="E706" t="s">
        <v>1314</v>
      </c>
    </row>
    <row r="707" spans="1:5" x14ac:dyDescent="0.25">
      <c r="A707" t="s">
        <v>1332</v>
      </c>
      <c r="B707" s="1">
        <v>45211.908333333333</v>
      </c>
      <c r="C707" t="s">
        <v>1559</v>
      </c>
      <c r="D707">
        <v>32</v>
      </c>
      <c r="E707" t="s">
        <v>1312</v>
      </c>
    </row>
    <row r="708" spans="1:5" x14ac:dyDescent="0.25">
      <c r="A708" t="s">
        <v>1352</v>
      </c>
      <c r="B708" s="1">
        <v>45219.920138888891</v>
      </c>
      <c r="C708" t="s">
        <v>1560</v>
      </c>
      <c r="D708">
        <v>91</v>
      </c>
      <c r="E708" t="s">
        <v>1321</v>
      </c>
    </row>
    <row r="709" spans="1:5" x14ac:dyDescent="0.25">
      <c r="A709" t="s">
        <v>1339</v>
      </c>
      <c r="B709" s="1">
        <v>45203.477083333331</v>
      </c>
      <c r="C709" t="s">
        <v>1561</v>
      </c>
      <c r="D709">
        <v>93</v>
      </c>
      <c r="E709" t="s">
        <v>1312</v>
      </c>
    </row>
    <row r="710" spans="1:5" x14ac:dyDescent="0.25">
      <c r="A710" t="s">
        <v>1353</v>
      </c>
      <c r="B710" s="1">
        <v>45208.711111111108</v>
      </c>
      <c r="C710" t="s">
        <v>1561</v>
      </c>
      <c r="D710">
        <v>75</v>
      </c>
      <c r="E710" t="s">
        <v>1312</v>
      </c>
    </row>
    <row r="711" spans="1:5" x14ac:dyDescent="0.25">
      <c r="A711" t="s">
        <v>1326</v>
      </c>
      <c r="B711" s="1">
        <v>45204.297222222223</v>
      </c>
      <c r="C711" t="s">
        <v>406</v>
      </c>
      <c r="D711">
        <v>111</v>
      </c>
      <c r="E711" t="s">
        <v>1312</v>
      </c>
    </row>
    <row r="712" spans="1:5" x14ac:dyDescent="0.25">
      <c r="A712" t="s">
        <v>1343</v>
      </c>
      <c r="B712" s="1">
        <v>45227.587500000001</v>
      </c>
      <c r="C712" t="s">
        <v>406</v>
      </c>
      <c r="D712">
        <v>50</v>
      </c>
      <c r="E712" t="s">
        <v>1312</v>
      </c>
    </row>
    <row r="713" spans="1:5" x14ac:dyDescent="0.25">
      <c r="A713" t="s">
        <v>1320</v>
      </c>
      <c r="B713" s="1">
        <v>45229.722916666666</v>
      </c>
      <c r="C713" t="s">
        <v>406</v>
      </c>
      <c r="D713">
        <v>76</v>
      </c>
      <c r="E713" t="s">
        <v>1312</v>
      </c>
    </row>
    <row r="714" spans="1:5" x14ac:dyDescent="0.25">
      <c r="A714" t="s">
        <v>1327</v>
      </c>
      <c r="B714" s="1">
        <v>45214.018750000003</v>
      </c>
      <c r="C714" t="s">
        <v>406</v>
      </c>
      <c r="D714">
        <v>115</v>
      </c>
      <c r="E714" t="s">
        <v>1312</v>
      </c>
    </row>
    <row r="715" spans="1:5" x14ac:dyDescent="0.25">
      <c r="A715" t="s">
        <v>1324</v>
      </c>
      <c r="B715" s="1">
        <v>45227.297222222223</v>
      </c>
      <c r="C715" t="s">
        <v>214</v>
      </c>
      <c r="D715">
        <v>92</v>
      </c>
      <c r="E715" t="s">
        <v>1321</v>
      </c>
    </row>
    <row r="716" spans="1:5" x14ac:dyDescent="0.25">
      <c r="A716" t="s">
        <v>1320</v>
      </c>
      <c r="B716" s="1">
        <v>45224.831944444442</v>
      </c>
      <c r="C716" t="s">
        <v>1562</v>
      </c>
      <c r="D716">
        <v>100</v>
      </c>
      <c r="E716" t="s">
        <v>1314</v>
      </c>
    </row>
    <row r="717" spans="1:5" x14ac:dyDescent="0.25">
      <c r="A717" t="s">
        <v>1320</v>
      </c>
      <c r="B717" s="1">
        <v>45230.303472222222</v>
      </c>
      <c r="C717" t="s">
        <v>347</v>
      </c>
      <c r="D717">
        <v>83</v>
      </c>
      <c r="E717" t="s">
        <v>1321</v>
      </c>
    </row>
    <row r="718" spans="1:5" x14ac:dyDescent="0.25">
      <c r="A718" t="s">
        <v>1324</v>
      </c>
      <c r="B718" s="1">
        <v>45220.154861111114</v>
      </c>
      <c r="C718" t="s">
        <v>347</v>
      </c>
      <c r="D718">
        <v>53</v>
      </c>
      <c r="E718" t="s">
        <v>1314</v>
      </c>
    </row>
    <row r="719" spans="1:5" x14ac:dyDescent="0.25">
      <c r="A719" t="s">
        <v>1320</v>
      </c>
      <c r="B719" s="1">
        <v>45226.885416666664</v>
      </c>
      <c r="C719" t="s">
        <v>1563</v>
      </c>
      <c r="D719">
        <v>96</v>
      </c>
      <c r="E719" t="s">
        <v>1321</v>
      </c>
    </row>
    <row r="720" spans="1:5" x14ac:dyDescent="0.25">
      <c r="A720" t="s">
        <v>1341</v>
      </c>
      <c r="B720" s="1">
        <v>45219.527083333334</v>
      </c>
      <c r="C720" t="s">
        <v>72</v>
      </c>
      <c r="D720">
        <v>95</v>
      </c>
      <c r="E720" t="s">
        <v>1314</v>
      </c>
    </row>
    <row r="721" spans="1:5" x14ac:dyDescent="0.25">
      <c r="A721" t="s">
        <v>1313</v>
      </c>
      <c r="B721" s="1">
        <v>45211.888888888891</v>
      </c>
      <c r="C721" t="s">
        <v>72</v>
      </c>
      <c r="D721">
        <v>87</v>
      </c>
      <c r="E721" t="s">
        <v>1312</v>
      </c>
    </row>
    <row r="722" spans="1:5" x14ac:dyDescent="0.25">
      <c r="A722" t="s">
        <v>1318</v>
      </c>
      <c r="B722" s="1">
        <v>45202.529166666667</v>
      </c>
      <c r="C722" t="s">
        <v>72</v>
      </c>
      <c r="D722">
        <v>109</v>
      </c>
      <c r="E722" t="s">
        <v>1312</v>
      </c>
    </row>
    <row r="723" spans="1:5" x14ac:dyDescent="0.25">
      <c r="A723" t="s">
        <v>1313</v>
      </c>
      <c r="B723" s="1">
        <v>45226.997916666667</v>
      </c>
      <c r="C723" t="s">
        <v>337</v>
      </c>
      <c r="D723">
        <v>53</v>
      </c>
      <c r="E723" t="s">
        <v>1321</v>
      </c>
    </row>
    <row r="724" spans="1:5" x14ac:dyDescent="0.25">
      <c r="A724" t="s">
        <v>1353</v>
      </c>
      <c r="B724" s="1">
        <v>45207.199305555558</v>
      </c>
      <c r="C724" t="s">
        <v>1564</v>
      </c>
      <c r="D724">
        <v>28</v>
      </c>
      <c r="E724" t="s">
        <v>1312</v>
      </c>
    </row>
    <row r="725" spans="1:5" x14ac:dyDescent="0.25">
      <c r="A725" t="s">
        <v>1324</v>
      </c>
      <c r="B725" s="1">
        <v>45214.081944444442</v>
      </c>
      <c r="C725" t="s">
        <v>1564</v>
      </c>
      <c r="D725">
        <v>87</v>
      </c>
      <c r="E725" t="s">
        <v>1312</v>
      </c>
    </row>
    <row r="726" spans="1:5" x14ac:dyDescent="0.25">
      <c r="A726" t="s">
        <v>1316</v>
      </c>
      <c r="B726" s="1">
        <v>45219.801388888889</v>
      </c>
      <c r="C726" t="s">
        <v>532</v>
      </c>
      <c r="D726">
        <v>65</v>
      </c>
      <c r="E726" t="s">
        <v>1312</v>
      </c>
    </row>
    <row r="727" spans="1:5" x14ac:dyDescent="0.25">
      <c r="A727" t="s">
        <v>1327</v>
      </c>
      <c r="B727" s="1">
        <v>45227.118055555555</v>
      </c>
      <c r="C727" t="s">
        <v>1565</v>
      </c>
      <c r="D727">
        <v>61</v>
      </c>
      <c r="E727" t="s">
        <v>1312</v>
      </c>
    </row>
    <row r="728" spans="1:5" x14ac:dyDescent="0.25">
      <c r="A728" t="s">
        <v>1318</v>
      </c>
      <c r="B728" s="1">
        <v>45225.406944444447</v>
      </c>
      <c r="C728" t="s">
        <v>200</v>
      </c>
      <c r="D728">
        <v>74</v>
      </c>
      <c r="E728" t="s">
        <v>1314</v>
      </c>
    </row>
    <row r="729" spans="1:5" x14ac:dyDescent="0.25">
      <c r="A729" t="s">
        <v>1322</v>
      </c>
      <c r="B729" s="1">
        <v>45213.907638888886</v>
      </c>
      <c r="C729" t="s">
        <v>241</v>
      </c>
      <c r="D729">
        <v>52</v>
      </c>
      <c r="E729" t="s">
        <v>1314</v>
      </c>
    </row>
    <row r="730" spans="1:5" x14ac:dyDescent="0.25">
      <c r="A730" t="s">
        <v>1325</v>
      </c>
      <c r="B730" s="1">
        <v>45224.229861111111</v>
      </c>
      <c r="C730" t="s">
        <v>241</v>
      </c>
      <c r="D730">
        <v>20</v>
      </c>
      <c r="E730" t="s">
        <v>1314</v>
      </c>
    </row>
    <row r="731" spans="1:5" x14ac:dyDescent="0.25">
      <c r="A731" t="s">
        <v>1324</v>
      </c>
      <c r="B731" s="1">
        <v>45207.074305555558</v>
      </c>
      <c r="C731" t="s">
        <v>99</v>
      </c>
      <c r="D731">
        <v>57</v>
      </c>
      <c r="E731" t="s">
        <v>1314</v>
      </c>
    </row>
    <row r="732" spans="1:5" x14ac:dyDescent="0.25">
      <c r="A732" t="s">
        <v>1325</v>
      </c>
      <c r="B732" s="1">
        <v>45219.569444444445</v>
      </c>
      <c r="C732" t="s">
        <v>99</v>
      </c>
      <c r="D732">
        <v>96</v>
      </c>
      <c r="E732" t="s">
        <v>1314</v>
      </c>
    </row>
    <row r="733" spans="1:5" x14ac:dyDescent="0.25">
      <c r="A733" t="s">
        <v>1347</v>
      </c>
      <c r="B733" s="1">
        <v>45207.668055555558</v>
      </c>
      <c r="C733" t="s">
        <v>99</v>
      </c>
      <c r="D733">
        <v>113</v>
      </c>
      <c r="E733" t="s">
        <v>1314</v>
      </c>
    </row>
    <row r="734" spans="1:5" x14ac:dyDescent="0.25">
      <c r="A734" t="s">
        <v>1326</v>
      </c>
      <c r="B734" s="1">
        <v>45203.950694444444</v>
      </c>
      <c r="C734" t="s">
        <v>524</v>
      </c>
      <c r="D734">
        <v>8</v>
      </c>
      <c r="E734" t="s">
        <v>1312</v>
      </c>
    </row>
    <row r="735" spans="1:5" x14ac:dyDescent="0.25">
      <c r="A735" t="s">
        <v>1344</v>
      </c>
      <c r="B735" s="1">
        <v>45205.805555555555</v>
      </c>
      <c r="C735" t="s">
        <v>1566</v>
      </c>
      <c r="D735">
        <v>110</v>
      </c>
      <c r="E735" t="s">
        <v>1314</v>
      </c>
    </row>
    <row r="736" spans="1:5" x14ac:dyDescent="0.25">
      <c r="A736" t="s">
        <v>1344</v>
      </c>
      <c r="B736" s="1">
        <v>45229.631249999999</v>
      </c>
      <c r="C736" t="s">
        <v>131</v>
      </c>
      <c r="D736">
        <v>81</v>
      </c>
      <c r="E736" t="s">
        <v>1314</v>
      </c>
    </row>
    <row r="737" spans="1:5" x14ac:dyDescent="0.25">
      <c r="A737" t="s">
        <v>1320</v>
      </c>
      <c r="B737" s="1">
        <v>45204.931250000001</v>
      </c>
      <c r="C737" t="s">
        <v>1567</v>
      </c>
      <c r="D737">
        <v>66</v>
      </c>
      <c r="E737" t="s">
        <v>1314</v>
      </c>
    </row>
    <row r="738" spans="1:5" x14ac:dyDescent="0.25">
      <c r="A738" t="s">
        <v>1313</v>
      </c>
      <c r="B738" s="1">
        <v>45204.665277777778</v>
      </c>
      <c r="C738" t="s">
        <v>1568</v>
      </c>
      <c r="D738">
        <v>56</v>
      </c>
      <c r="E738" t="s">
        <v>1314</v>
      </c>
    </row>
    <row r="739" spans="1:5" x14ac:dyDescent="0.25">
      <c r="A739" t="s">
        <v>1339</v>
      </c>
      <c r="B739" s="1">
        <v>45220.515972222223</v>
      </c>
      <c r="C739" t="s">
        <v>1568</v>
      </c>
      <c r="D739">
        <v>15</v>
      </c>
      <c r="E739" t="s">
        <v>1321</v>
      </c>
    </row>
    <row r="740" spans="1:5" x14ac:dyDescent="0.25">
      <c r="A740" t="s">
        <v>1353</v>
      </c>
      <c r="B740" s="1">
        <v>45224.288194444445</v>
      </c>
      <c r="C740" t="s">
        <v>1568</v>
      </c>
      <c r="D740">
        <v>116</v>
      </c>
      <c r="E740" t="s">
        <v>1321</v>
      </c>
    </row>
    <row r="741" spans="1:5" x14ac:dyDescent="0.25">
      <c r="A741" t="s">
        <v>1353</v>
      </c>
      <c r="B741" s="1">
        <v>45215.231944444444</v>
      </c>
      <c r="C741" t="s">
        <v>1568</v>
      </c>
      <c r="D741">
        <v>25</v>
      </c>
      <c r="E741" t="s">
        <v>1312</v>
      </c>
    </row>
    <row r="742" spans="1:5" x14ac:dyDescent="0.25">
      <c r="A742" t="s">
        <v>1353</v>
      </c>
      <c r="B742" s="1">
        <v>45213.417361111111</v>
      </c>
      <c r="C742" t="s">
        <v>1568</v>
      </c>
      <c r="D742">
        <v>100</v>
      </c>
      <c r="E742" t="s">
        <v>1314</v>
      </c>
    </row>
    <row r="743" spans="1:5" x14ac:dyDescent="0.25">
      <c r="A743" t="s">
        <v>1336</v>
      </c>
      <c r="B743" s="1">
        <v>45209.354861111111</v>
      </c>
      <c r="C743" t="s">
        <v>431</v>
      </c>
      <c r="D743">
        <v>99</v>
      </c>
      <c r="E743" t="s">
        <v>1312</v>
      </c>
    </row>
    <row r="744" spans="1:5" x14ac:dyDescent="0.25">
      <c r="A744" t="s">
        <v>1318</v>
      </c>
      <c r="B744" s="1">
        <v>45204.615972222222</v>
      </c>
      <c r="C744" t="s">
        <v>431</v>
      </c>
      <c r="D744">
        <v>41</v>
      </c>
      <c r="E744" t="s">
        <v>1321</v>
      </c>
    </row>
    <row r="745" spans="1:5" x14ac:dyDescent="0.25">
      <c r="A745" t="s">
        <v>1323</v>
      </c>
      <c r="B745" s="1">
        <v>45229.620833333334</v>
      </c>
      <c r="C745" t="s">
        <v>488</v>
      </c>
      <c r="D745">
        <v>74</v>
      </c>
      <c r="E745" t="s">
        <v>1321</v>
      </c>
    </row>
    <row r="746" spans="1:5" x14ac:dyDescent="0.25">
      <c r="A746" t="s">
        <v>1339</v>
      </c>
      <c r="B746" s="1">
        <v>45225.288888888892</v>
      </c>
      <c r="C746" t="s">
        <v>299</v>
      </c>
      <c r="D746">
        <v>89</v>
      </c>
      <c r="E746" t="s">
        <v>1314</v>
      </c>
    </row>
    <row r="747" spans="1:5" x14ac:dyDescent="0.25">
      <c r="A747" t="s">
        <v>1352</v>
      </c>
      <c r="B747" s="1">
        <v>45206.443055555559</v>
      </c>
      <c r="C747" t="s">
        <v>299</v>
      </c>
      <c r="D747">
        <v>48</v>
      </c>
      <c r="E747" t="s">
        <v>1321</v>
      </c>
    </row>
    <row r="748" spans="1:5" x14ac:dyDescent="0.25">
      <c r="A748" t="s">
        <v>1339</v>
      </c>
      <c r="B748" s="1">
        <v>45211.722916666666</v>
      </c>
      <c r="C748" t="s">
        <v>456</v>
      </c>
      <c r="D748">
        <v>28</v>
      </c>
      <c r="E748" t="s">
        <v>1314</v>
      </c>
    </row>
    <row r="749" spans="1:5" x14ac:dyDescent="0.25">
      <c r="A749" t="s">
        <v>1343</v>
      </c>
      <c r="B749" s="1">
        <v>45207.543055555558</v>
      </c>
      <c r="C749" t="s">
        <v>1569</v>
      </c>
      <c r="D749">
        <v>54</v>
      </c>
      <c r="E749" t="s">
        <v>1314</v>
      </c>
    </row>
    <row r="750" spans="1:5" x14ac:dyDescent="0.25">
      <c r="A750" t="s">
        <v>1320</v>
      </c>
      <c r="B750" s="1">
        <v>45225.996527777781</v>
      </c>
      <c r="C750" t="s">
        <v>1569</v>
      </c>
      <c r="D750">
        <v>55</v>
      </c>
      <c r="E750" t="s">
        <v>1312</v>
      </c>
    </row>
    <row r="751" spans="1:5" x14ac:dyDescent="0.25">
      <c r="A751" t="s">
        <v>1336</v>
      </c>
      <c r="B751" s="1">
        <v>45225.322916666664</v>
      </c>
      <c r="C751" t="s">
        <v>1570</v>
      </c>
      <c r="D751">
        <v>47</v>
      </c>
      <c r="E751" t="s">
        <v>1321</v>
      </c>
    </row>
    <row r="752" spans="1:5" x14ac:dyDescent="0.25">
      <c r="A752" t="s">
        <v>1324</v>
      </c>
      <c r="B752" s="1">
        <v>45214.290277777778</v>
      </c>
      <c r="C752" t="s">
        <v>104</v>
      </c>
      <c r="D752">
        <v>27</v>
      </c>
      <c r="E752" t="s">
        <v>1312</v>
      </c>
    </row>
    <row r="753" spans="1:5" x14ac:dyDescent="0.25">
      <c r="A753" t="s">
        <v>1323</v>
      </c>
      <c r="B753" s="1">
        <v>45226.313194444447</v>
      </c>
      <c r="C753" t="s">
        <v>104</v>
      </c>
      <c r="D753">
        <v>66</v>
      </c>
      <c r="E753" t="s">
        <v>1321</v>
      </c>
    </row>
    <row r="754" spans="1:5" x14ac:dyDescent="0.25">
      <c r="A754" t="s">
        <v>1325</v>
      </c>
      <c r="B754" s="1">
        <v>45224.104861111111</v>
      </c>
      <c r="C754" t="s">
        <v>264</v>
      </c>
      <c r="D754">
        <v>98</v>
      </c>
      <c r="E754" t="s">
        <v>1321</v>
      </c>
    </row>
    <row r="755" spans="1:5" x14ac:dyDescent="0.25">
      <c r="A755" t="s">
        <v>1344</v>
      </c>
      <c r="B755" s="1">
        <v>45224.884722222225</v>
      </c>
      <c r="C755" t="s">
        <v>1571</v>
      </c>
      <c r="D755">
        <v>119</v>
      </c>
      <c r="E755" t="s">
        <v>1312</v>
      </c>
    </row>
    <row r="756" spans="1:5" x14ac:dyDescent="0.25">
      <c r="A756" t="s">
        <v>1332</v>
      </c>
      <c r="B756" s="1">
        <v>45200.220138888886</v>
      </c>
      <c r="C756" t="s">
        <v>1572</v>
      </c>
      <c r="D756">
        <v>53</v>
      </c>
      <c r="E756" t="s">
        <v>1312</v>
      </c>
    </row>
    <row r="757" spans="1:5" x14ac:dyDescent="0.25">
      <c r="A757" t="s">
        <v>1325</v>
      </c>
      <c r="B757" s="1">
        <v>45227.393055555556</v>
      </c>
      <c r="C757" t="s">
        <v>1572</v>
      </c>
      <c r="D757">
        <v>67</v>
      </c>
      <c r="E757" t="s">
        <v>1314</v>
      </c>
    </row>
    <row r="758" spans="1:5" x14ac:dyDescent="0.25">
      <c r="A758" t="s">
        <v>1319</v>
      </c>
      <c r="B758" s="1">
        <v>45219.113194444442</v>
      </c>
      <c r="C758" t="s">
        <v>485</v>
      </c>
      <c r="D758">
        <v>19</v>
      </c>
      <c r="E758" t="s">
        <v>1314</v>
      </c>
    </row>
    <row r="759" spans="1:5" x14ac:dyDescent="0.25">
      <c r="A759" t="s">
        <v>1326</v>
      </c>
      <c r="B759" s="1">
        <v>45224.010416666664</v>
      </c>
      <c r="C759" t="s">
        <v>485</v>
      </c>
      <c r="D759">
        <v>114</v>
      </c>
      <c r="E759" t="s">
        <v>1321</v>
      </c>
    </row>
    <row r="760" spans="1:5" x14ac:dyDescent="0.25">
      <c r="A760" t="s">
        <v>1327</v>
      </c>
      <c r="B760" s="1">
        <v>45218.038194444445</v>
      </c>
      <c r="C760" t="s">
        <v>485</v>
      </c>
      <c r="D760">
        <v>6</v>
      </c>
      <c r="E760" t="s">
        <v>1314</v>
      </c>
    </row>
    <row r="761" spans="1:5" x14ac:dyDescent="0.25">
      <c r="A761" t="s">
        <v>1326</v>
      </c>
      <c r="B761" s="1">
        <v>45230.925000000003</v>
      </c>
      <c r="C761" t="s">
        <v>1573</v>
      </c>
      <c r="D761">
        <v>90</v>
      </c>
      <c r="E761" t="s">
        <v>1314</v>
      </c>
    </row>
    <row r="762" spans="1:5" x14ac:dyDescent="0.25">
      <c r="A762" t="s">
        <v>1336</v>
      </c>
      <c r="B762" s="1">
        <v>45210.5</v>
      </c>
      <c r="C762" t="s">
        <v>1574</v>
      </c>
      <c r="D762">
        <v>30</v>
      </c>
      <c r="E762" t="s">
        <v>1314</v>
      </c>
    </row>
    <row r="763" spans="1:5" x14ac:dyDescent="0.25">
      <c r="A763" t="s">
        <v>1325</v>
      </c>
      <c r="B763" s="1">
        <v>45210.924305555556</v>
      </c>
      <c r="C763" t="s">
        <v>1575</v>
      </c>
      <c r="D763">
        <v>32</v>
      </c>
      <c r="E763" t="s">
        <v>1312</v>
      </c>
    </row>
    <row r="764" spans="1:5" x14ac:dyDescent="0.25">
      <c r="A764" t="s">
        <v>1323</v>
      </c>
      <c r="B764" s="1">
        <v>45223.554166666669</v>
      </c>
      <c r="C764" t="s">
        <v>314</v>
      </c>
      <c r="D764">
        <v>86</v>
      </c>
      <c r="E764" t="s">
        <v>1312</v>
      </c>
    </row>
    <row r="765" spans="1:5" x14ac:dyDescent="0.25">
      <c r="A765" t="s">
        <v>1344</v>
      </c>
      <c r="B765" s="1">
        <v>45227.751388888886</v>
      </c>
      <c r="C765" t="s">
        <v>314</v>
      </c>
      <c r="D765">
        <v>42</v>
      </c>
      <c r="E765" t="s">
        <v>1314</v>
      </c>
    </row>
    <row r="766" spans="1:5" x14ac:dyDescent="0.25">
      <c r="A766" t="s">
        <v>1311</v>
      </c>
      <c r="B766" s="1">
        <v>45214.160416666666</v>
      </c>
      <c r="C766" t="s">
        <v>306</v>
      </c>
      <c r="D766">
        <v>108</v>
      </c>
      <c r="E766" t="s">
        <v>1321</v>
      </c>
    </row>
    <row r="767" spans="1:5" x14ac:dyDescent="0.25">
      <c r="A767" t="s">
        <v>1323</v>
      </c>
      <c r="B767" s="1">
        <v>45210.836805555555</v>
      </c>
      <c r="C767" t="s">
        <v>306</v>
      </c>
      <c r="D767">
        <v>118</v>
      </c>
      <c r="E767" t="s">
        <v>1314</v>
      </c>
    </row>
    <row r="768" spans="1:5" x14ac:dyDescent="0.25">
      <c r="A768" t="s">
        <v>1316</v>
      </c>
      <c r="B768" s="1">
        <v>45226.790277777778</v>
      </c>
      <c r="C768" t="s">
        <v>389</v>
      </c>
      <c r="D768">
        <v>68</v>
      </c>
      <c r="E768" t="s">
        <v>1321</v>
      </c>
    </row>
    <row r="769" spans="1:5" x14ac:dyDescent="0.25">
      <c r="A769" t="s">
        <v>1311</v>
      </c>
      <c r="B769" s="1">
        <v>45202.775694444441</v>
      </c>
      <c r="C769" t="s">
        <v>468</v>
      </c>
      <c r="D769">
        <v>72</v>
      </c>
      <c r="E769" t="s">
        <v>1314</v>
      </c>
    </row>
    <row r="770" spans="1:5" x14ac:dyDescent="0.25">
      <c r="A770" t="s">
        <v>1347</v>
      </c>
      <c r="B770" s="1">
        <v>45202.645138888889</v>
      </c>
      <c r="C770" t="s">
        <v>468</v>
      </c>
      <c r="D770">
        <v>106</v>
      </c>
      <c r="E770" t="s">
        <v>1321</v>
      </c>
    </row>
    <row r="771" spans="1:5" x14ac:dyDescent="0.25">
      <c r="A771" t="s">
        <v>1325</v>
      </c>
      <c r="B771" s="1">
        <v>45230.039583333331</v>
      </c>
      <c r="C771" t="s">
        <v>468</v>
      </c>
      <c r="D771">
        <v>117</v>
      </c>
      <c r="E771" t="s">
        <v>1312</v>
      </c>
    </row>
    <row r="772" spans="1:5" x14ac:dyDescent="0.25">
      <c r="A772" t="s">
        <v>1359</v>
      </c>
      <c r="B772" s="1">
        <v>45225.317361111112</v>
      </c>
      <c r="C772" t="s">
        <v>341</v>
      </c>
      <c r="D772">
        <v>56</v>
      </c>
      <c r="E772" t="s">
        <v>1312</v>
      </c>
    </row>
    <row r="773" spans="1:5" x14ac:dyDescent="0.25">
      <c r="A773" t="s">
        <v>1326</v>
      </c>
      <c r="B773" s="1">
        <v>45226.623611111114</v>
      </c>
      <c r="C773" t="s">
        <v>341</v>
      </c>
      <c r="D773">
        <v>98</v>
      </c>
      <c r="E773" t="s">
        <v>1321</v>
      </c>
    </row>
    <row r="774" spans="1:5" x14ac:dyDescent="0.25">
      <c r="A774" t="s">
        <v>1311</v>
      </c>
      <c r="B774" s="1">
        <v>45221.861805555556</v>
      </c>
      <c r="C774" t="s">
        <v>147</v>
      </c>
      <c r="D774">
        <v>65</v>
      </c>
      <c r="E774" t="s">
        <v>1314</v>
      </c>
    </row>
    <row r="775" spans="1:5" x14ac:dyDescent="0.25">
      <c r="A775" t="s">
        <v>1319</v>
      </c>
      <c r="B775" s="1">
        <v>45206.384027777778</v>
      </c>
      <c r="C775" t="s">
        <v>1576</v>
      </c>
      <c r="D775">
        <v>109</v>
      </c>
      <c r="E775" t="s">
        <v>1321</v>
      </c>
    </row>
    <row r="776" spans="1:5" x14ac:dyDescent="0.25">
      <c r="A776" t="s">
        <v>1322</v>
      </c>
      <c r="B776" s="1">
        <v>45226.072222222225</v>
      </c>
      <c r="C776" t="s">
        <v>1577</v>
      </c>
      <c r="D776">
        <v>29</v>
      </c>
      <c r="E776" t="s">
        <v>1321</v>
      </c>
    </row>
    <row r="777" spans="1:5" x14ac:dyDescent="0.25">
      <c r="A777" t="s">
        <v>1336</v>
      </c>
      <c r="B777" s="1">
        <v>45204.09097222222</v>
      </c>
      <c r="C777" t="s">
        <v>1578</v>
      </c>
      <c r="D777">
        <v>81</v>
      </c>
      <c r="E777" t="s">
        <v>1314</v>
      </c>
    </row>
    <row r="778" spans="1:5" x14ac:dyDescent="0.25">
      <c r="A778" t="s">
        <v>1316</v>
      </c>
      <c r="B778" s="1">
        <v>45230.911805555559</v>
      </c>
      <c r="C778" t="s">
        <v>1579</v>
      </c>
      <c r="D778">
        <v>16</v>
      </c>
      <c r="E778" t="s">
        <v>1312</v>
      </c>
    </row>
    <row r="779" spans="1:5" x14ac:dyDescent="0.25">
      <c r="A779" t="s">
        <v>1322</v>
      </c>
      <c r="B779" s="1">
        <v>45228.980555555558</v>
      </c>
      <c r="C779" t="s">
        <v>1579</v>
      </c>
      <c r="D779">
        <v>37</v>
      </c>
      <c r="E779" t="s">
        <v>1312</v>
      </c>
    </row>
    <row r="780" spans="1:5" x14ac:dyDescent="0.25">
      <c r="A780" t="s">
        <v>1332</v>
      </c>
      <c r="B780" s="1">
        <v>45221.143055555556</v>
      </c>
      <c r="C780" t="s">
        <v>1579</v>
      </c>
      <c r="D780">
        <v>43</v>
      </c>
      <c r="E780" t="s">
        <v>1314</v>
      </c>
    </row>
    <row r="781" spans="1:5" x14ac:dyDescent="0.25">
      <c r="A781" t="s">
        <v>1347</v>
      </c>
      <c r="B781" s="1">
        <v>45205.640277777777</v>
      </c>
      <c r="C781" t="s">
        <v>1580</v>
      </c>
      <c r="D781">
        <v>52</v>
      </c>
      <c r="E781" t="s">
        <v>1314</v>
      </c>
    </row>
    <row r="782" spans="1:5" x14ac:dyDescent="0.25">
      <c r="A782" t="s">
        <v>1324</v>
      </c>
      <c r="B782" s="1">
        <v>45211.925000000003</v>
      </c>
      <c r="C782" t="s">
        <v>1580</v>
      </c>
      <c r="D782">
        <v>40</v>
      </c>
      <c r="E782" t="s">
        <v>1321</v>
      </c>
    </row>
    <row r="783" spans="1:5" x14ac:dyDescent="0.25">
      <c r="A783" t="s">
        <v>1326</v>
      </c>
      <c r="B783" s="1">
        <v>45215.879861111112</v>
      </c>
      <c r="C783" t="s">
        <v>1580</v>
      </c>
      <c r="D783">
        <v>16</v>
      </c>
      <c r="E783" t="s">
        <v>1312</v>
      </c>
    </row>
    <row r="784" spans="1:5" x14ac:dyDescent="0.25">
      <c r="A784" t="s">
        <v>1352</v>
      </c>
      <c r="B784" s="1">
        <v>45216.459027777775</v>
      </c>
      <c r="C784" t="s">
        <v>1580</v>
      </c>
      <c r="D784">
        <v>100</v>
      </c>
      <c r="E784" t="s">
        <v>1312</v>
      </c>
    </row>
    <row r="785" spans="1:5" x14ac:dyDescent="0.25">
      <c r="A785" t="s">
        <v>1359</v>
      </c>
      <c r="B785" s="1">
        <v>45201.427083333336</v>
      </c>
      <c r="C785" t="s">
        <v>1581</v>
      </c>
      <c r="D785">
        <v>98</v>
      </c>
      <c r="E785" t="s">
        <v>1312</v>
      </c>
    </row>
    <row r="786" spans="1:5" x14ac:dyDescent="0.25">
      <c r="A786" t="s">
        <v>1359</v>
      </c>
      <c r="B786" s="1">
        <v>45221.988888888889</v>
      </c>
      <c r="C786" t="s">
        <v>1581</v>
      </c>
      <c r="D786">
        <v>72</v>
      </c>
      <c r="E786" t="s">
        <v>1312</v>
      </c>
    </row>
    <row r="787" spans="1:5" x14ac:dyDescent="0.25">
      <c r="A787" t="s">
        <v>1365</v>
      </c>
      <c r="B787" s="1">
        <v>45201.3125</v>
      </c>
      <c r="C787" t="s">
        <v>370</v>
      </c>
      <c r="D787">
        <v>90</v>
      </c>
      <c r="E787" t="s">
        <v>1312</v>
      </c>
    </row>
    <row r="788" spans="1:5" x14ac:dyDescent="0.25">
      <c r="A788" t="s">
        <v>1344</v>
      </c>
      <c r="B788" s="1">
        <v>45203.425694444442</v>
      </c>
      <c r="C788" t="s">
        <v>1582</v>
      </c>
      <c r="D788">
        <v>62</v>
      </c>
      <c r="E788" t="s">
        <v>1314</v>
      </c>
    </row>
    <row r="789" spans="1:5" x14ac:dyDescent="0.25">
      <c r="A789" t="s">
        <v>1320</v>
      </c>
      <c r="B789" s="1">
        <v>45215.015972222223</v>
      </c>
      <c r="C789" t="s">
        <v>197</v>
      </c>
      <c r="D789">
        <v>74</v>
      </c>
      <c r="E789" t="s">
        <v>1314</v>
      </c>
    </row>
    <row r="790" spans="1:5" x14ac:dyDescent="0.25">
      <c r="A790" t="s">
        <v>1341</v>
      </c>
      <c r="B790" s="1">
        <v>45200.925694444442</v>
      </c>
      <c r="C790" t="s">
        <v>239</v>
      </c>
      <c r="D790">
        <v>76</v>
      </c>
      <c r="E790" t="s">
        <v>1321</v>
      </c>
    </row>
    <row r="791" spans="1:5" x14ac:dyDescent="0.25">
      <c r="A791" t="s">
        <v>1318</v>
      </c>
      <c r="B791" s="1">
        <v>45219.476388888892</v>
      </c>
      <c r="C791" t="s">
        <v>239</v>
      </c>
      <c r="D791">
        <v>57</v>
      </c>
      <c r="E791" t="s">
        <v>1314</v>
      </c>
    </row>
    <row r="792" spans="1:5" x14ac:dyDescent="0.25">
      <c r="A792" t="s">
        <v>1325</v>
      </c>
      <c r="B792" s="1">
        <v>45218.381944444445</v>
      </c>
      <c r="C792" t="s">
        <v>239</v>
      </c>
      <c r="D792">
        <v>81</v>
      </c>
      <c r="E792" t="s">
        <v>1312</v>
      </c>
    </row>
    <row r="793" spans="1:5" x14ac:dyDescent="0.25">
      <c r="A793" t="s">
        <v>1365</v>
      </c>
      <c r="B793" s="1">
        <v>45213.022916666669</v>
      </c>
      <c r="C793" t="s">
        <v>239</v>
      </c>
      <c r="D793">
        <v>56</v>
      </c>
      <c r="E793" t="s">
        <v>1321</v>
      </c>
    </row>
    <row r="794" spans="1:5" x14ac:dyDescent="0.25">
      <c r="A794" t="s">
        <v>1315</v>
      </c>
      <c r="B794" s="1">
        <v>45213.042361111111</v>
      </c>
      <c r="C794" t="s">
        <v>239</v>
      </c>
      <c r="D794">
        <v>119</v>
      </c>
      <c r="E794" t="s">
        <v>1312</v>
      </c>
    </row>
    <row r="795" spans="1:5" x14ac:dyDescent="0.25">
      <c r="A795" t="s">
        <v>1326</v>
      </c>
      <c r="B795" s="1">
        <v>45224.552777777775</v>
      </c>
      <c r="C795" t="s">
        <v>205</v>
      </c>
      <c r="D795">
        <v>60</v>
      </c>
      <c r="E795" t="s">
        <v>1312</v>
      </c>
    </row>
    <row r="796" spans="1:5" x14ac:dyDescent="0.25">
      <c r="A796" t="s">
        <v>1334</v>
      </c>
      <c r="B796" s="1">
        <v>45218.242361111108</v>
      </c>
      <c r="C796" t="s">
        <v>1583</v>
      </c>
      <c r="D796">
        <v>64</v>
      </c>
      <c r="E796" t="s">
        <v>1314</v>
      </c>
    </row>
    <row r="797" spans="1:5" x14ac:dyDescent="0.25">
      <c r="A797" t="s">
        <v>1327</v>
      </c>
      <c r="B797" s="1">
        <v>45202.868055555555</v>
      </c>
      <c r="C797" t="s">
        <v>1583</v>
      </c>
      <c r="D797">
        <v>91</v>
      </c>
      <c r="E797" t="s">
        <v>1312</v>
      </c>
    </row>
    <row r="798" spans="1:5" x14ac:dyDescent="0.25">
      <c r="A798" t="s">
        <v>1343</v>
      </c>
      <c r="B798" s="1">
        <v>45212.624305555553</v>
      </c>
      <c r="C798" t="s">
        <v>1583</v>
      </c>
      <c r="D798">
        <v>113</v>
      </c>
      <c r="E798" t="s">
        <v>1321</v>
      </c>
    </row>
    <row r="799" spans="1:5" x14ac:dyDescent="0.25">
      <c r="A799" t="s">
        <v>1323</v>
      </c>
      <c r="B799" s="1">
        <v>45207.304861111108</v>
      </c>
      <c r="C799" t="s">
        <v>1584</v>
      </c>
      <c r="D799">
        <v>50</v>
      </c>
      <c r="E799" t="s">
        <v>1312</v>
      </c>
    </row>
    <row r="800" spans="1:5" x14ac:dyDescent="0.25">
      <c r="A800" t="s">
        <v>1315</v>
      </c>
      <c r="B800" s="1">
        <v>45221.997916666667</v>
      </c>
      <c r="C800" t="s">
        <v>1584</v>
      </c>
      <c r="D800">
        <v>79</v>
      </c>
      <c r="E800" t="s">
        <v>1321</v>
      </c>
    </row>
    <row r="801" spans="1:5" x14ac:dyDescent="0.25">
      <c r="A801" t="s">
        <v>1318</v>
      </c>
      <c r="B801" s="1">
        <v>45202.686111111114</v>
      </c>
      <c r="C801" t="s">
        <v>1585</v>
      </c>
      <c r="D801">
        <v>53</v>
      </c>
      <c r="E801" t="s">
        <v>1314</v>
      </c>
    </row>
    <row r="802" spans="1:5" x14ac:dyDescent="0.25">
      <c r="A802" t="s">
        <v>1353</v>
      </c>
      <c r="B802" s="1">
        <v>45201.95416666667</v>
      </c>
      <c r="C802" t="s">
        <v>1586</v>
      </c>
      <c r="D802">
        <v>32</v>
      </c>
      <c r="E802" t="s">
        <v>1312</v>
      </c>
    </row>
    <row r="803" spans="1:5" x14ac:dyDescent="0.25">
      <c r="A803" t="s">
        <v>1336</v>
      </c>
      <c r="B803" s="1">
        <v>45211.128472222219</v>
      </c>
      <c r="C803" t="s">
        <v>40</v>
      </c>
      <c r="D803">
        <v>110</v>
      </c>
      <c r="E803" t="s">
        <v>1312</v>
      </c>
    </row>
    <row r="804" spans="1:5" x14ac:dyDescent="0.25">
      <c r="A804" t="s">
        <v>1318</v>
      </c>
      <c r="B804" s="1">
        <v>45207.070833333331</v>
      </c>
      <c r="C804" t="s">
        <v>240</v>
      </c>
      <c r="D804">
        <v>94</v>
      </c>
      <c r="E804" t="s">
        <v>1312</v>
      </c>
    </row>
    <row r="805" spans="1:5" x14ac:dyDescent="0.25">
      <c r="A805" t="s">
        <v>1343</v>
      </c>
      <c r="B805" s="1">
        <v>45221.724999999999</v>
      </c>
      <c r="C805" t="s">
        <v>118</v>
      </c>
      <c r="D805">
        <v>55</v>
      </c>
      <c r="E805" t="s">
        <v>1312</v>
      </c>
    </row>
    <row r="806" spans="1:5" x14ac:dyDescent="0.25">
      <c r="A806" t="s">
        <v>1322</v>
      </c>
      <c r="B806" s="1">
        <v>45203.603472222225</v>
      </c>
      <c r="C806" t="s">
        <v>495</v>
      </c>
      <c r="D806">
        <v>106</v>
      </c>
      <c r="E806" t="s">
        <v>1312</v>
      </c>
    </row>
    <row r="807" spans="1:5" x14ac:dyDescent="0.25">
      <c r="A807" t="s">
        <v>1341</v>
      </c>
      <c r="B807" s="1">
        <v>45221.647916666669</v>
      </c>
      <c r="C807" t="s">
        <v>117</v>
      </c>
      <c r="D807">
        <v>67</v>
      </c>
      <c r="E807" t="s">
        <v>1314</v>
      </c>
    </row>
    <row r="808" spans="1:5" x14ac:dyDescent="0.25">
      <c r="A808" t="s">
        <v>1311</v>
      </c>
      <c r="B808" s="1">
        <v>45217.29583333333</v>
      </c>
      <c r="C808" t="s">
        <v>1587</v>
      </c>
      <c r="D808">
        <v>119</v>
      </c>
      <c r="E808" t="s">
        <v>1314</v>
      </c>
    </row>
    <row r="809" spans="1:5" x14ac:dyDescent="0.25">
      <c r="A809" t="s">
        <v>1320</v>
      </c>
      <c r="B809" s="1">
        <v>45222.938194444447</v>
      </c>
      <c r="C809" t="s">
        <v>1588</v>
      </c>
      <c r="D809">
        <v>36</v>
      </c>
      <c r="E809" t="s">
        <v>1314</v>
      </c>
    </row>
    <row r="810" spans="1:5" x14ac:dyDescent="0.25">
      <c r="A810" t="s">
        <v>1319</v>
      </c>
      <c r="B810" s="1">
        <v>45213.948611111111</v>
      </c>
      <c r="C810" t="s">
        <v>153</v>
      </c>
      <c r="D810">
        <v>72</v>
      </c>
      <c r="E810" t="s">
        <v>1312</v>
      </c>
    </row>
    <row r="811" spans="1:5" x14ac:dyDescent="0.25">
      <c r="A811" t="s">
        <v>1341</v>
      </c>
      <c r="B811" s="1">
        <v>45211.38958333333</v>
      </c>
      <c r="C811" t="s">
        <v>1589</v>
      </c>
      <c r="D811">
        <v>76</v>
      </c>
      <c r="E811" t="s">
        <v>1312</v>
      </c>
    </row>
    <row r="812" spans="1:5" x14ac:dyDescent="0.25">
      <c r="A812" t="s">
        <v>1365</v>
      </c>
      <c r="B812" s="1">
        <v>45212.929166666669</v>
      </c>
      <c r="C812" t="s">
        <v>1590</v>
      </c>
      <c r="D812">
        <v>118</v>
      </c>
      <c r="E812" t="s">
        <v>1321</v>
      </c>
    </row>
    <row r="813" spans="1:5" x14ac:dyDescent="0.25">
      <c r="A813" t="s">
        <v>1332</v>
      </c>
      <c r="B813" s="1">
        <v>45215.811111111114</v>
      </c>
      <c r="C813" t="s">
        <v>1591</v>
      </c>
      <c r="D813">
        <v>7</v>
      </c>
      <c r="E813" t="s">
        <v>1321</v>
      </c>
    </row>
    <row r="814" spans="1:5" x14ac:dyDescent="0.25">
      <c r="A814" t="s">
        <v>1326</v>
      </c>
      <c r="B814" s="1">
        <v>45215.143750000003</v>
      </c>
      <c r="C814" t="s">
        <v>1591</v>
      </c>
      <c r="D814">
        <v>107</v>
      </c>
      <c r="E814" t="s">
        <v>1312</v>
      </c>
    </row>
    <row r="815" spans="1:5" x14ac:dyDescent="0.25">
      <c r="A815" t="s">
        <v>1327</v>
      </c>
      <c r="B815" s="1">
        <v>45201.04583333333</v>
      </c>
      <c r="C815" t="s">
        <v>1592</v>
      </c>
      <c r="D815">
        <v>83</v>
      </c>
      <c r="E815" t="s">
        <v>1312</v>
      </c>
    </row>
    <row r="816" spans="1:5" x14ac:dyDescent="0.25">
      <c r="A816" t="s">
        <v>1343</v>
      </c>
      <c r="B816" s="1">
        <v>45223.102083333331</v>
      </c>
      <c r="C816" t="s">
        <v>1592</v>
      </c>
      <c r="D816">
        <v>104</v>
      </c>
      <c r="E816" t="s">
        <v>1312</v>
      </c>
    </row>
    <row r="817" spans="1:5" x14ac:dyDescent="0.25">
      <c r="A817" t="s">
        <v>1347</v>
      </c>
      <c r="B817" s="1">
        <v>45218.906944444447</v>
      </c>
      <c r="C817" t="s">
        <v>1592</v>
      </c>
      <c r="D817">
        <v>8</v>
      </c>
      <c r="E817" t="s">
        <v>1321</v>
      </c>
    </row>
    <row r="818" spans="1:5" x14ac:dyDescent="0.25">
      <c r="A818" t="s">
        <v>1339</v>
      </c>
      <c r="B818" s="1">
        <v>45210.168055555558</v>
      </c>
      <c r="C818" t="s">
        <v>332</v>
      </c>
      <c r="D818">
        <v>110</v>
      </c>
      <c r="E818" t="s">
        <v>1314</v>
      </c>
    </row>
    <row r="819" spans="1:5" x14ac:dyDescent="0.25">
      <c r="A819" t="s">
        <v>1341</v>
      </c>
      <c r="B819" s="1">
        <v>45212.754861111112</v>
      </c>
      <c r="C819" t="s">
        <v>540</v>
      </c>
      <c r="D819">
        <v>112</v>
      </c>
      <c r="E819" t="s">
        <v>1321</v>
      </c>
    </row>
    <row r="820" spans="1:5" x14ac:dyDescent="0.25">
      <c r="A820" t="s">
        <v>1365</v>
      </c>
      <c r="B820" s="1">
        <v>45209.524305555555</v>
      </c>
      <c r="C820" t="s">
        <v>540</v>
      </c>
      <c r="D820">
        <v>27</v>
      </c>
      <c r="E820" t="s">
        <v>1321</v>
      </c>
    </row>
    <row r="821" spans="1:5" x14ac:dyDescent="0.25">
      <c r="A821" t="s">
        <v>1353</v>
      </c>
      <c r="B821" s="1">
        <v>45221.167361111111</v>
      </c>
      <c r="C821" t="s">
        <v>540</v>
      </c>
      <c r="D821">
        <v>78</v>
      </c>
      <c r="E821" t="s">
        <v>1312</v>
      </c>
    </row>
    <row r="822" spans="1:5" x14ac:dyDescent="0.25">
      <c r="A822" t="s">
        <v>1344</v>
      </c>
      <c r="B822" s="1">
        <v>45230.767361111109</v>
      </c>
      <c r="C822" t="s">
        <v>1593</v>
      </c>
      <c r="D822">
        <v>16</v>
      </c>
      <c r="E822" t="s">
        <v>1321</v>
      </c>
    </row>
    <row r="823" spans="1:5" x14ac:dyDescent="0.25">
      <c r="A823" t="s">
        <v>1365</v>
      </c>
      <c r="B823" s="1">
        <v>45211.993055555555</v>
      </c>
      <c r="C823" t="s">
        <v>1594</v>
      </c>
      <c r="D823">
        <v>29</v>
      </c>
      <c r="E823" t="s">
        <v>1312</v>
      </c>
    </row>
    <row r="824" spans="1:5" x14ac:dyDescent="0.25">
      <c r="A824" t="s">
        <v>1344</v>
      </c>
      <c r="B824" s="1">
        <v>45223.436111111114</v>
      </c>
      <c r="C824" t="s">
        <v>375</v>
      </c>
      <c r="D824">
        <v>26</v>
      </c>
      <c r="E824" t="s">
        <v>1314</v>
      </c>
    </row>
    <row r="825" spans="1:5" x14ac:dyDescent="0.25">
      <c r="A825" t="s">
        <v>1316</v>
      </c>
      <c r="B825" s="1">
        <v>45205.018055555556</v>
      </c>
      <c r="C825" t="s">
        <v>375</v>
      </c>
      <c r="D825">
        <v>67</v>
      </c>
      <c r="E825" t="s">
        <v>1321</v>
      </c>
    </row>
    <row r="826" spans="1:5" x14ac:dyDescent="0.25">
      <c r="A826" t="s">
        <v>1320</v>
      </c>
      <c r="B826" s="1">
        <v>45201.922222222223</v>
      </c>
      <c r="C826" t="s">
        <v>375</v>
      </c>
      <c r="D826">
        <v>32</v>
      </c>
      <c r="E826" t="s">
        <v>1314</v>
      </c>
    </row>
    <row r="827" spans="1:5" x14ac:dyDescent="0.25">
      <c r="A827" t="s">
        <v>1341</v>
      </c>
      <c r="B827" s="1">
        <v>45200.98541666667</v>
      </c>
      <c r="C827" t="s">
        <v>375</v>
      </c>
      <c r="D827">
        <v>29</v>
      </c>
      <c r="E827" t="s">
        <v>1321</v>
      </c>
    </row>
    <row r="828" spans="1:5" x14ac:dyDescent="0.25">
      <c r="A828" t="s">
        <v>1318</v>
      </c>
      <c r="B828" s="1">
        <v>45209.921527777777</v>
      </c>
      <c r="C828" t="s">
        <v>375</v>
      </c>
      <c r="D828">
        <v>119</v>
      </c>
      <c r="E828" t="s">
        <v>1314</v>
      </c>
    </row>
    <row r="829" spans="1:5" x14ac:dyDescent="0.25">
      <c r="A829" t="s">
        <v>1326</v>
      </c>
      <c r="B829" s="1">
        <v>45220.117361111108</v>
      </c>
      <c r="C829" t="s">
        <v>1595</v>
      </c>
      <c r="D829">
        <v>39</v>
      </c>
      <c r="E829" t="s">
        <v>1314</v>
      </c>
    </row>
    <row r="830" spans="1:5" x14ac:dyDescent="0.25">
      <c r="A830" t="s">
        <v>1341</v>
      </c>
      <c r="B830" s="1">
        <v>45218.558333333334</v>
      </c>
      <c r="C830" t="s">
        <v>1596</v>
      </c>
      <c r="D830">
        <v>54</v>
      </c>
      <c r="E830" t="s">
        <v>1321</v>
      </c>
    </row>
    <row r="831" spans="1:5" x14ac:dyDescent="0.25">
      <c r="A831" t="s">
        <v>1316</v>
      </c>
      <c r="B831" s="1">
        <v>45209.954861111109</v>
      </c>
      <c r="C831" t="s">
        <v>1596</v>
      </c>
      <c r="D831">
        <v>57</v>
      </c>
      <c r="E831" t="s">
        <v>1314</v>
      </c>
    </row>
    <row r="832" spans="1:5" x14ac:dyDescent="0.25">
      <c r="A832" t="s">
        <v>1315</v>
      </c>
      <c r="B832" s="1">
        <v>45227.48333333333</v>
      </c>
      <c r="C832" t="s">
        <v>1597</v>
      </c>
      <c r="D832">
        <v>81</v>
      </c>
      <c r="E832" t="s">
        <v>1312</v>
      </c>
    </row>
    <row r="833" spans="1:5" x14ac:dyDescent="0.25">
      <c r="A833" t="s">
        <v>1315</v>
      </c>
      <c r="B833" s="1">
        <v>45220.94027777778</v>
      </c>
      <c r="C833" t="s">
        <v>1597</v>
      </c>
      <c r="D833">
        <v>33</v>
      </c>
      <c r="E833" t="s">
        <v>1321</v>
      </c>
    </row>
    <row r="834" spans="1:5" x14ac:dyDescent="0.25">
      <c r="A834" t="s">
        <v>1334</v>
      </c>
      <c r="B834" s="1">
        <v>45203.67291666667</v>
      </c>
      <c r="C834" t="s">
        <v>1598</v>
      </c>
      <c r="D834">
        <v>82</v>
      </c>
      <c r="E834" t="s">
        <v>1314</v>
      </c>
    </row>
    <row r="835" spans="1:5" x14ac:dyDescent="0.25">
      <c r="A835" t="s">
        <v>1324</v>
      </c>
      <c r="B835" s="1">
        <v>45205.365972222222</v>
      </c>
      <c r="C835" t="s">
        <v>1599</v>
      </c>
      <c r="D835">
        <v>32</v>
      </c>
      <c r="E835" t="s">
        <v>1314</v>
      </c>
    </row>
    <row r="836" spans="1:5" x14ac:dyDescent="0.25">
      <c r="A836" t="s">
        <v>1318</v>
      </c>
      <c r="B836" s="1">
        <v>45225.061805555553</v>
      </c>
      <c r="C836" t="s">
        <v>1599</v>
      </c>
      <c r="D836">
        <v>15</v>
      </c>
      <c r="E836" t="s">
        <v>1321</v>
      </c>
    </row>
    <row r="837" spans="1:5" x14ac:dyDescent="0.25">
      <c r="A837" t="s">
        <v>1365</v>
      </c>
      <c r="B837" s="1">
        <v>45214.613194444442</v>
      </c>
      <c r="C837" t="s">
        <v>1600</v>
      </c>
      <c r="D837">
        <v>11</v>
      </c>
      <c r="E837" t="s">
        <v>1321</v>
      </c>
    </row>
    <row r="838" spans="1:5" x14ac:dyDescent="0.25">
      <c r="A838" t="s">
        <v>1341</v>
      </c>
      <c r="B838" s="1">
        <v>45215.479166666664</v>
      </c>
      <c r="C838" t="s">
        <v>1600</v>
      </c>
      <c r="D838">
        <v>67</v>
      </c>
      <c r="E838" t="s">
        <v>1321</v>
      </c>
    </row>
    <row r="839" spans="1:5" x14ac:dyDescent="0.25">
      <c r="A839" t="s">
        <v>1343</v>
      </c>
      <c r="B839" s="1">
        <v>45210.280555555553</v>
      </c>
      <c r="C839" t="s">
        <v>256</v>
      </c>
      <c r="D839">
        <v>43</v>
      </c>
      <c r="E839" t="s">
        <v>1312</v>
      </c>
    </row>
    <row r="840" spans="1:5" x14ac:dyDescent="0.25">
      <c r="A840" t="s">
        <v>1313</v>
      </c>
      <c r="B840" s="1">
        <v>45211.904861111114</v>
      </c>
      <c r="C840" t="s">
        <v>256</v>
      </c>
      <c r="D840">
        <v>45</v>
      </c>
      <c r="E840" t="s">
        <v>1321</v>
      </c>
    </row>
    <row r="841" spans="1:5" x14ac:dyDescent="0.25">
      <c r="A841" t="s">
        <v>1336</v>
      </c>
      <c r="B841" s="1">
        <v>45202.095138888886</v>
      </c>
      <c r="C841" t="s">
        <v>1601</v>
      </c>
      <c r="D841">
        <v>61</v>
      </c>
      <c r="E841" t="s">
        <v>1312</v>
      </c>
    </row>
    <row r="842" spans="1:5" x14ac:dyDescent="0.25">
      <c r="A842" t="s">
        <v>1320</v>
      </c>
      <c r="B842" s="1">
        <v>45220.927777777775</v>
      </c>
      <c r="C842" t="s">
        <v>59</v>
      </c>
      <c r="D842">
        <v>22</v>
      </c>
      <c r="E842" t="s">
        <v>1312</v>
      </c>
    </row>
    <row r="843" spans="1:5" x14ac:dyDescent="0.25">
      <c r="A843" t="s">
        <v>1352</v>
      </c>
      <c r="B843" s="1">
        <v>45205.052083333336</v>
      </c>
      <c r="C843" t="s">
        <v>59</v>
      </c>
      <c r="D843">
        <v>81</v>
      </c>
      <c r="E843" t="s">
        <v>1321</v>
      </c>
    </row>
    <row r="844" spans="1:5" x14ac:dyDescent="0.25">
      <c r="A844" t="s">
        <v>1319</v>
      </c>
      <c r="B844" s="1">
        <v>45213.645833333336</v>
      </c>
      <c r="C844" t="s">
        <v>445</v>
      </c>
      <c r="D844">
        <v>95</v>
      </c>
      <c r="E844" t="s">
        <v>1314</v>
      </c>
    </row>
    <row r="845" spans="1:5" x14ac:dyDescent="0.25">
      <c r="A845" t="s">
        <v>1320</v>
      </c>
      <c r="B845" s="1">
        <v>45222.834027777775</v>
      </c>
      <c r="C845" t="s">
        <v>445</v>
      </c>
      <c r="D845">
        <v>109</v>
      </c>
      <c r="E845" t="s">
        <v>1312</v>
      </c>
    </row>
    <row r="846" spans="1:5" x14ac:dyDescent="0.25">
      <c r="A846" t="s">
        <v>1316</v>
      </c>
      <c r="B846" s="1">
        <v>45215.10833333333</v>
      </c>
      <c r="C846" t="s">
        <v>1602</v>
      </c>
      <c r="D846">
        <v>39</v>
      </c>
      <c r="E846" t="s">
        <v>1321</v>
      </c>
    </row>
    <row r="847" spans="1:5" x14ac:dyDescent="0.25">
      <c r="A847" t="s">
        <v>1341</v>
      </c>
      <c r="B847" s="1">
        <v>45214.272916666669</v>
      </c>
      <c r="C847" t="s">
        <v>1602</v>
      </c>
      <c r="D847">
        <v>26</v>
      </c>
      <c r="E847" t="s">
        <v>1312</v>
      </c>
    </row>
    <row r="848" spans="1:5" x14ac:dyDescent="0.25">
      <c r="A848" t="s">
        <v>1322</v>
      </c>
      <c r="B848" s="1">
        <v>45217.944444444445</v>
      </c>
      <c r="C848" t="s">
        <v>1603</v>
      </c>
      <c r="D848">
        <v>33</v>
      </c>
      <c r="E848" t="s">
        <v>1314</v>
      </c>
    </row>
    <row r="849" spans="1:5" x14ac:dyDescent="0.25">
      <c r="A849" t="s">
        <v>1341</v>
      </c>
      <c r="B849" s="1">
        <v>45216.232638888891</v>
      </c>
      <c r="C849" t="s">
        <v>73</v>
      </c>
      <c r="D849">
        <v>11</v>
      </c>
      <c r="E849" t="s">
        <v>1321</v>
      </c>
    </row>
    <row r="850" spans="1:5" x14ac:dyDescent="0.25">
      <c r="A850" t="s">
        <v>1352</v>
      </c>
      <c r="B850" s="1">
        <v>45216.693749999999</v>
      </c>
      <c r="C850" t="s">
        <v>392</v>
      </c>
      <c r="D850">
        <v>24</v>
      </c>
      <c r="E850" t="s">
        <v>1321</v>
      </c>
    </row>
    <row r="851" spans="1:5" x14ac:dyDescent="0.25">
      <c r="A851" t="s">
        <v>1365</v>
      </c>
      <c r="B851" s="1">
        <v>45206.6875</v>
      </c>
      <c r="C851" t="s">
        <v>392</v>
      </c>
      <c r="D851">
        <v>76</v>
      </c>
      <c r="E851" t="s">
        <v>1321</v>
      </c>
    </row>
    <row r="852" spans="1:5" x14ac:dyDescent="0.25">
      <c r="A852" t="s">
        <v>1332</v>
      </c>
      <c r="B852" s="1">
        <v>45209.904861111114</v>
      </c>
      <c r="C852" t="s">
        <v>1604</v>
      </c>
      <c r="D852">
        <v>45</v>
      </c>
      <c r="E852" t="s">
        <v>1321</v>
      </c>
    </row>
    <row r="853" spans="1:5" x14ac:dyDescent="0.25">
      <c r="A853" t="s">
        <v>1339</v>
      </c>
      <c r="B853" s="1">
        <v>45220.428472222222</v>
      </c>
      <c r="C853" t="s">
        <v>1604</v>
      </c>
      <c r="D853">
        <v>26</v>
      </c>
      <c r="E853" t="s">
        <v>1321</v>
      </c>
    </row>
    <row r="854" spans="1:5" x14ac:dyDescent="0.25">
      <c r="A854" t="s">
        <v>1327</v>
      </c>
      <c r="B854" s="1">
        <v>45222.478472222225</v>
      </c>
      <c r="C854" t="s">
        <v>1604</v>
      </c>
      <c r="D854">
        <v>72</v>
      </c>
      <c r="E854" t="s">
        <v>1312</v>
      </c>
    </row>
    <row r="855" spans="1:5" x14ac:dyDescent="0.25">
      <c r="A855" t="s">
        <v>1315</v>
      </c>
      <c r="B855" s="1">
        <v>45227.329861111109</v>
      </c>
      <c r="C855" t="s">
        <v>1604</v>
      </c>
      <c r="D855">
        <v>81</v>
      </c>
      <c r="E855" t="s">
        <v>1312</v>
      </c>
    </row>
    <row r="856" spans="1:5" x14ac:dyDescent="0.25">
      <c r="A856" t="s">
        <v>1341</v>
      </c>
      <c r="B856" s="1">
        <v>45209.581944444442</v>
      </c>
      <c r="C856" t="s">
        <v>1605</v>
      </c>
      <c r="D856">
        <v>93</v>
      </c>
      <c r="E856" t="s">
        <v>1312</v>
      </c>
    </row>
    <row r="857" spans="1:5" x14ac:dyDescent="0.25">
      <c r="A857" t="s">
        <v>1339</v>
      </c>
      <c r="B857" s="1">
        <v>45201.457638888889</v>
      </c>
      <c r="C857" t="s">
        <v>1606</v>
      </c>
      <c r="D857">
        <v>42</v>
      </c>
      <c r="E857" t="s">
        <v>1321</v>
      </c>
    </row>
    <row r="858" spans="1:5" x14ac:dyDescent="0.25">
      <c r="A858" t="s">
        <v>1322</v>
      </c>
      <c r="B858" s="1">
        <v>45221.339583333334</v>
      </c>
      <c r="C858" t="s">
        <v>1607</v>
      </c>
      <c r="D858">
        <v>97</v>
      </c>
      <c r="E858" t="s">
        <v>1312</v>
      </c>
    </row>
    <row r="859" spans="1:5" x14ac:dyDescent="0.25">
      <c r="A859" t="s">
        <v>1327</v>
      </c>
      <c r="B859" s="1">
        <v>45204.84652777778</v>
      </c>
      <c r="C859" t="s">
        <v>1607</v>
      </c>
      <c r="D859">
        <v>16</v>
      </c>
      <c r="E859" t="s">
        <v>1321</v>
      </c>
    </row>
    <row r="860" spans="1:5" x14ac:dyDescent="0.25">
      <c r="A860" t="s">
        <v>1352</v>
      </c>
      <c r="B860" s="1">
        <v>45220.11041666667</v>
      </c>
      <c r="C860" t="s">
        <v>490</v>
      </c>
      <c r="D860">
        <v>111</v>
      </c>
      <c r="E860" t="s">
        <v>1321</v>
      </c>
    </row>
    <row r="861" spans="1:5" x14ac:dyDescent="0.25">
      <c r="A861" t="s">
        <v>1325</v>
      </c>
      <c r="B861" s="1">
        <v>45228.880555555559</v>
      </c>
      <c r="C861" t="s">
        <v>490</v>
      </c>
      <c r="D861">
        <v>112</v>
      </c>
      <c r="E861" t="s">
        <v>1321</v>
      </c>
    </row>
    <row r="862" spans="1:5" x14ac:dyDescent="0.25">
      <c r="A862" t="s">
        <v>1336</v>
      </c>
      <c r="B862" s="1">
        <v>45213.328472222223</v>
      </c>
      <c r="C862" t="s">
        <v>1608</v>
      </c>
      <c r="D862">
        <v>22</v>
      </c>
      <c r="E862" t="s">
        <v>1321</v>
      </c>
    </row>
    <row r="863" spans="1:5" x14ac:dyDescent="0.25">
      <c r="A863" t="s">
        <v>1343</v>
      </c>
      <c r="B863" s="1">
        <v>45210.054166666669</v>
      </c>
      <c r="C863" t="s">
        <v>1609</v>
      </c>
      <c r="D863">
        <v>68</v>
      </c>
      <c r="E863" t="s">
        <v>1321</v>
      </c>
    </row>
    <row r="864" spans="1:5" x14ac:dyDescent="0.25">
      <c r="A864" t="s">
        <v>1343</v>
      </c>
      <c r="B864" s="1">
        <v>45227.839583333334</v>
      </c>
      <c r="C864" t="s">
        <v>1610</v>
      </c>
      <c r="D864">
        <v>94</v>
      </c>
      <c r="E864" t="s">
        <v>1321</v>
      </c>
    </row>
    <row r="865" spans="1:5" x14ac:dyDescent="0.25">
      <c r="A865" t="s">
        <v>1322</v>
      </c>
      <c r="B865" s="1">
        <v>45200.67083333333</v>
      </c>
      <c r="C865" t="s">
        <v>420</v>
      </c>
      <c r="D865">
        <v>74</v>
      </c>
      <c r="E865" t="s">
        <v>1321</v>
      </c>
    </row>
    <row r="866" spans="1:5" x14ac:dyDescent="0.25">
      <c r="A866" t="s">
        <v>1339</v>
      </c>
      <c r="B866" s="1">
        <v>45211.106249999997</v>
      </c>
      <c r="C866" t="s">
        <v>135</v>
      </c>
      <c r="D866">
        <v>107</v>
      </c>
      <c r="E866" t="s">
        <v>1314</v>
      </c>
    </row>
    <row r="867" spans="1:5" x14ac:dyDescent="0.25">
      <c r="A867" t="s">
        <v>1313</v>
      </c>
      <c r="B867" s="1">
        <v>45227.660416666666</v>
      </c>
      <c r="C867" t="s">
        <v>135</v>
      </c>
      <c r="D867">
        <v>67</v>
      </c>
      <c r="E867" t="s">
        <v>1321</v>
      </c>
    </row>
    <row r="868" spans="1:5" x14ac:dyDescent="0.25">
      <c r="A868" t="s">
        <v>1326</v>
      </c>
      <c r="B868" s="1">
        <v>45211.234722222223</v>
      </c>
      <c r="C868" t="s">
        <v>177</v>
      </c>
      <c r="D868">
        <v>62</v>
      </c>
      <c r="E868" t="s">
        <v>1321</v>
      </c>
    </row>
    <row r="869" spans="1:5" x14ac:dyDescent="0.25">
      <c r="A869" t="s">
        <v>1359</v>
      </c>
      <c r="B869" s="1">
        <v>45200.493055555555</v>
      </c>
      <c r="C869" t="s">
        <v>481</v>
      </c>
      <c r="D869">
        <v>113</v>
      </c>
      <c r="E869" t="s">
        <v>1314</v>
      </c>
    </row>
    <row r="870" spans="1:5" x14ac:dyDescent="0.25">
      <c r="A870" t="s">
        <v>1327</v>
      </c>
      <c r="B870" s="1">
        <v>45220.469444444447</v>
      </c>
      <c r="C870" t="s">
        <v>481</v>
      </c>
      <c r="D870">
        <v>17</v>
      </c>
      <c r="E870" t="s">
        <v>1312</v>
      </c>
    </row>
    <row r="871" spans="1:5" x14ac:dyDescent="0.25">
      <c r="A871" t="s">
        <v>1336</v>
      </c>
      <c r="B871" s="1">
        <v>45207.772916666669</v>
      </c>
      <c r="C871" t="s">
        <v>1611</v>
      </c>
      <c r="D871">
        <v>55</v>
      </c>
      <c r="E871" t="s">
        <v>1312</v>
      </c>
    </row>
    <row r="872" spans="1:5" x14ac:dyDescent="0.25">
      <c r="A872" t="s">
        <v>1336</v>
      </c>
      <c r="B872" s="1">
        <v>45205.89166666667</v>
      </c>
      <c r="C872" t="s">
        <v>1611</v>
      </c>
      <c r="D872">
        <v>45</v>
      </c>
      <c r="E872" t="s">
        <v>1312</v>
      </c>
    </row>
    <row r="873" spans="1:5" x14ac:dyDescent="0.25">
      <c r="A873" t="s">
        <v>1323</v>
      </c>
      <c r="B873" s="1">
        <v>45211.705555555556</v>
      </c>
      <c r="C873" t="s">
        <v>1611</v>
      </c>
      <c r="D873">
        <v>95</v>
      </c>
      <c r="E873" t="s">
        <v>1312</v>
      </c>
    </row>
    <row r="874" spans="1:5" x14ac:dyDescent="0.25">
      <c r="A874" t="s">
        <v>1336</v>
      </c>
      <c r="B874" s="1">
        <v>45203.003472222219</v>
      </c>
      <c r="C874" t="s">
        <v>1612</v>
      </c>
      <c r="D874">
        <v>46</v>
      </c>
      <c r="E874" t="s">
        <v>1312</v>
      </c>
    </row>
    <row r="875" spans="1:5" x14ac:dyDescent="0.25">
      <c r="A875" t="s">
        <v>1316</v>
      </c>
      <c r="B875" s="1">
        <v>45210.802777777775</v>
      </c>
      <c r="C875" t="s">
        <v>1613</v>
      </c>
      <c r="D875">
        <v>9</v>
      </c>
      <c r="E875" t="s">
        <v>1312</v>
      </c>
    </row>
    <row r="876" spans="1:5" x14ac:dyDescent="0.25">
      <c r="A876" t="s">
        <v>1353</v>
      </c>
      <c r="B876" s="1">
        <v>45221.578472222223</v>
      </c>
      <c r="C876" t="s">
        <v>1613</v>
      </c>
      <c r="D876">
        <v>76</v>
      </c>
      <c r="E876" t="s">
        <v>1321</v>
      </c>
    </row>
    <row r="877" spans="1:5" x14ac:dyDescent="0.25">
      <c r="A877" t="s">
        <v>1344</v>
      </c>
      <c r="B877" s="1">
        <v>45212.774305555555</v>
      </c>
      <c r="C877" t="s">
        <v>1614</v>
      </c>
      <c r="D877">
        <v>33</v>
      </c>
      <c r="E877" t="s">
        <v>1314</v>
      </c>
    </row>
    <row r="878" spans="1:5" x14ac:dyDescent="0.25">
      <c r="A878" t="s">
        <v>1332</v>
      </c>
      <c r="B878" s="1">
        <v>45207.57916666667</v>
      </c>
      <c r="C878" t="s">
        <v>318</v>
      </c>
      <c r="D878">
        <v>68</v>
      </c>
      <c r="E878" t="s">
        <v>1314</v>
      </c>
    </row>
    <row r="879" spans="1:5" x14ac:dyDescent="0.25">
      <c r="A879" t="s">
        <v>1339</v>
      </c>
      <c r="B879" s="1">
        <v>45218.991666666669</v>
      </c>
      <c r="C879" t="s">
        <v>318</v>
      </c>
      <c r="D879">
        <v>82</v>
      </c>
      <c r="E879" t="s">
        <v>1314</v>
      </c>
    </row>
    <row r="880" spans="1:5" x14ac:dyDescent="0.25">
      <c r="A880" t="s">
        <v>1352</v>
      </c>
      <c r="B880" s="1">
        <v>45227.915277777778</v>
      </c>
      <c r="C880" t="s">
        <v>318</v>
      </c>
      <c r="D880">
        <v>26</v>
      </c>
      <c r="E880" t="s">
        <v>1312</v>
      </c>
    </row>
    <row r="881" spans="1:5" x14ac:dyDescent="0.25">
      <c r="A881" t="s">
        <v>1324</v>
      </c>
      <c r="B881" s="1">
        <v>45218.287499999999</v>
      </c>
      <c r="C881" t="s">
        <v>1615</v>
      </c>
      <c r="D881">
        <v>71</v>
      </c>
      <c r="E881" t="s">
        <v>1321</v>
      </c>
    </row>
    <row r="882" spans="1:5" x14ac:dyDescent="0.25">
      <c r="A882" t="s">
        <v>1323</v>
      </c>
      <c r="B882" s="1">
        <v>45223.252083333333</v>
      </c>
      <c r="C882" t="s">
        <v>102</v>
      </c>
      <c r="D882">
        <v>12</v>
      </c>
      <c r="E882" t="s">
        <v>1312</v>
      </c>
    </row>
    <row r="883" spans="1:5" x14ac:dyDescent="0.25">
      <c r="A883" t="s">
        <v>1343</v>
      </c>
      <c r="B883" s="1">
        <v>45222.353472222225</v>
      </c>
      <c r="C883" t="s">
        <v>102</v>
      </c>
      <c r="D883">
        <v>101</v>
      </c>
      <c r="E883" t="s">
        <v>1312</v>
      </c>
    </row>
    <row r="884" spans="1:5" x14ac:dyDescent="0.25">
      <c r="A884" t="s">
        <v>1311</v>
      </c>
      <c r="B884" s="1">
        <v>45214.740972222222</v>
      </c>
      <c r="C884" t="s">
        <v>102</v>
      </c>
      <c r="D884">
        <v>8</v>
      </c>
      <c r="E884" t="s">
        <v>1314</v>
      </c>
    </row>
    <row r="885" spans="1:5" x14ac:dyDescent="0.25">
      <c r="A885" t="s">
        <v>1344</v>
      </c>
      <c r="B885" s="1">
        <v>45207.472222222219</v>
      </c>
      <c r="C885" t="s">
        <v>1616</v>
      </c>
      <c r="D885">
        <v>30</v>
      </c>
      <c r="E885" t="s">
        <v>1321</v>
      </c>
    </row>
    <row r="886" spans="1:5" x14ac:dyDescent="0.25">
      <c r="A886" t="s">
        <v>1352</v>
      </c>
      <c r="B886" s="1">
        <v>45226.37777777778</v>
      </c>
      <c r="C886" t="s">
        <v>252</v>
      </c>
      <c r="D886">
        <v>74</v>
      </c>
      <c r="E886" t="s">
        <v>1321</v>
      </c>
    </row>
    <row r="887" spans="1:5" x14ac:dyDescent="0.25">
      <c r="A887" t="s">
        <v>1311</v>
      </c>
      <c r="B887" s="1">
        <v>45221.549305555556</v>
      </c>
      <c r="C887" t="s">
        <v>1617</v>
      </c>
      <c r="D887">
        <v>39</v>
      </c>
      <c r="E887" t="s">
        <v>1312</v>
      </c>
    </row>
    <row r="888" spans="1:5" x14ac:dyDescent="0.25">
      <c r="A888" t="s">
        <v>1323</v>
      </c>
      <c r="B888" s="1">
        <v>45207.342361111114</v>
      </c>
      <c r="C888" t="s">
        <v>54</v>
      </c>
      <c r="D888">
        <v>28</v>
      </c>
      <c r="E888" t="s">
        <v>1314</v>
      </c>
    </row>
    <row r="889" spans="1:5" x14ac:dyDescent="0.25">
      <c r="A889" t="s">
        <v>1334</v>
      </c>
      <c r="B889" s="1">
        <v>45210.836111111108</v>
      </c>
      <c r="C889" t="s">
        <v>1618</v>
      </c>
      <c r="D889">
        <v>25</v>
      </c>
      <c r="E889" t="s">
        <v>1321</v>
      </c>
    </row>
    <row r="890" spans="1:5" x14ac:dyDescent="0.25">
      <c r="A890" t="s">
        <v>1323</v>
      </c>
      <c r="B890" s="1">
        <v>45210.39166666667</v>
      </c>
      <c r="C890" t="s">
        <v>210</v>
      </c>
      <c r="D890">
        <v>85</v>
      </c>
      <c r="E890" t="s">
        <v>1312</v>
      </c>
    </row>
    <row r="891" spans="1:5" x14ac:dyDescent="0.25">
      <c r="A891" t="s">
        <v>1365</v>
      </c>
      <c r="B891" s="1">
        <v>45208.072916666664</v>
      </c>
      <c r="C891" t="s">
        <v>210</v>
      </c>
      <c r="D891">
        <v>68</v>
      </c>
      <c r="E891" t="s">
        <v>1314</v>
      </c>
    </row>
    <row r="892" spans="1:5" x14ac:dyDescent="0.25">
      <c r="A892" t="s">
        <v>1336</v>
      </c>
      <c r="B892" s="1">
        <v>45211.04583333333</v>
      </c>
      <c r="C892" t="s">
        <v>174</v>
      </c>
      <c r="D892">
        <v>18</v>
      </c>
      <c r="E892" t="s">
        <v>1321</v>
      </c>
    </row>
    <row r="893" spans="1:5" x14ac:dyDescent="0.25">
      <c r="A893" t="s">
        <v>1341</v>
      </c>
      <c r="B893" s="1">
        <v>45222.188888888886</v>
      </c>
      <c r="C893" t="s">
        <v>174</v>
      </c>
      <c r="D893">
        <v>33</v>
      </c>
      <c r="E893" t="s">
        <v>1314</v>
      </c>
    </row>
    <row r="894" spans="1:5" x14ac:dyDescent="0.25">
      <c r="A894" t="s">
        <v>1352</v>
      </c>
      <c r="B894" s="1">
        <v>45217.89166666667</v>
      </c>
      <c r="C894" t="s">
        <v>174</v>
      </c>
      <c r="D894">
        <v>108</v>
      </c>
      <c r="E894" t="s">
        <v>1321</v>
      </c>
    </row>
    <row r="895" spans="1:5" x14ac:dyDescent="0.25">
      <c r="A895" t="s">
        <v>1313</v>
      </c>
      <c r="B895" s="1">
        <v>45223.759722222225</v>
      </c>
      <c r="C895" t="s">
        <v>174</v>
      </c>
      <c r="D895">
        <v>78</v>
      </c>
      <c r="E895" t="s">
        <v>1312</v>
      </c>
    </row>
    <row r="896" spans="1:5" x14ac:dyDescent="0.25">
      <c r="A896" t="s">
        <v>1336</v>
      </c>
      <c r="B896" s="1">
        <v>45224.115277777775</v>
      </c>
      <c r="C896" t="s">
        <v>530</v>
      </c>
      <c r="D896">
        <v>45</v>
      </c>
      <c r="E896" t="s">
        <v>1312</v>
      </c>
    </row>
    <row r="897" spans="1:5" x14ac:dyDescent="0.25">
      <c r="A897" t="s">
        <v>1344</v>
      </c>
      <c r="B897" s="1">
        <v>45228.563194444447</v>
      </c>
      <c r="C897" t="s">
        <v>530</v>
      </c>
      <c r="D897">
        <v>44</v>
      </c>
      <c r="E897" t="s">
        <v>1314</v>
      </c>
    </row>
    <row r="898" spans="1:5" x14ac:dyDescent="0.25">
      <c r="A898" t="s">
        <v>1347</v>
      </c>
      <c r="B898" s="1">
        <v>45225.949305555558</v>
      </c>
      <c r="C898" t="s">
        <v>1619</v>
      </c>
      <c r="D898">
        <v>117</v>
      </c>
      <c r="E898" t="s">
        <v>1314</v>
      </c>
    </row>
    <row r="899" spans="1:5" x14ac:dyDescent="0.25">
      <c r="A899" t="s">
        <v>1341</v>
      </c>
      <c r="B899" s="1">
        <v>45221.559027777781</v>
      </c>
      <c r="C899" t="s">
        <v>270</v>
      </c>
      <c r="D899">
        <v>22</v>
      </c>
      <c r="E899" t="s">
        <v>1314</v>
      </c>
    </row>
    <row r="900" spans="1:5" x14ac:dyDescent="0.25">
      <c r="A900" t="s">
        <v>1341</v>
      </c>
      <c r="B900" s="1">
        <v>45213.593055555553</v>
      </c>
      <c r="C900" t="s">
        <v>1620</v>
      </c>
      <c r="D900">
        <v>50</v>
      </c>
      <c r="E900" t="s">
        <v>1321</v>
      </c>
    </row>
    <row r="901" spans="1:5" x14ac:dyDescent="0.25">
      <c r="A901" t="s">
        <v>1318</v>
      </c>
      <c r="B901" s="1">
        <v>45219.106249999997</v>
      </c>
      <c r="C901" t="s">
        <v>1620</v>
      </c>
      <c r="D901">
        <v>87</v>
      </c>
      <c r="E901" t="s">
        <v>1312</v>
      </c>
    </row>
    <row r="902" spans="1:5" x14ac:dyDescent="0.25">
      <c r="A902" t="s">
        <v>1316</v>
      </c>
      <c r="B902" s="1">
        <v>45207.149305555555</v>
      </c>
      <c r="C902" t="s">
        <v>374</v>
      </c>
      <c r="D902">
        <v>101</v>
      </c>
      <c r="E902" t="s">
        <v>1321</v>
      </c>
    </row>
    <row r="903" spans="1:5" x14ac:dyDescent="0.25">
      <c r="A903" t="s">
        <v>1343</v>
      </c>
      <c r="B903" s="1">
        <v>45209.898611111108</v>
      </c>
      <c r="C903" t="s">
        <v>374</v>
      </c>
      <c r="D903">
        <v>29</v>
      </c>
      <c r="E903" t="s">
        <v>1312</v>
      </c>
    </row>
    <row r="904" spans="1:5" x14ac:dyDescent="0.25">
      <c r="A904" t="s">
        <v>1324</v>
      </c>
      <c r="B904" s="1">
        <v>45208.52847222222</v>
      </c>
      <c r="C904" t="s">
        <v>374</v>
      </c>
      <c r="D904">
        <v>33</v>
      </c>
      <c r="E904" t="s">
        <v>1312</v>
      </c>
    </row>
    <row r="905" spans="1:5" x14ac:dyDescent="0.25">
      <c r="A905" t="s">
        <v>1313</v>
      </c>
      <c r="B905" s="1">
        <v>45227.897916666669</v>
      </c>
      <c r="C905" t="s">
        <v>249</v>
      </c>
      <c r="D905">
        <v>61</v>
      </c>
      <c r="E905" t="s">
        <v>1314</v>
      </c>
    </row>
    <row r="906" spans="1:5" x14ac:dyDescent="0.25">
      <c r="A906" t="s">
        <v>1313</v>
      </c>
      <c r="B906" s="1">
        <v>45230.595138888886</v>
      </c>
      <c r="C906" t="s">
        <v>249</v>
      </c>
      <c r="D906">
        <v>14</v>
      </c>
      <c r="E906" t="s">
        <v>1314</v>
      </c>
    </row>
    <row r="907" spans="1:5" x14ac:dyDescent="0.25">
      <c r="A907" t="s">
        <v>1323</v>
      </c>
      <c r="B907" s="1">
        <v>45217.863194444442</v>
      </c>
      <c r="C907" t="s">
        <v>1621</v>
      </c>
      <c r="D907">
        <v>89</v>
      </c>
      <c r="E907" t="s">
        <v>1314</v>
      </c>
    </row>
    <row r="908" spans="1:5" x14ac:dyDescent="0.25">
      <c r="A908" t="s">
        <v>1341</v>
      </c>
      <c r="B908" s="1">
        <v>45230.847222222219</v>
      </c>
      <c r="C908" t="s">
        <v>150</v>
      </c>
      <c r="D908">
        <v>58</v>
      </c>
      <c r="E908" t="s">
        <v>1321</v>
      </c>
    </row>
    <row r="909" spans="1:5" x14ac:dyDescent="0.25">
      <c r="A909" t="s">
        <v>1319</v>
      </c>
      <c r="B909" s="1">
        <v>45207.102777777778</v>
      </c>
      <c r="C909" t="s">
        <v>150</v>
      </c>
      <c r="D909">
        <v>41</v>
      </c>
      <c r="E909" t="s">
        <v>1314</v>
      </c>
    </row>
    <row r="910" spans="1:5" x14ac:dyDescent="0.25">
      <c r="A910" t="s">
        <v>1325</v>
      </c>
      <c r="B910" s="1">
        <v>45220.96875</v>
      </c>
      <c r="C910" t="s">
        <v>1622</v>
      </c>
      <c r="D910">
        <v>103</v>
      </c>
      <c r="E910" t="s">
        <v>1314</v>
      </c>
    </row>
    <row r="911" spans="1:5" x14ac:dyDescent="0.25">
      <c r="A911" t="s">
        <v>1343</v>
      </c>
      <c r="B911" s="1">
        <v>45207.611111111109</v>
      </c>
      <c r="C911" t="s">
        <v>1622</v>
      </c>
      <c r="D911">
        <v>107</v>
      </c>
      <c r="E911" t="s">
        <v>1312</v>
      </c>
    </row>
    <row r="912" spans="1:5" x14ac:dyDescent="0.25">
      <c r="A912" t="s">
        <v>1365</v>
      </c>
      <c r="B912" s="1">
        <v>45213.112500000003</v>
      </c>
      <c r="C912" t="s">
        <v>1622</v>
      </c>
      <c r="D912">
        <v>93</v>
      </c>
      <c r="E912" t="s">
        <v>1314</v>
      </c>
    </row>
    <row r="913" spans="1:5" x14ac:dyDescent="0.25">
      <c r="A913" t="s">
        <v>1315</v>
      </c>
      <c r="B913" s="1">
        <v>45226.07708333333</v>
      </c>
      <c r="C913" t="s">
        <v>281</v>
      </c>
      <c r="D913">
        <v>101</v>
      </c>
      <c r="E913" t="s">
        <v>1314</v>
      </c>
    </row>
    <row r="914" spans="1:5" x14ac:dyDescent="0.25">
      <c r="A914" t="s">
        <v>1336</v>
      </c>
      <c r="B914" s="1">
        <v>45219.826388888891</v>
      </c>
      <c r="C914" t="s">
        <v>281</v>
      </c>
      <c r="D914">
        <v>93</v>
      </c>
      <c r="E914" t="s">
        <v>1321</v>
      </c>
    </row>
    <row r="915" spans="1:5" x14ac:dyDescent="0.25">
      <c r="A915" t="s">
        <v>1332</v>
      </c>
      <c r="B915" s="1">
        <v>45221.928472222222</v>
      </c>
      <c r="C915" t="s">
        <v>281</v>
      </c>
      <c r="D915">
        <v>21</v>
      </c>
      <c r="E915" t="s">
        <v>1314</v>
      </c>
    </row>
    <row r="916" spans="1:5" x14ac:dyDescent="0.25">
      <c r="A916" t="s">
        <v>1319</v>
      </c>
      <c r="B916" s="1">
        <v>45221.775000000001</v>
      </c>
      <c r="C916" t="s">
        <v>152</v>
      </c>
      <c r="D916">
        <v>24</v>
      </c>
      <c r="E916" t="s">
        <v>1314</v>
      </c>
    </row>
    <row r="917" spans="1:5" x14ac:dyDescent="0.25">
      <c r="A917" t="s">
        <v>1318</v>
      </c>
      <c r="B917" s="1">
        <v>45205.529861111114</v>
      </c>
      <c r="C917" t="s">
        <v>152</v>
      </c>
      <c r="D917">
        <v>74</v>
      </c>
      <c r="E917" t="s">
        <v>1312</v>
      </c>
    </row>
    <row r="918" spans="1:5" x14ac:dyDescent="0.25">
      <c r="A918" t="s">
        <v>1352</v>
      </c>
      <c r="B918" s="1">
        <v>45230.997916666667</v>
      </c>
      <c r="C918" t="s">
        <v>165</v>
      </c>
      <c r="D918">
        <v>72</v>
      </c>
      <c r="E918" t="s">
        <v>1321</v>
      </c>
    </row>
    <row r="919" spans="1:5" x14ac:dyDescent="0.25">
      <c r="A919" t="s">
        <v>1311</v>
      </c>
      <c r="B919" s="1">
        <v>45215.01666666667</v>
      </c>
      <c r="C919" t="s">
        <v>1623</v>
      </c>
      <c r="D919">
        <v>35</v>
      </c>
      <c r="E919" t="s">
        <v>1312</v>
      </c>
    </row>
    <row r="920" spans="1:5" x14ac:dyDescent="0.25">
      <c r="A920" t="s">
        <v>1343</v>
      </c>
      <c r="B920" s="1">
        <v>45210.979166666664</v>
      </c>
      <c r="C920" t="s">
        <v>1624</v>
      </c>
      <c r="D920">
        <v>114</v>
      </c>
      <c r="E920" t="s">
        <v>1321</v>
      </c>
    </row>
    <row r="921" spans="1:5" x14ac:dyDescent="0.25">
      <c r="A921" t="s">
        <v>1324</v>
      </c>
      <c r="B921" s="1">
        <v>45226.388194444444</v>
      </c>
      <c r="C921" t="s">
        <v>1625</v>
      </c>
      <c r="D921">
        <v>115</v>
      </c>
      <c r="E921" t="s">
        <v>1321</v>
      </c>
    </row>
    <row r="922" spans="1:5" x14ac:dyDescent="0.25">
      <c r="A922" t="s">
        <v>1344</v>
      </c>
      <c r="B922" s="1">
        <v>45201.519444444442</v>
      </c>
      <c r="C922" t="s">
        <v>1626</v>
      </c>
      <c r="D922">
        <v>113</v>
      </c>
      <c r="E922" t="s">
        <v>1321</v>
      </c>
    </row>
    <row r="923" spans="1:5" x14ac:dyDescent="0.25">
      <c r="A923" t="s">
        <v>1365</v>
      </c>
      <c r="B923" s="1">
        <v>45209.268750000003</v>
      </c>
      <c r="C923" t="s">
        <v>1626</v>
      </c>
      <c r="D923">
        <v>94</v>
      </c>
      <c r="E923" t="s">
        <v>1312</v>
      </c>
    </row>
    <row r="924" spans="1:5" x14ac:dyDescent="0.25">
      <c r="A924" t="s">
        <v>1315</v>
      </c>
      <c r="B924" s="1">
        <v>45212.140277777777</v>
      </c>
      <c r="C924" t="s">
        <v>16</v>
      </c>
      <c r="D924">
        <v>19</v>
      </c>
      <c r="E924" t="s">
        <v>1312</v>
      </c>
    </row>
    <row r="925" spans="1:5" x14ac:dyDescent="0.25">
      <c r="A925" t="s">
        <v>1324</v>
      </c>
      <c r="B925" s="1">
        <v>45211.01458333333</v>
      </c>
      <c r="C925" t="s">
        <v>1627</v>
      </c>
      <c r="D925">
        <v>7</v>
      </c>
      <c r="E925" t="s">
        <v>1321</v>
      </c>
    </row>
    <row r="926" spans="1:5" x14ac:dyDescent="0.25">
      <c r="A926" t="s">
        <v>1322</v>
      </c>
      <c r="B926" s="1">
        <v>45230.90625</v>
      </c>
      <c r="C926" t="s">
        <v>1627</v>
      </c>
      <c r="D926">
        <v>87</v>
      </c>
      <c r="E926" t="s">
        <v>1314</v>
      </c>
    </row>
    <row r="927" spans="1:5" x14ac:dyDescent="0.25">
      <c r="A927" t="s">
        <v>1313</v>
      </c>
      <c r="B927" s="1">
        <v>45210.689583333333</v>
      </c>
      <c r="C927" t="s">
        <v>207</v>
      </c>
      <c r="D927">
        <v>16</v>
      </c>
      <c r="E927" t="s">
        <v>1314</v>
      </c>
    </row>
    <row r="928" spans="1:5" x14ac:dyDescent="0.25">
      <c r="A928" t="s">
        <v>1332</v>
      </c>
      <c r="B928" s="1">
        <v>45204.986111111109</v>
      </c>
      <c r="C928" t="s">
        <v>207</v>
      </c>
      <c r="D928">
        <v>76</v>
      </c>
      <c r="E928" t="s">
        <v>1312</v>
      </c>
    </row>
    <row r="929" spans="1:5" x14ac:dyDescent="0.25">
      <c r="A929" t="s">
        <v>1347</v>
      </c>
      <c r="B929" s="1">
        <v>45225.553472222222</v>
      </c>
      <c r="C929" t="s">
        <v>1628</v>
      </c>
      <c r="D929">
        <v>120</v>
      </c>
      <c r="E929" t="s">
        <v>1314</v>
      </c>
    </row>
    <row r="930" spans="1:5" x14ac:dyDescent="0.25">
      <c r="A930" t="s">
        <v>1322</v>
      </c>
      <c r="B930" s="1">
        <v>45219.95</v>
      </c>
      <c r="C930" t="s">
        <v>1629</v>
      </c>
      <c r="D930">
        <v>45</v>
      </c>
      <c r="E930" t="s">
        <v>1321</v>
      </c>
    </row>
    <row r="931" spans="1:5" x14ac:dyDescent="0.25">
      <c r="A931" t="s">
        <v>1352</v>
      </c>
      <c r="B931" s="1">
        <v>45211.382638888892</v>
      </c>
      <c r="C931" t="s">
        <v>1629</v>
      </c>
      <c r="D931">
        <v>105</v>
      </c>
      <c r="E931" t="s">
        <v>1314</v>
      </c>
    </row>
    <row r="932" spans="1:5" x14ac:dyDescent="0.25">
      <c r="A932" t="s">
        <v>1319</v>
      </c>
      <c r="B932" s="1">
        <v>45223.45208333333</v>
      </c>
      <c r="C932" t="s">
        <v>1629</v>
      </c>
      <c r="D932">
        <v>117</v>
      </c>
      <c r="E932" t="s">
        <v>1321</v>
      </c>
    </row>
    <row r="933" spans="1:5" x14ac:dyDescent="0.25">
      <c r="A933" t="s">
        <v>1327</v>
      </c>
      <c r="B933" s="1">
        <v>45221.931944444441</v>
      </c>
      <c r="C933" t="s">
        <v>1630</v>
      </c>
      <c r="D933">
        <v>26</v>
      </c>
      <c r="E933" t="s">
        <v>1314</v>
      </c>
    </row>
    <row r="934" spans="1:5" x14ac:dyDescent="0.25">
      <c r="A934" t="s">
        <v>1327</v>
      </c>
      <c r="B934" s="1">
        <v>45223.611111111109</v>
      </c>
      <c r="C934" t="s">
        <v>101</v>
      </c>
      <c r="D934">
        <v>88</v>
      </c>
      <c r="E934" t="s">
        <v>1314</v>
      </c>
    </row>
    <row r="935" spans="1:5" x14ac:dyDescent="0.25">
      <c r="A935" t="s">
        <v>1323</v>
      </c>
      <c r="B935" s="1">
        <v>45210.366666666669</v>
      </c>
      <c r="C935" t="s">
        <v>101</v>
      </c>
      <c r="D935">
        <v>67</v>
      </c>
      <c r="E935" t="s">
        <v>1312</v>
      </c>
    </row>
    <row r="936" spans="1:5" x14ac:dyDescent="0.25">
      <c r="A936" t="s">
        <v>1336</v>
      </c>
      <c r="B936" s="1">
        <v>45228.747916666667</v>
      </c>
      <c r="C936" t="s">
        <v>101</v>
      </c>
      <c r="D936">
        <v>27</v>
      </c>
      <c r="E936" t="s">
        <v>1314</v>
      </c>
    </row>
    <row r="937" spans="1:5" x14ac:dyDescent="0.25">
      <c r="A937" t="s">
        <v>1339</v>
      </c>
      <c r="B937" s="1">
        <v>45222.584722222222</v>
      </c>
      <c r="C937" t="s">
        <v>48</v>
      </c>
      <c r="D937">
        <v>15</v>
      </c>
      <c r="E937" t="s">
        <v>1321</v>
      </c>
    </row>
    <row r="938" spans="1:5" x14ac:dyDescent="0.25">
      <c r="A938" t="s">
        <v>1353</v>
      </c>
      <c r="B938" s="1">
        <v>45226.115972222222</v>
      </c>
      <c r="C938" t="s">
        <v>422</v>
      </c>
      <c r="D938">
        <v>5</v>
      </c>
      <c r="E938" t="s">
        <v>1321</v>
      </c>
    </row>
    <row r="939" spans="1:5" x14ac:dyDescent="0.25">
      <c r="A939" t="s">
        <v>1352</v>
      </c>
      <c r="B939" s="1">
        <v>45230.633333333331</v>
      </c>
      <c r="C939" t="s">
        <v>422</v>
      </c>
      <c r="D939">
        <v>34</v>
      </c>
      <c r="E939" t="s">
        <v>1314</v>
      </c>
    </row>
    <row r="940" spans="1:5" x14ac:dyDescent="0.25">
      <c r="A940" t="s">
        <v>1353</v>
      </c>
      <c r="B940" s="1">
        <v>45226.955555555556</v>
      </c>
      <c r="C940" t="s">
        <v>1631</v>
      </c>
      <c r="D940">
        <v>20</v>
      </c>
      <c r="E940" t="s">
        <v>1312</v>
      </c>
    </row>
    <row r="941" spans="1:5" x14ac:dyDescent="0.25">
      <c r="A941" t="s">
        <v>1319</v>
      </c>
      <c r="B941" s="1">
        <v>45225.660416666666</v>
      </c>
      <c r="C941" t="s">
        <v>1632</v>
      </c>
      <c r="D941">
        <v>14</v>
      </c>
      <c r="E941" t="s">
        <v>1314</v>
      </c>
    </row>
    <row r="942" spans="1:5" x14ac:dyDescent="0.25">
      <c r="A942" t="s">
        <v>1359</v>
      </c>
      <c r="B942" s="1">
        <v>45208.047222222223</v>
      </c>
      <c r="C942" t="s">
        <v>1632</v>
      </c>
      <c r="D942">
        <v>92</v>
      </c>
      <c r="E942" t="s">
        <v>1321</v>
      </c>
    </row>
    <row r="943" spans="1:5" x14ac:dyDescent="0.25">
      <c r="A943" t="s">
        <v>1344</v>
      </c>
      <c r="B943" s="1">
        <v>45213.210416666669</v>
      </c>
      <c r="C943" t="s">
        <v>541</v>
      </c>
      <c r="D943">
        <v>28</v>
      </c>
      <c r="E943" t="s">
        <v>1321</v>
      </c>
    </row>
    <row r="944" spans="1:5" x14ac:dyDescent="0.25">
      <c r="A944" t="s">
        <v>1318</v>
      </c>
      <c r="B944" s="1">
        <v>45203.213888888888</v>
      </c>
      <c r="C944" t="s">
        <v>354</v>
      </c>
      <c r="D944">
        <v>5</v>
      </c>
      <c r="E944" t="s">
        <v>1314</v>
      </c>
    </row>
    <row r="945" spans="1:5" x14ac:dyDescent="0.25">
      <c r="A945" t="s">
        <v>1327</v>
      </c>
      <c r="B945" s="1">
        <v>45224.195138888892</v>
      </c>
      <c r="C945" t="s">
        <v>271</v>
      </c>
      <c r="D945">
        <v>81</v>
      </c>
      <c r="E945" t="s">
        <v>1312</v>
      </c>
    </row>
    <row r="946" spans="1:5" x14ac:dyDescent="0.25">
      <c r="A946" t="s">
        <v>1341</v>
      </c>
      <c r="B946" s="1">
        <v>45203.224305555559</v>
      </c>
      <c r="C946" t="s">
        <v>164</v>
      </c>
      <c r="D946">
        <v>102</v>
      </c>
      <c r="E946" t="s">
        <v>1321</v>
      </c>
    </row>
    <row r="947" spans="1:5" x14ac:dyDescent="0.25">
      <c r="A947" t="s">
        <v>1324</v>
      </c>
      <c r="B947" s="1">
        <v>45218.007638888892</v>
      </c>
      <c r="C947" t="s">
        <v>164</v>
      </c>
      <c r="D947">
        <v>44</v>
      </c>
      <c r="E947" t="s">
        <v>1312</v>
      </c>
    </row>
    <row r="948" spans="1:5" x14ac:dyDescent="0.25">
      <c r="A948" t="s">
        <v>1365</v>
      </c>
      <c r="B948" s="1">
        <v>45217.175000000003</v>
      </c>
      <c r="C948" t="s">
        <v>164</v>
      </c>
      <c r="D948">
        <v>18</v>
      </c>
      <c r="E948" t="s">
        <v>1321</v>
      </c>
    </row>
    <row r="949" spans="1:5" x14ac:dyDescent="0.25">
      <c r="A949" t="s">
        <v>1334</v>
      </c>
      <c r="B949" s="1">
        <v>45211.73333333333</v>
      </c>
      <c r="C949" t="s">
        <v>1633</v>
      </c>
      <c r="D949">
        <v>108</v>
      </c>
      <c r="E949" t="s">
        <v>1312</v>
      </c>
    </row>
    <row r="950" spans="1:5" x14ac:dyDescent="0.25">
      <c r="A950" t="s">
        <v>1316</v>
      </c>
      <c r="B950" s="1">
        <v>45204.20208333333</v>
      </c>
      <c r="C950" t="s">
        <v>1634</v>
      </c>
      <c r="D950">
        <v>10</v>
      </c>
      <c r="E950" t="s">
        <v>1314</v>
      </c>
    </row>
    <row r="951" spans="1:5" x14ac:dyDescent="0.25">
      <c r="A951" t="s">
        <v>1334</v>
      </c>
      <c r="B951" s="1">
        <v>45223.647916666669</v>
      </c>
      <c r="C951" t="s">
        <v>1635</v>
      </c>
      <c r="D951">
        <v>14</v>
      </c>
      <c r="E951" t="s">
        <v>1321</v>
      </c>
    </row>
    <row r="952" spans="1:5" x14ac:dyDescent="0.25">
      <c r="A952" t="s">
        <v>1344</v>
      </c>
      <c r="B952" s="1">
        <v>45205.586111111108</v>
      </c>
      <c r="C952" t="s">
        <v>1636</v>
      </c>
      <c r="D952">
        <v>89</v>
      </c>
      <c r="E952" t="s">
        <v>1321</v>
      </c>
    </row>
    <row r="953" spans="1:5" x14ac:dyDescent="0.25">
      <c r="A953" t="s">
        <v>1339</v>
      </c>
      <c r="B953" s="1">
        <v>45217.027777777781</v>
      </c>
      <c r="C953" t="s">
        <v>1637</v>
      </c>
      <c r="D953">
        <v>54</v>
      </c>
      <c r="E953" t="s">
        <v>1312</v>
      </c>
    </row>
    <row r="954" spans="1:5" x14ac:dyDescent="0.25">
      <c r="A954" t="s">
        <v>1316</v>
      </c>
      <c r="B954" s="1">
        <v>45224.683333333334</v>
      </c>
      <c r="C954" t="s">
        <v>1637</v>
      </c>
      <c r="D954">
        <v>71</v>
      </c>
      <c r="E954" t="s">
        <v>1314</v>
      </c>
    </row>
    <row r="955" spans="1:5" x14ac:dyDescent="0.25">
      <c r="A955" t="s">
        <v>1315</v>
      </c>
      <c r="B955" s="1">
        <v>45213.428472222222</v>
      </c>
      <c r="C955" t="s">
        <v>1638</v>
      </c>
      <c r="D955">
        <v>101</v>
      </c>
      <c r="E955" t="s">
        <v>1312</v>
      </c>
    </row>
    <row r="956" spans="1:5" x14ac:dyDescent="0.25">
      <c r="A956" t="s">
        <v>1352</v>
      </c>
      <c r="B956" s="1">
        <v>45204.47152777778</v>
      </c>
      <c r="C956" t="s">
        <v>115</v>
      </c>
      <c r="D956">
        <v>10</v>
      </c>
      <c r="E956" t="s">
        <v>1314</v>
      </c>
    </row>
    <row r="957" spans="1:5" x14ac:dyDescent="0.25">
      <c r="A957" t="s">
        <v>1341</v>
      </c>
      <c r="B957" s="1">
        <v>45226.90625</v>
      </c>
      <c r="C957" t="s">
        <v>1639</v>
      </c>
      <c r="D957">
        <v>26</v>
      </c>
      <c r="E957" t="s">
        <v>1312</v>
      </c>
    </row>
    <row r="958" spans="1:5" x14ac:dyDescent="0.25">
      <c r="A958" t="s">
        <v>1352</v>
      </c>
      <c r="B958" s="1">
        <v>45220.452777777777</v>
      </c>
      <c r="C958" t="s">
        <v>1639</v>
      </c>
      <c r="D958">
        <v>35</v>
      </c>
      <c r="E958" t="s">
        <v>1312</v>
      </c>
    </row>
    <row r="959" spans="1:5" x14ac:dyDescent="0.25">
      <c r="A959" t="s">
        <v>1318</v>
      </c>
      <c r="B959" s="1">
        <v>45222.771527777775</v>
      </c>
      <c r="C959" t="s">
        <v>1640</v>
      </c>
      <c r="D959">
        <v>53</v>
      </c>
      <c r="E959" t="s">
        <v>1321</v>
      </c>
    </row>
    <row r="960" spans="1:5" x14ac:dyDescent="0.25">
      <c r="A960" t="s">
        <v>1327</v>
      </c>
      <c r="B960" s="1">
        <v>45217.509027777778</v>
      </c>
      <c r="C960" t="s">
        <v>1640</v>
      </c>
      <c r="D960">
        <v>49</v>
      </c>
      <c r="E960" t="s">
        <v>1314</v>
      </c>
    </row>
    <row r="961" spans="1:5" x14ac:dyDescent="0.25">
      <c r="A961" t="s">
        <v>1315</v>
      </c>
      <c r="B961" s="1">
        <v>45217.109027777777</v>
      </c>
      <c r="C961" t="s">
        <v>1640</v>
      </c>
      <c r="D961">
        <v>59</v>
      </c>
      <c r="E961" t="s">
        <v>1314</v>
      </c>
    </row>
    <row r="962" spans="1:5" x14ac:dyDescent="0.25">
      <c r="A962" t="s">
        <v>1343</v>
      </c>
      <c r="B962" s="1">
        <v>45204.314583333333</v>
      </c>
      <c r="C962" t="s">
        <v>1641</v>
      </c>
      <c r="D962">
        <v>120</v>
      </c>
      <c r="E962" t="s">
        <v>1312</v>
      </c>
    </row>
    <row r="963" spans="1:5" x14ac:dyDescent="0.25">
      <c r="A963" t="s">
        <v>1320</v>
      </c>
      <c r="B963" s="1">
        <v>45214.43472222222</v>
      </c>
      <c r="C963" t="s">
        <v>226</v>
      </c>
      <c r="D963">
        <v>61</v>
      </c>
      <c r="E963" t="s">
        <v>1321</v>
      </c>
    </row>
    <row r="964" spans="1:5" x14ac:dyDescent="0.25">
      <c r="A964" t="s">
        <v>1315</v>
      </c>
      <c r="B964" s="1">
        <v>45210.051388888889</v>
      </c>
      <c r="C964" t="s">
        <v>226</v>
      </c>
      <c r="D964">
        <v>73</v>
      </c>
      <c r="E964" t="s">
        <v>1314</v>
      </c>
    </row>
    <row r="965" spans="1:5" x14ac:dyDescent="0.25">
      <c r="A965" t="s">
        <v>1315</v>
      </c>
      <c r="B965" s="1">
        <v>45228.853472222225</v>
      </c>
      <c r="C965" t="s">
        <v>226</v>
      </c>
      <c r="D965">
        <v>42</v>
      </c>
      <c r="E965" t="s">
        <v>1314</v>
      </c>
    </row>
    <row r="966" spans="1:5" x14ac:dyDescent="0.25">
      <c r="A966" t="s">
        <v>1334</v>
      </c>
      <c r="B966" s="1">
        <v>45208.194444444445</v>
      </c>
      <c r="C966" t="s">
        <v>1642</v>
      </c>
      <c r="D966">
        <v>98</v>
      </c>
      <c r="E966" t="s">
        <v>1312</v>
      </c>
    </row>
    <row r="967" spans="1:5" x14ac:dyDescent="0.25">
      <c r="A967" t="s">
        <v>1326</v>
      </c>
      <c r="B967" s="1">
        <v>45204.81527777778</v>
      </c>
      <c r="C967" t="s">
        <v>452</v>
      </c>
      <c r="D967">
        <v>71</v>
      </c>
      <c r="E967" t="s">
        <v>1321</v>
      </c>
    </row>
    <row r="968" spans="1:5" x14ac:dyDescent="0.25">
      <c r="A968" t="s">
        <v>1326</v>
      </c>
      <c r="B968" s="1">
        <v>45221.910416666666</v>
      </c>
      <c r="C968" t="s">
        <v>452</v>
      </c>
      <c r="D968">
        <v>60</v>
      </c>
      <c r="E968" t="s">
        <v>1312</v>
      </c>
    </row>
    <row r="969" spans="1:5" x14ac:dyDescent="0.25">
      <c r="A969" t="s">
        <v>1320</v>
      </c>
      <c r="B969" s="1">
        <v>45203.250694444447</v>
      </c>
      <c r="C969" t="s">
        <v>452</v>
      </c>
      <c r="D969">
        <v>49</v>
      </c>
      <c r="E969" t="s">
        <v>1312</v>
      </c>
    </row>
    <row r="970" spans="1:5" x14ac:dyDescent="0.25">
      <c r="A970" t="s">
        <v>1316</v>
      </c>
      <c r="B970" s="1">
        <v>45209.824305555558</v>
      </c>
      <c r="C970" t="s">
        <v>452</v>
      </c>
      <c r="D970">
        <v>93</v>
      </c>
      <c r="E970" t="s">
        <v>1321</v>
      </c>
    </row>
    <row r="971" spans="1:5" x14ac:dyDescent="0.25">
      <c r="A971" t="s">
        <v>1311</v>
      </c>
      <c r="B971" s="1">
        <v>45211.290277777778</v>
      </c>
      <c r="C971" t="s">
        <v>1643</v>
      </c>
      <c r="D971">
        <v>73</v>
      </c>
      <c r="E971" t="s">
        <v>1321</v>
      </c>
    </row>
    <row r="972" spans="1:5" x14ac:dyDescent="0.25">
      <c r="A972" t="s">
        <v>1344</v>
      </c>
      <c r="B972" s="1">
        <v>45210.24722222222</v>
      </c>
      <c r="C972" t="s">
        <v>1643</v>
      </c>
      <c r="D972">
        <v>74</v>
      </c>
      <c r="E972" t="s">
        <v>1314</v>
      </c>
    </row>
    <row r="973" spans="1:5" x14ac:dyDescent="0.25">
      <c r="A973" t="s">
        <v>1319</v>
      </c>
      <c r="B973" s="1">
        <v>45227.211111111108</v>
      </c>
      <c r="C973" t="s">
        <v>1644</v>
      </c>
      <c r="D973">
        <v>38</v>
      </c>
      <c r="E973" t="s">
        <v>1314</v>
      </c>
    </row>
    <row r="974" spans="1:5" x14ac:dyDescent="0.25">
      <c r="A974" t="s">
        <v>1327</v>
      </c>
      <c r="B974" s="1">
        <v>45226.163194444445</v>
      </c>
      <c r="C974" t="s">
        <v>1645</v>
      </c>
      <c r="D974">
        <v>36</v>
      </c>
      <c r="E974" t="s">
        <v>1312</v>
      </c>
    </row>
    <row r="975" spans="1:5" x14ac:dyDescent="0.25">
      <c r="A975" t="s">
        <v>1313</v>
      </c>
      <c r="B975" s="1">
        <v>45225.779861111114</v>
      </c>
      <c r="C975" t="s">
        <v>1646</v>
      </c>
      <c r="D975">
        <v>69</v>
      </c>
      <c r="E975" t="s">
        <v>1312</v>
      </c>
    </row>
    <row r="976" spans="1:5" x14ac:dyDescent="0.25">
      <c r="A976" t="s">
        <v>1365</v>
      </c>
      <c r="B976" s="1">
        <v>45210.568055555559</v>
      </c>
      <c r="C976" t="s">
        <v>26</v>
      </c>
      <c r="D976">
        <v>96</v>
      </c>
      <c r="E976" t="s">
        <v>1314</v>
      </c>
    </row>
    <row r="977" spans="1:5" x14ac:dyDescent="0.25">
      <c r="A977" t="s">
        <v>1365</v>
      </c>
      <c r="B977" s="1">
        <v>45229.738194444442</v>
      </c>
      <c r="C977" t="s">
        <v>44</v>
      </c>
      <c r="D977">
        <v>36</v>
      </c>
      <c r="E977" t="s">
        <v>1312</v>
      </c>
    </row>
    <row r="978" spans="1:5" x14ac:dyDescent="0.25">
      <c r="A978" t="s">
        <v>1324</v>
      </c>
      <c r="B978" s="1">
        <v>45214.684027777781</v>
      </c>
      <c r="C978" t="s">
        <v>44</v>
      </c>
      <c r="D978">
        <v>119</v>
      </c>
      <c r="E978" t="s">
        <v>1321</v>
      </c>
    </row>
    <row r="979" spans="1:5" x14ac:dyDescent="0.25">
      <c r="A979" t="s">
        <v>1347</v>
      </c>
      <c r="B979" s="1">
        <v>45216.460416666669</v>
      </c>
      <c r="C979" t="s">
        <v>251</v>
      </c>
      <c r="D979">
        <v>36</v>
      </c>
      <c r="E979" t="s">
        <v>1321</v>
      </c>
    </row>
    <row r="980" spans="1:5" x14ac:dyDescent="0.25">
      <c r="A980" t="s">
        <v>1365</v>
      </c>
      <c r="B980" s="1">
        <v>45209.679861111108</v>
      </c>
      <c r="C980" t="s">
        <v>1647</v>
      </c>
      <c r="D980">
        <v>115</v>
      </c>
      <c r="E980" t="s">
        <v>1321</v>
      </c>
    </row>
    <row r="981" spans="1:5" x14ac:dyDescent="0.25">
      <c r="A981" t="s">
        <v>1347</v>
      </c>
      <c r="B981" s="1">
        <v>45228.01458333333</v>
      </c>
      <c r="C981" t="s">
        <v>1647</v>
      </c>
      <c r="D981">
        <v>98</v>
      </c>
      <c r="E981" t="s">
        <v>1314</v>
      </c>
    </row>
    <row r="982" spans="1:5" x14ac:dyDescent="0.25">
      <c r="A982" t="s">
        <v>1327</v>
      </c>
      <c r="B982" s="1">
        <v>45205.336805555555</v>
      </c>
      <c r="C982" t="s">
        <v>1648</v>
      </c>
      <c r="D982">
        <v>119</v>
      </c>
      <c r="E982" t="s">
        <v>1321</v>
      </c>
    </row>
    <row r="983" spans="1:5" x14ac:dyDescent="0.25">
      <c r="A983" t="s">
        <v>1325</v>
      </c>
      <c r="B983" s="1">
        <v>45207.955555555556</v>
      </c>
      <c r="C983" t="s">
        <v>367</v>
      </c>
      <c r="D983">
        <v>73</v>
      </c>
      <c r="E983" t="s">
        <v>1312</v>
      </c>
    </row>
    <row r="984" spans="1:5" x14ac:dyDescent="0.25">
      <c r="A984" t="s">
        <v>1359</v>
      </c>
      <c r="B984" s="1">
        <v>45203.652083333334</v>
      </c>
      <c r="C984" t="s">
        <v>367</v>
      </c>
      <c r="D984">
        <v>65</v>
      </c>
      <c r="E984" t="s">
        <v>1321</v>
      </c>
    </row>
    <row r="985" spans="1:5" x14ac:dyDescent="0.25">
      <c r="A985" t="s">
        <v>1324</v>
      </c>
      <c r="B985" s="1">
        <v>45209.01666666667</v>
      </c>
      <c r="C985" t="s">
        <v>1649</v>
      </c>
      <c r="D985">
        <v>43</v>
      </c>
      <c r="E985" t="s">
        <v>1314</v>
      </c>
    </row>
    <row r="986" spans="1:5" x14ac:dyDescent="0.25">
      <c r="A986" t="s">
        <v>1344</v>
      </c>
      <c r="B986" s="1">
        <v>45221.388194444444</v>
      </c>
      <c r="C986" t="s">
        <v>333</v>
      </c>
      <c r="D986">
        <v>64</v>
      </c>
      <c r="E986" t="s">
        <v>1312</v>
      </c>
    </row>
    <row r="987" spans="1:5" x14ac:dyDescent="0.25">
      <c r="A987" t="s">
        <v>1334</v>
      </c>
      <c r="B987" s="1">
        <v>45213.577777777777</v>
      </c>
      <c r="C987" t="s">
        <v>1650</v>
      </c>
      <c r="D987">
        <v>93</v>
      </c>
      <c r="E987" t="s">
        <v>1312</v>
      </c>
    </row>
    <row r="988" spans="1:5" x14ac:dyDescent="0.25">
      <c r="A988" t="s">
        <v>1344</v>
      </c>
      <c r="B988" s="1">
        <v>45205.830555555556</v>
      </c>
      <c r="C988" t="s">
        <v>492</v>
      </c>
      <c r="D988">
        <v>52</v>
      </c>
      <c r="E988" t="s">
        <v>1314</v>
      </c>
    </row>
    <row r="989" spans="1:5" x14ac:dyDescent="0.25">
      <c r="A989" t="s">
        <v>1319</v>
      </c>
      <c r="B989" s="1">
        <v>45227.309027777781</v>
      </c>
      <c r="C989" t="s">
        <v>259</v>
      </c>
      <c r="D989">
        <v>118</v>
      </c>
      <c r="E989" t="s">
        <v>1321</v>
      </c>
    </row>
    <row r="990" spans="1:5" x14ac:dyDescent="0.25">
      <c r="A990" t="s">
        <v>1352</v>
      </c>
      <c r="B990" s="1">
        <v>45214.774305555555</v>
      </c>
      <c r="C990" t="s">
        <v>259</v>
      </c>
      <c r="D990">
        <v>118</v>
      </c>
      <c r="E990" t="s">
        <v>1314</v>
      </c>
    </row>
    <row r="991" spans="1:5" x14ac:dyDescent="0.25">
      <c r="A991" t="s">
        <v>1343</v>
      </c>
      <c r="B991" s="1">
        <v>45216.76458333333</v>
      </c>
      <c r="C991" t="s">
        <v>259</v>
      </c>
      <c r="D991">
        <v>53</v>
      </c>
      <c r="E991" t="s">
        <v>1312</v>
      </c>
    </row>
    <row r="992" spans="1:5" x14ac:dyDescent="0.25">
      <c r="A992" t="s">
        <v>1320</v>
      </c>
      <c r="B992" s="1">
        <v>45225.647916666669</v>
      </c>
      <c r="C992" t="s">
        <v>1651</v>
      </c>
      <c r="D992">
        <v>49</v>
      </c>
      <c r="E992" t="s">
        <v>1314</v>
      </c>
    </row>
    <row r="993" spans="1:5" x14ac:dyDescent="0.25">
      <c r="A993" t="s">
        <v>1319</v>
      </c>
      <c r="B993" s="1">
        <v>45221.861805555556</v>
      </c>
      <c r="C993" t="s">
        <v>113</v>
      </c>
      <c r="D993">
        <v>21</v>
      </c>
      <c r="E993" t="s">
        <v>1312</v>
      </c>
    </row>
    <row r="994" spans="1:5" x14ac:dyDescent="0.25">
      <c r="A994" t="s">
        <v>1365</v>
      </c>
      <c r="B994" s="1">
        <v>45229.443749999999</v>
      </c>
      <c r="C994" t="s">
        <v>63</v>
      </c>
      <c r="D994">
        <v>5</v>
      </c>
      <c r="E994" t="s">
        <v>1314</v>
      </c>
    </row>
    <row r="995" spans="1:5" x14ac:dyDescent="0.25">
      <c r="A995" t="s">
        <v>1319</v>
      </c>
      <c r="B995" s="1">
        <v>45203.059027777781</v>
      </c>
      <c r="C995" t="s">
        <v>1652</v>
      </c>
      <c r="D995">
        <v>49</v>
      </c>
      <c r="E995" t="s">
        <v>1314</v>
      </c>
    </row>
    <row r="996" spans="1:5" x14ac:dyDescent="0.25">
      <c r="A996" t="s">
        <v>1320</v>
      </c>
      <c r="B996" s="1">
        <v>45224.988194444442</v>
      </c>
      <c r="C996" t="s">
        <v>1652</v>
      </c>
      <c r="D996">
        <v>39</v>
      </c>
      <c r="E996" t="s">
        <v>1314</v>
      </c>
    </row>
    <row r="997" spans="1:5" x14ac:dyDescent="0.25">
      <c r="A997" t="s">
        <v>1323</v>
      </c>
      <c r="B997" s="1">
        <v>45219.793055555558</v>
      </c>
      <c r="C997" t="s">
        <v>1653</v>
      </c>
      <c r="D997">
        <v>9</v>
      </c>
      <c r="E997" t="s">
        <v>1312</v>
      </c>
    </row>
    <row r="998" spans="1:5" x14ac:dyDescent="0.25">
      <c r="A998" t="s">
        <v>1343</v>
      </c>
      <c r="B998" s="1">
        <v>45217.068749999999</v>
      </c>
      <c r="C998" t="s">
        <v>1653</v>
      </c>
      <c r="D998">
        <v>77</v>
      </c>
      <c r="E998" t="s">
        <v>1321</v>
      </c>
    </row>
    <row r="999" spans="1:5" x14ac:dyDescent="0.25">
      <c r="A999" t="s">
        <v>1359</v>
      </c>
      <c r="B999" s="1">
        <v>45230.726388888892</v>
      </c>
      <c r="C999" t="s">
        <v>1653</v>
      </c>
      <c r="D999">
        <v>19</v>
      </c>
      <c r="E999" t="s">
        <v>1312</v>
      </c>
    </row>
    <row r="1000" spans="1:5" x14ac:dyDescent="0.25">
      <c r="A1000" t="s">
        <v>1339</v>
      </c>
      <c r="B1000" s="1">
        <v>45216.760416666664</v>
      </c>
      <c r="C1000" t="s">
        <v>440</v>
      </c>
      <c r="D1000">
        <v>48</v>
      </c>
      <c r="E1000" t="s">
        <v>1314</v>
      </c>
    </row>
    <row r="1001" spans="1:5" x14ac:dyDescent="0.25">
      <c r="A1001" t="s">
        <v>1315</v>
      </c>
      <c r="B1001" s="1">
        <v>45227.033333333333</v>
      </c>
      <c r="C1001" t="s">
        <v>184</v>
      </c>
      <c r="D1001">
        <v>68</v>
      </c>
      <c r="E1001" t="s">
        <v>1321</v>
      </c>
    </row>
    <row r="1002" spans="1:5" x14ac:dyDescent="0.25">
      <c r="A1002" t="s">
        <v>1343</v>
      </c>
      <c r="B1002" s="1">
        <v>45225.622916666667</v>
      </c>
      <c r="C1002" t="s">
        <v>279</v>
      </c>
      <c r="D1002">
        <v>86</v>
      </c>
      <c r="E1002" t="s">
        <v>1314</v>
      </c>
    </row>
    <row r="1003" spans="1:5" x14ac:dyDescent="0.25">
      <c r="A1003" t="s">
        <v>1311</v>
      </c>
      <c r="B1003" s="1">
        <v>45200.078472222223</v>
      </c>
      <c r="C1003" t="s">
        <v>279</v>
      </c>
      <c r="D1003">
        <v>40</v>
      </c>
      <c r="E1003" t="s">
        <v>1314</v>
      </c>
    </row>
    <row r="1004" spans="1:5" x14ac:dyDescent="0.25">
      <c r="A1004" t="s">
        <v>1343</v>
      </c>
      <c r="B1004" s="1">
        <v>45221.313194444447</v>
      </c>
      <c r="C1004" t="s">
        <v>279</v>
      </c>
      <c r="D1004">
        <v>34</v>
      </c>
      <c r="E1004" t="s">
        <v>1312</v>
      </c>
    </row>
    <row r="1005" spans="1:5" x14ac:dyDescent="0.25">
      <c r="A1005" t="s">
        <v>1315</v>
      </c>
      <c r="B1005" s="1">
        <v>45211.224305555559</v>
      </c>
      <c r="C1005" t="s">
        <v>473</v>
      </c>
      <c r="D1005">
        <v>37</v>
      </c>
      <c r="E1005" t="s">
        <v>1314</v>
      </c>
    </row>
    <row r="1006" spans="1:5" x14ac:dyDescent="0.25">
      <c r="A1006" t="s">
        <v>1323</v>
      </c>
      <c r="B1006" s="1">
        <v>45221.717361111114</v>
      </c>
      <c r="C1006" t="s">
        <v>473</v>
      </c>
      <c r="D1006">
        <v>14</v>
      </c>
      <c r="E1006" t="s">
        <v>1314</v>
      </c>
    </row>
    <row r="1007" spans="1:5" x14ac:dyDescent="0.25">
      <c r="A1007" t="s">
        <v>1332</v>
      </c>
      <c r="B1007" s="1">
        <v>45222.415277777778</v>
      </c>
      <c r="C1007" t="s">
        <v>414</v>
      </c>
      <c r="D1007">
        <v>73</v>
      </c>
      <c r="E1007" t="s">
        <v>1314</v>
      </c>
    </row>
    <row r="1008" spans="1:5" x14ac:dyDescent="0.25">
      <c r="A1008" t="s">
        <v>1347</v>
      </c>
      <c r="B1008" s="1">
        <v>45223.365277777775</v>
      </c>
      <c r="C1008" t="s">
        <v>1654</v>
      </c>
      <c r="D1008">
        <v>104</v>
      </c>
      <c r="E1008" t="s">
        <v>1312</v>
      </c>
    </row>
    <row r="1009" spans="1:5" x14ac:dyDescent="0.25">
      <c r="A1009" t="s">
        <v>1315</v>
      </c>
      <c r="B1009" s="1">
        <v>45203.511805555558</v>
      </c>
      <c r="C1009" t="s">
        <v>357</v>
      </c>
      <c r="D1009">
        <v>64</v>
      </c>
      <c r="E1009" t="s">
        <v>1321</v>
      </c>
    </row>
    <row r="1010" spans="1:5" x14ac:dyDescent="0.25">
      <c r="A1010" t="s">
        <v>1316</v>
      </c>
      <c r="B1010" s="1">
        <v>45220.206944444442</v>
      </c>
      <c r="C1010" t="s">
        <v>223</v>
      </c>
      <c r="D1010">
        <v>25</v>
      </c>
      <c r="E1010" t="s">
        <v>1314</v>
      </c>
    </row>
    <row r="1011" spans="1:5" x14ac:dyDescent="0.25">
      <c r="A1011" t="s">
        <v>1322</v>
      </c>
      <c r="B1011" s="1">
        <v>45219.929166666669</v>
      </c>
      <c r="C1011" t="s">
        <v>1655</v>
      </c>
      <c r="D1011">
        <v>115</v>
      </c>
      <c r="E1011" t="s">
        <v>1314</v>
      </c>
    </row>
    <row r="1012" spans="1:5" x14ac:dyDescent="0.25">
      <c r="A1012" t="s">
        <v>1320</v>
      </c>
      <c r="B1012" s="1">
        <v>45218.631944444445</v>
      </c>
      <c r="C1012" t="s">
        <v>527</v>
      </c>
      <c r="D1012">
        <v>42</v>
      </c>
      <c r="E1012" t="s">
        <v>1312</v>
      </c>
    </row>
    <row r="1013" spans="1:5" x14ac:dyDescent="0.25">
      <c r="A1013" t="s">
        <v>1315</v>
      </c>
      <c r="B1013" s="1">
        <v>45208.863888888889</v>
      </c>
      <c r="C1013" t="s">
        <v>527</v>
      </c>
      <c r="D1013">
        <v>92</v>
      </c>
      <c r="E1013" t="s">
        <v>1314</v>
      </c>
    </row>
    <row r="1014" spans="1:5" x14ac:dyDescent="0.25">
      <c r="A1014" t="s">
        <v>1322</v>
      </c>
      <c r="B1014" s="1">
        <v>45210.921527777777</v>
      </c>
      <c r="C1014" t="s">
        <v>1656</v>
      </c>
      <c r="D1014">
        <v>86</v>
      </c>
      <c r="E1014" t="s">
        <v>1312</v>
      </c>
    </row>
    <row r="1015" spans="1:5" x14ac:dyDescent="0.25">
      <c r="A1015" t="s">
        <v>1353</v>
      </c>
      <c r="B1015" s="1">
        <v>45214.931250000001</v>
      </c>
      <c r="C1015" t="s">
        <v>1656</v>
      </c>
      <c r="D1015">
        <v>81</v>
      </c>
      <c r="E1015" t="s">
        <v>1312</v>
      </c>
    </row>
    <row r="1016" spans="1:5" x14ac:dyDescent="0.25">
      <c r="A1016" t="s">
        <v>1336</v>
      </c>
      <c r="B1016" s="1">
        <v>45220.368055555555</v>
      </c>
      <c r="C1016" t="s">
        <v>1656</v>
      </c>
      <c r="D1016">
        <v>47</v>
      </c>
      <c r="E1016" t="s">
        <v>1321</v>
      </c>
    </row>
    <row r="1017" spans="1:5" x14ac:dyDescent="0.25">
      <c r="A1017" t="s">
        <v>1352</v>
      </c>
      <c r="B1017" s="1">
        <v>45229.670138888891</v>
      </c>
      <c r="C1017" t="s">
        <v>170</v>
      </c>
      <c r="D1017">
        <v>41</v>
      </c>
      <c r="E1017" t="s">
        <v>1321</v>
      </c>
    </row>
    <row r="1018" spans="1:5" x14ac:dyDescent="0.25">
      <c r="A1018" t="s">
        <v>1327</v>
      </c>
      <c r="B1018" s="1">
        <v>45212.115277777775</v>
      </c>
      <c r="C1018" t="s">
        <v>170</v>
      </c>
      <c r="D1018">
        <v>15</v>
      </c>
      <c r="E1018" t="s">
        <v>1312</v>
      </c>
    </row>
    <row r="1019" spans="1:5" x14ac:dyDescent="0.25">
      <c r="A1019" t="s">
        <v>1334</v>
      </c>
      <c r="B1019" s="1">
        <v>45216.463888888888</v>
      </c>
      <c r="C1019" t="s">
        <v>170</v>
      </c>
      <c r="D1019">
        <v>58</v>
      </c>
      <c r="E1019" t="s">
        <v>1314</v>
      </c>
    </row>
    <row r="1020" spans="1:5" x14ac:dyDescent="0.25">
      <c r="A1020" t="s">
        <v>1320</v>
      </c>
      <c r="B1020" s="1">
        <v>45201.780555555553</v>
      </c>
      <c r="C1020" t="s">
        <v>1657</v>
      </c>
      <c r="D1020">
        <v>15</v>
      </c>
      <c r="E1020" t="s">
        <v>1314</v>
      </c>
    </row>
    <row r="1021" spans="1:5" x14ac:dyDescent="0.25">
      <c r="A1021" t="s">
        <v>1344</v>
      </c>
      <c r="B1021" s="1">
        <v>45225.054166666669</v>
      </c>
      <c r="C1021" t="s">
        <v>162</v>
      </c>
      <c r="D1021">
        <v>38</v>
      </c>
      <c r="E1021" t="s">
        <v>1321</v>
      </c>
    </row>
    <row r="1022" spans="1:5" x14ac:dyDescent="0.25">
      <c r="A1022" t="s">
        <v>1322</v>
      </c>
      <c r="B1022" s="1">
        <v>45209.940972222219</v>
      </c>
      <c r="C1022" t="s">
        <v>1658</v>
      </c>
      <c r="D1022">
        <v>30</v>
      </c>
      <c r="E1022" t="s">
        <v>1321</v>
      </c>
    </row>
    <row r="1023" spans="1:5" x14ac:dyDescent="0.25">
      <c r="A1023" t="s">
        <v>1318</v>
      </c>
      <c r="B1023" s="1">
        <v>45203.884027777778</v>
      </c>
      <c r="C1023" t="s">
        <v>1658</v>
      </c>
      <c r="D1023">
        <v>116</v>
      </c>
      <c r="E1023" t="s">
        <v>1312</v>
      </c>
    </row>
    <row r="1024" spans="1:5" x14ac:dyDescent="0.25">
      <c r="A1024" t="s">
        <v>1323</v>
      </c>
      <c r="B1024" s="1">
        <v>45208.529861111114</v>
      </c>
      <c r="C1024" t="s">
        <v>1659</v>
      </c>
      <c r="D1024">
        <v>72</v>
      </c>
      <c r="E1024" t="s">
        <v>1321</v>
      </c>
    </row>
    <row r="1025" spans="1:5" x14ac:dyDescent="0.25">
      <c r="A1025" t="s">
        <v>1327</v>
      </c>
      <c r="B1025" s="1">
        <v>45230.638888888891</v>
      </c>
      <c r="C1025" t="s">
        <v>297</v>
      </c>
      <c r="D1025">
        <v>77</v>
      </c>
      <c r="E1025" t="s">
        <v>1312</v>
      </c>
    </row>
    <row r="1026" spans="1:5" x14ac:dyDescent="0.25">
      <c r="A1026" t="s">
        <v>1336</v>
      </c>
      <c r="B1026" s="1">
        <v>45211.337500000001</v>
      </c>
      <c r="C1026" t="s">
        <v>325</v>
      </c>
      <c r="D1026">
        <v>88</v>
      </c>
      <c r="E1026" t="s">
        <v>1312</v>
      </c>
    </row>
    <row r="1027" spans="1:5" x14ac:dyDescent="0.25">
      <c r="A1027" t="s">
        <v>1343</v>
      </c>
      <c r="B1027" s="1">
        <v>45205.102777777778</v>
      </c>
      <c r="C1027" t="s">
        <v>1660</v>
      </c>
      <c r="D1027">
        <v>84</v>
      </c>
      <c r="E1027" t="s">
        <v>1321</v>
      </c>
    </row>
    <row r="1028" spans="1:5" x14ac:dyDescent="0.25">
      <c r="A1028" t="s">
        <v>1334</v>
      </c>
      <c r="B1028" s="1">
        <v>45219.997916666667</v>
      </c>
      <c r="C1028" t="s">
        <v>1661</v>
      </c>
      <c r="D1028">
        <v>102</v>
      </c>
      <c r="E1028" t="s">
        <v>1312</v>
      </c>
    </row>
    <row r="1029" spans="1:5" x14ac:dyDescent="0.25">
      <c r="A1029" t="s">
        <v>1319</v>
      </c>
      <c r="B1029" s="1">
        <v>45201.670138888891</v>
      </c>
      <c r="C1029" t="s">
        <v>1661</v>
      </c>
      <c r="D1029">
        <v>22</v>
      </c>
      <c r="E1029" t="s">
        <v>1321</v>
      </c>
    </row>
    <row r="1030" spans="1:5" x14ac:dyDescent="0.25">
      <c r="A1030" t="s">
        <v>1334</v>
      </c>
      <c r="B1030" s="1">
        <v>45225.177083333336</v>
      </c>
      <c r="C1030" t="s">
        <v>1662</v>
      </c>
      <c r="D1030">
        <v>36</v>
      </c>
      <c r="E1030" t="s">
        <v>1321</v>
      </c>
    </row>
    <row r="1031" spans="1:5" x14ac:dyDescent="0.25">
      <c r="A1031" t="s">
        <v>1315</v>
      </c>
      <c r="B1031" s="1">
        <v>45207.982638888891</v>
      </c>
      <c r="C1031" t="s">
        <v>363</v>
      </c>
      <c r="D1031">
        <v>25</v>
      </c>
      <c r="E1031" t="s">
        <v>1321</v>
      </c>
    </row>
    <row r="1032" spans="1:5" x14ac:dyDescent="0.25">
      <c r="A1032" t="s">
        <v>1352</v>
      </c>
      <c r="B1032" s="1">
        <v>45215.67291666667</v>
      </c>
      <c r="C1032" t="s">
        <v>363</v>
      </c>
      <c r="D1032">
        <v>117</v>
      </c>
      <c r="E1032" t="s">
        <v>1321</v>
      </c>
    </row>
    <row r="1033" spans="1:5" x14ac:dyDescent="0.25">
      <c r="A1033" t="s">
        <v>1332</v>
      </c>
      <c r="B1033" s="1">
        <v>45217.818749999999</v>
      </c>
      <c r="C1033" t="s">
        <v>1663</v>
      </c>
      <c r="D1033">
        <v>100</v>
      </c>
      <c r="E1033" t="s">
        <v>1314</v>
      </c>
    </row>
    <row r="1034" spans="1:5" x14ac:dyDescent="0.25">
      <c r="A1034" t="s">
        <v>1311</v>
      </c>
      <c r="B1034" s="1">
        <v>45202.289583333331</v>
      </c>
      <c r="C1034" t="s">
        <v>1663</v>
      </c>
      <c r="D1034">
        <v>103</v>
      </c>
      <c r="E1034" t="s">
        <v>1312</v>
      </c>
    </row>
    <row r="1035" spans="1:5" x14ac:dyDescent="0.25">
      <c r="A1035" t="s">
        <v>1326</v>
      </c>
      <c r="B1035" s="1">
        <v>45201.35</v>
      </c>
      <c r="C1035" t="s">
        <v>1663</v>
      </c>
      <c r="D1035">
        <v>73</v>
      </c>
      <c r="E1035" t="s">
        <v>1314</v>
      </c>
    </row>
    <row r="1036" spans="1:5" x14ac:dyDescent="0.25">
      <c r="A1036" t="s">
        <v>1339</v>
      </c>
      <c r="B1036" s="1">
        <v>45217.701388888891</v>
      </c>
      <c r="C1036" t="s">
        <v>1663</v>
      </c>
      <c r="D1036">
        <v>71</v>
      </c>
      <c r="E1036" t="s">
        <v>1312</v>
      </c>
    </row>
    <row r="1037" spans="1:5" x14ac:dyDescent="0.25">
      <c r="A1037" t="s">
        <v>1311</v>
      </c>
      <c r="B1037" s="1">
        <v>45205.768750000003</v>
      </c>
      <c r="C1037" t="s">
        <v>212</v>
      </c>
      <c r="D1037">
        <v>36</v>
      </c>
      <c r="E1037" t="s">
        <v>1314</v>
      </c>
    </row>
    <row r="1038" spans="1:5" x14ac:dyDescent="0.25">
      <c r="A1038" t="s">
        <v>1365</v>
      </c>
      <c r="B1038" s="1">
        <v>45203.810416666667</v>
      </c>
      <c r="C1038" t="s">
        <v>1664</v>
      </c>
      <c r="D1038">
        <v>78</v>
      </c>
      <c r="E1038" t="s">
        <v>1321</v>
      </c>
    </row>
    <row r="1039" spans="1:5" x14ac:dyDescent="0.25">
      <c r="A1039" t="s">
        <v>1313</v>
      </c>
      <c r="B1039" s="1">
        <v>45213.584722222222</v>
      </c>
      <c r="C1039" t="s">
        <v>1665</v>
      </c>
      <c r="D1039">
        <v>35</v>
      </c>
      <c r="E1039" t="s">
        <v>1312</v>
      </c>
    </row>
    <row r="1040" spans="1:5" x14ac:dyDescent="0.25">
      <c r="A1040" t="s">
        <v>1353</v>
      </c>
      <c r="B1040" s="1">
        <v>45225.888194444444</v>
      </c>
      <c r="C1040" t="s">
        <v>155</v>
      </c>
      <c r="D1040">
        <v>87</v>
      </c>
      <c r="E1040" t="s">
        <v>1321</v>
      </c>
    </row>
    <row r="1041" spans="1:5" x14ac:dyDescent="0.25">
      <c r="A1041" t="s">
        <v>1336</v>
      </c>
      <c r="B1041" s="1">
        <v>45223.513888888891</v>
      </c>
      <c r="C1041" t="s">
        <v>1666</v>
      </c>
      <c r="D1041">
        <v>109</v>
      </c>
      <c r="E1041" t="s">
        <v>1312</v>
      </c>
    </row>
    <row r="1042" spans="1:5" x14ac:dyDescent="0.25">
      <c r="A1042" t="s">
        <v>1324</v>
      </c>
      <c r="B1042" s="1">
        <v>45208.494444444441</v>
      </c>
      <c r="C1042" t="s">
        <v>1666</v>
      </c>
      <c r="D1042">
        <v>59</v>
      </c>
      <c r="E1042" t="s">
        <v>1312</v>
      </c>
    </row>
    <row r="1043" spans="1:5" x14ac:dyDescent="0.25">
      <c r="A1043" t="s">
        <v>1339</v>
      </c>
      <c r="B1043" s="1">
        <v>45226.895138888889</v>
      </c>
      <c r="C1043" t="s">
        <v>1666</v>
      </c>
      <c r="D1043">
        <v>42</v>
      </c>
      <c r="E1043" t="s">
        <v>1314</v>
      </c>
    </row>
    <row r="1044" spans="1:5" x14ac:dyDescent="0.25">
      <c r="A1044" t="s">
        <v>1315</v>
      </c>
      <c r="B1044" s="1">
        <v>45204.962500000001</v>
      </c>
      <c r="C1044" t="s">
        <v>1667</v>
      </c>
      <c r="D1044">
        <v>100</v>
      </c>
      <c r="E1044" t="s">
        <v>1312</v>
      </c>
    </row>
    <row r="1045" spans="1:5" x14ac:dyDescent="0.25">
      <c r="A1045" t="s">
        <v>1315</v>
      </c>
      <c r="B1045" s="1">
        <v>45224.378472222219</v>
      </c>
      <c r="C1045" t="s">
        <v>1667</v>
      </c>
      <c r="D1045">
        <v>53</v>
      </c>
      <c r="E1045" t="s">
        <v>1321</v>
      </c>
    </row>
    <row r="1046" spans="1:5" x14ac:dyDescent="0.25">
      <c r="A1046" t="s">
        <v>1327</v>
      </c>
      <c r="B1046" s="1">
        <v>45202.487500000003</v>
      </c>
      <c r="C1046" t="s">
        <v>1668</v>
      </c>
      <c r="D1046">
        <v>22</v>
      </c>
      <c r="E1046" t="s">
        <v>1321</v>
      </c>
    </row>
    <row r="1047" spans="1:5" x14ac:dyDescent="0.25">
      <c r="A1047" t="s">
        <v>1322</v>
      </c>
      <c r="B1047" s="1">
        <v>45219.907638888886</v>
      </c>
      <c r="C1047" t="s">
        <v>1669</v>
      </c>
      <c r="D1047">
        <v>92</v>
      </c>
      <c r="E1047" t="s">
        <v>1312</v>
      </c>
    </row>
    <row r="1048" spans="1:5" x14ac:dyDescent="0.25">
      <c r="A1048" t="s">
        <v>1323</v>
      </c>
      <c r="B1048" s="1">
        <v>45206.472222222219</v>
      </c>
      <c r="C1048" t="s">
        <v>1670</v>
      </c>
      <c r="D1048">
        <v>69</v>
      </c>
      <c r="E1048" t="s">
        <v>1321</v>
      </c>
    </row>
    <row r="1049" spans="1:5" x14ac:dyDescent="0.25">
      <c r="A1049" t="s">
        <v>1347</v>
      </c>
      <c r="B1049" s="1">
        <v>45209.907638888886</v>
      </c>
      <c r="C1049" t="s">
        <v>405</v>
      </c>
      <c r="D1049">
        <v>99</v>
      </c>
      <c r="E1049" t="s">
        <v>1321</v>
      </c>
    </row>
    <row r="1050" spans="1:5" x14ac:dyDescent="0.25">
      <c r="A1050" t="s">
        <v>1334</v>
      </c>
      <c r="B1050" s="1">
        <v>45209.53125</v>
      </c>
      <c r="C1050" t="s">
        <v>186</v>
      </c>
      <c r="D1050">
        <v>63</v>
      </c>
      <c r="E1050" t="s">
        <v>1314</v>
      </c>
    </row>
    <row r="1051" spans="1:5" x14ac:dyDescent="0.25">
      <c r="A1051" t="s">
        <v>1313</v>
      </c>
      <c r="B1051" s="1">
        <v>45225.213194444441</v>
      </c>
      <c r="C1051" t="s">
        <v>1671</v>
      </c>
      <c r="D1051">
        <v>35</v>
      </c>
      <c r="E1051" t="s">
        <v>1321</v>
      </c>
    </row>
    <row r="1052" spans="1:5" x14ac:dyDescent="0.25">
      <c r="A1052" t="s">
        <v>1347</v>
      </c>
      <c r="B1052" s="1">
        <v>45230.50277777778</v>
      </c>
      <c r="C1052" t="s">
        <v>513</v>
      </c>
      <c r="D1052">
        <v>99</v>
      </c>
      <c r="E1052" t="s">
        <v>1314</v>
      </c>
    </row>
    <row r="1053" spans="1:5" x14ac:dyDescent="0.25">
      <c r="A1053" t="s">
        <v>1320</v>
      </c>
      <c r="B1053" s="1">
        <v>45224.775000000001</v>
      </c>
      <c r="C1053" t="s">
        <v>513</v>
      </c>
      <c r="D1053">
        <v>107</v>
      </c>
      <c r="E1053" t="s">
        <v>1321</v>
      </c>
    </row>
    <row r="1054" spans="1:5" x14ac:dyDescent="0.25">
      <c r="A1054" t="s">
        <v>1320</v>
      </c>
      <c r="B1054" s="1">
        <v>45216.274305555555</v>
      </c>
      <c r="C1054" t="s">
        <v>513</v>
      </c>
      <c r="D1054">
        <v>30</v>
      </c>
      <c r="E1054" t="s">
        <v>1312</v>
      </c>
    </row>
    <row r="1055" spans="1:5" x14ac:dyDescent="0.25">
      <c r="A1055" t="s">
        <v>1352</v>
      </c>
      <c r="B1055" s="1">
        <v>45201.057638888888</v>
      </c>
      <c r="C1055" t="s">
        <v>310</v>
      </c>
      <c r="D1055">
        <v>103</v>
      </c>
      <c r="E1055" t="s">
        <v>1314</v>
      </c>
    </row>
    <row r="1056" spans="1:5" x14ac:dyDescent="0.25">
      <c r="A1056" t="s">
        <v>1344</v>
      </c>
      <c r="B1056" s="1">
        <v>45226.659722222219</v>
      </c>
      <c r="C1056" t="s">
        <v>310</v>
      </c>
      <c r="D1056">
        <v>65</v>
      </c>
      <c r="E1056" t="s">
        <v>1312</v>
      </c>
    </row>
    <row r="1057" spans="1:5" x14ac:dyDescent="0.25">
      <c r="A1057" t="s">
        <v>1334</v>
      </c>
      <c r="B1057" s="1">
        <v>45201.867361111108</v>
      </c>
      <c r="C1057" t="s">
        <v>154</v>
      </c>
      <c r="D1057">
        <v>18</v>
      </c>
      <c r="E1057" t="s">
        <v>1314</v>
      </c>
    </row>
    <row r="1058" spans="1:5" x14ac:dyDescent="0.25">
      <c r="A1058" t="s">
        <v>1332</v>
      </c>
      <c r="B1058" s="1">
        <v>45207.140277777777</v>
      </c>
      <c r="C1058" t="s">
        <v>154</v>
      </c>
      <c r="D1058">
        <v>46</v>
      </c>
      <c r="E1058" t="s">
        <v>1312</v>
      </c>
    </row>
    <row r="1059" spans="1:5" x14ac:dyDescent="0.25">
      <c r="A1059" t="s">
        <v>1324</v>
      </c>
      <c r="B1059" s="1">
        <v>45215.372916666667</v>
      </c>
      <c r="C1059" t="s">
        <v>154</v>
      </c>
      <c r="D1059">
        <v>70</v>
      </c>
      <c r="E1059" t="s">
        <v>1312</v>
      </c>
    </row>
    <row r="1060" spans="1:5" x14ac:dyDescent="0.25">
      <c r="A1060" t="s">
        <v>1352</v>
      </c>
      <c r="B1060" s="1">
        <v>45220.847916666666</v>
      </c>
      <c r="C1060" t="s">
        <v>154</v>
      </c>
      <c r="D1060">
        <v>103</v>
      </c>
      <c r="E1060" t="s">
        <v>1314</v>
      </c>
    </row>
    <row r="1061" spans="1:5" x14ac:dyDescent="0.25">
      <c r="A1061" t="s">
        <v>1343</v>
      </c>
      <c r="B1061" s="1">
        <v>45209.852083333331</v>
      </c>
      <c r="C1061" t="s">
        <v>543</v>
      </c>
      <c r="D1061">
        <v>91</v>
      </c>
      <c r="E1061" t="s">
        <v>1321</v>
      </c>
    </row>
    <row r="1062" spans="1:5" x14ac:dyDescent="0.25">
      <c r="A1062" t="s">
        <v>1316</v>
      </c>
      <c r="B1062" s="1">
        <v>45226.100694444445</v>
      </c>
      <c r="C1062" t="s">
        <v>108</v>
      </c>
      <c r="D1062">
        <v>110</v>
      </c>
      <c r="E1062" t="s">
        <v>1312</v>
      </c>
    </row>
    <row r="1063" spans="1:5" x14ac:dyDescent="0.25">
      <c r="A1063" t="s">
        <v>1311</v>
      </c>
      <c r="B1063" s="1">
        <v>45205.345138888886</v>
      </c>
      <c r="C1063" t="s">
        <v>108</v>
      </c>
      <c r="D1063">
        <v>109</v>
      </c>
      <c r="E1063" t="s">
        <v>1312</v>
      </c>
    </row>
    <row r="1064" spans="1:5" x14ac:dyDescent="0.25">
      <c r="A1064" t="s">
        <v>1343</v>
      </c>
      <c r="B1064" s="1">
        <v>45213.779861111114</v>
      </c>
      <c r="C1064" t="s">
        <v>479</v>
      </c>
      <c r="D1064">
        <v>120</v>
      </c>
      <c r="E1064" t="s">
        <v>1314</v>
      </c>
    </row>
    <row r="1065" spans="1:5" x14ac:dyDescent="0.25">
      <c r="A1065" t="s">
        <v>1344</v>
      </c>
      <c r="B1065" s="1">
        <v>45222.902777777781</v>
      </c>
      <c r="C1065" t="s">
        <v>479</v>
      </c>
      <c r="D1065">
        <v>31</v>
      </c>
      <c r="E1065" t="s">
        <v>1321</v>
      </c>
    </row>
    <row r="1066" spans="1:5" x14ac:dyDescent="0.25">
      <c r="A1066" t="s">
        <v>1347</v>
      </c>
      <c r="B1066" s="1">
        <v>45203.03125</v>
      </c>
      <c r="C1066" t="s">
        <v>1672</v>
      </c>
      <c r="D1066">
        <v>36</v>
      </c>
      <c r="E1066" t="s">
        <v>1321</v>
      </c>
    </row>
    <row r="1067" spans="1:5" x14ac:dyDescent="0.25">
      <c r="A1067" t="s">
        <v>1315</v>
      </c>
      <c r="B1067" s="1">
        <v>45216.792361111111</v>
      </c>
      <c r="C1067" t="s">
        <v>1672</v>
      </c>
      <c r="D1067">
        <v>56</v>
      </c>
      <c r="E1067" t="s">
        <v>1314</v>
      </c>
    </row>
    <row r="1068" spans="1:5" x14ac:dyDescent="0.25">
      <c r="A1068" t="s">
        <v>1316</v>
      </c>
      <c r="B1068" s="1">
        <v>45216.729861111111</v>
      </c>
      <c r="C1068" t="s">
        <v>189</v>
      </c>
      <c r="D1068">
        <v>109</v>
      </c>
      <c r="E1068" t="s">
        <v>1321</v>
      </c>
    </row>
    <row r="1069" spans="1:5" x14ac:dyDescent="0.25">
      <c r="A1069" t="s">
        <v>1347</v>
      </c>
      <c r="B1069" s="1">
        <v>45224.164583333331</v>
      </c>
      <c r="C1069" t="s">
        <v>1673</v>
      </c>
      <c r="D1069">
        <v>57</v>
      </c>
      <c r="E1069" t="s">
        <v>1312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3618-9376-444A-B7BD-9D887A8AB6D2}">
  <sheetPr>
    <tabColor rgb="FF00B050"/>
  </sheetPr>
  <dimension ref="A3:B1296"/>
  <sheetViews>
    <sheetView topLeftCell="A18" workbookViewId="0">
      <selection activeCell="B20" sqref="B20"/>
    </sheetView>
  </sheetViews>
  <sheetFormatPr baseColWidth="10" defaultRowHeight="15" x14ac:dyDescent="0.25"/>
  <cols>
    <col min="1" max="1" width="21.42578125" bestFit="1" customWidth="1"/>
    <col min="2" max="2" width="29.85546875" style="5" bestFit="1" customWidth="1"/>
    <col min="3" max="32" width="10" bestFit="1" customWidth="1"/>
    <col min="33" max="33" width="9" bestFit="1" customWidth="1"/>
    <col min="34" max="89" width="10" bestFit="1" customWidth="1"/>
    <col min="90" max="90" width="9" bestFit="1" customWidth="1"/>
    <col min="91" max="102" width="10" bestFit="1" customWidth="1"/>
    <col min="103" max="103" width="9" bestFit="1" customWidth="1"/>
    <col min="104" max="145" width="10" bestFit="1" customWidth="1"/>
    <col min="146" max="146" width="9" bestFit="1" customWidth="1"/>
    <col min="147" max="149" width="10" bestFit="1" customWidth="1"/>
    <col min="150" max="150" width="9" bestFit="1" customWidth="1"/>
    <col min="151" max="152" width="10" bestFit="1" customWidth="1"/>
    <col min="153" max="153" width="9" bestFit="1" customWidth="1"/>
    <col min="154" max="156" width="10" bestFit="1" customWidth="1"/>
    <col min="157" max="157" width="9" bestFit="1" customWidth="1"/>
    <col min="158" max="167" width="10" bestFit="1" customWidth="1"/>
    <col min="168" max="168" width="9" bestFit="1" customWidth="1"/>
    <col min="169" max="189" width="10" bestFit="1" customWidth="1"/>
    <col min="190" max="190" width="9" bestFit="1" customWidth="1"/>
    <col min="191" max="195" width="10" bestFit="1" customWidth="1"/>
    <col min="196" max="196" width="9" bestFit="1" customWidth="1"/>
    <col min="197" max="217" width="10" bestFit="1" customWidth="1"/>
    <col min="218" max="218" width="8" bestFit="1" customWidth="1"/>
    <col min="219" max="231" width="10" bestFit="1" customWidth="1"/>
    <col min="232" max="232" width="9" bestFit="1" customWidth="1"/>
    <col min="233" max="247" width="10" bestFit="1" customWidth="1"/>
    <col min="248" max="248" width="9" bestFit="1" customWidth="1"/>
    <col min="249" max="282" width="10" bestFit="1" customWidth="1"/>
    <col min="283" max="283" width="9" bestFit="1" customWidth="1"/>
    <col min="284" max="284" width="10" bestFit="1" customWidth="1"/>
    <col min="285" max="285" width="9" bestFit="1" customWidth="1"/>
    <col min="286" max="293" width="10" bestFit="1" customWidth="1"/>
    <col min="294" max="294" width="9" bestFit="1" customWidth="1"/>
    <col min="295" max="309" width="10" bestFit="1" customWidth="1"/>
    <col min="310" max="310" width="9" bestFit="1" customWidth="1"/>
    <col min="311" max="323" width="10" bestFit="1" customWidth="1"/>
    <col min="324" max="324" width="12.5703125" bestFit="1" customWidth="1"/>
    <col min="325" max="325" width="14.140625" bestFit="1" customWidth="1"/>
    <col min="326" max="326" width="11.5703125" bestFit="1" customWidth="1"/>
    <col min="327" max="327" width="10" bestFit="1" customWidth="1"/>
    <col min="328" max="328" width="14.140625" bestFit="1" customWidth="1"/>
    <col min="329" max="329" width="11.5703125" bestFit="1" customWidth="1"/>
    <col min="330" max="330" width="9" bestFit="1" customWidth="1"/>
    <col min="331" max="331" width="14.140625" bestFit="1" customWidth="1"/>
    <col min="332" max="332" width="11.5703125" bestFit="1" customWidth="1"/>
    <col min="333" max="333" width="14.140625" bestFit="1" customWidth="1"/>
    <col min="334" max="334" width="11.5703125" bestFit="1" customWidth="1"/>
    <col min="335" max="335" width="14.140625" bestFit="1" customWidth="1"/>
    <col min="336" max="336" width="11.5703125" bestFit="1" customWidth="1"/>
    <col min="337" max="337" width="10" bestFit="1" customWidth="1"/>
    <col min="338" max="338" width="14.140625" bestFit="1" customWidth="1"/>
    <col min="339" max="339" width="11.5703125" bestFit="1" customWidth="1"/>
    <col min="340" max="340" width="9" bestFit="1" customWidth="1"/>
    <col min="341" max="341" width="14.140625" bestFit="1" customWidth="1"/>
    <col min="342" max="342" width="11.5703125" bestFit="1" customWidth="1"/>
    <col min="343" max="343" width="14.140625" bestFit="1" customWidth="1"/>
    <col min="344" max="344" width="11.5703125" bestFit="1" customWidth="1"/>
    <col min="345" max="345" width="14.140625" bestFit="1" customWidth="1"/>
    <col min="346" max="346" width="11.5703125" bestFit="1" customWidth="1"/>
    <col min="347" max="347" width="10" bestFit="1" customWidth="1"/>
    <col min="348" max="348" width="14.140625" bestFit="1" customWidth="1"/>
    <col min="349" max="349" width="11.5703125" bestFit="1" customWidth="1"/>
    <col min="350" max="350" width="14.140625" bestFit="1" customWidth="1"/>
    <col min="351" max="351" width="10.5703125" bestFit="1" customWidth="1"/>
    <col min="352" max="352" width="10" bestFit="1" customWidth="1"/>
    <col min="353" max="353" width="13.140625" bestFit="1" customWidth="1"/>
    <col min="354" max="354" width="11.5703125" bestFit="1" customWidth="1"/>
    <col min="355" max="355" width="14.140625" bestFit="1" customWidth="1"/>
    <col min="356" max="356" width="11.5703125" bestFit="1" customWidth="1"/>
    <col min="357" max="357" width="14.140625" bestFit="1" customWidth="1"/>
    <col min="358" max="358" width="11.5703125" bestFit="1" customWidth="1"/>
    <col min="359" max="359" width="14.140625" bestFit="1" customWidth="1"/>
    <col min="360" max="360" width="11.5703125" bestFit="1" customWidth="1"/>
    <col min="361" max="361" width="10" bestFit="1" customWidth="1"/>
    <col min="362" max="362" width="14.140625" bestFit="1" customWidth="1"/>
    <col min="363" max="363" width="11.5703125" bestFit="1" customWidth="1"/>
    <col min="364" max="364" width="10" bestFit="1" customWidth="1"/>
    <col min="365" max="365" width="14.140625" bestFit="1" customWidth="1"/>
    <col min="366" max="366" width="11.5703125" bestFit="1" customWidth="1"/>
    <col min="367" max="367" width="14.140625" bestFit="1" customWidth="1"/>
    <col min="368" max="368" width="11.5703125" bestFit="1" customWidth="1"/>
    <col min="369" max="369" width="10" bestFit="1" customWidth="1"/>
    <col min="370" max="370" width="14.140625" bestFit="1" customWidth="1"/>
    <col min="371" max="371" width="11.5703125" bestFit="1" customWidth="1"/>
    <col min="372" max="372" width="14.140625" bestFit="1" customWidth="1"/>
    <col min="373" max="373" width="11.5703125" bestFit="1" customWidth="1"/>
    <col min="374" max="374" width="14.140625" bestFit="1" customWidth="1"/>
    <col min="375" max="375" width="11.5703125" bestFit="1" customWidth="1"/>
    <col min="376" max="376" width="10" bestFit="1" customWidth="1"/>
    <col min="377" max="377" width="14.140625" bestFit="1" customWidth="1"/>
    <col min="378" max="378" width="11.5703125" bestFit="1" customWidth="1"/>
    <col min="379" max="379" width="14.140625" bestFit="1" customWidth="1"/>
    <col min="380" max="380" width="11.5703125" bestFit="1" customWidth="1"/>
    <col min="381" max="381" width="14.140625" bestFit="1" customWidth="1"/>
    <col min="382" max="382" width="11.5703125" bestFit="1" customWidth="1"/>
    <col min="383" max="383" width="10" bestFit="1" customWidth="1"/>
    <col min="384" max="384" width="14.140625" bestFit="1" customWidth="1"/>
    <col min="385" max="385" width="11.5703125" bestFit="1" customWidth="1"/>
    <col min="386" max="386" width="10" bestFit="1" customWidth="1"/>
    <col min="387" max="387" width="14.140625" bestFit="1" customWidth="1"/>
    <col min="388" max="388" width="11.5703125" bestFit="1" customWidth="1"/>
    <col min="389" max="389" width="14.140625" bestFit="1" customWidth="1"/>
    <col min="390" max="390" width="11.5703125" bestFit="1" customWidth="1"/>
    <col min="391" max="391" width="14.140625" bestFit="1" customWidth="1"/>
    <col min="392" max="392" width="10.5703125" bestFit="1" customWidth="1"/>
    <col min="393" max="393" width="13.140625" bestFit="1" customWidth="1"/>
    <col min="394" max="394" width="11.5703125" bestFit="1" customWidth="1"/>
    <col min="395" max="395" width="14.140625" bestFit="1" customWidth="1"/>
    <col min="396" max="396" width="11.5703125" bestFit="1" customWidth="1"/>
    <col min="397" max="397" width="14.140625" bestFit="1" customWidth="1"/>
    <col min="398" max="398" width="11.5703125" bestFit="1" customWidth="1"/>
    <col min="399" max="399" width="10" bestFit="1" customWidth="1"/>
    <col min="400" max="400" width="14.140625" bestFit="1" customWidth="1"/>
    <col min="401" max="401" width="11.5703125" bestFit="1" customWidth="1"/>
    <col min="402" max="402" width="14.140625" bestFit="1" customWidth="1"/>
    <col min="403" max="403" width="11.5703125" bestFit="1" customWidth="1"/>
    <col min="404" max="404" width="10" bestFit="1" customWidth="1"/>
    <col min="405" max="405" width="14.140625" bestFit="1" customWidth="1"/>
    <col min="406" max="406" width="11.5703125" bestFit="1" customWidth="1"/>
    <col min="407" max="407" width="10" bestFit="1" customWidth="1"/>
    <col min="408" max="408" width="14.140625" bestFit="1" customWidth="1"/>
    <col min="409" max="409" width="11.5703125" bestFit="1" customWidth="1"/>
    <col min="410" max="410" width="14.140625" bestFit="1" customWidth="1"/>
    <col min="411" max="411" width="11.5703125" bestFit="1" customWidth="1"/>
    <col min="412" max="412" width="10" bestFit="1" customWidth="1"/>
    <col min="413" max="413" width="14.140625" bestFit="1" customWidth="1"/>
    <col min="414" max="414" width="11.5703125" bestFit="1" customWidth="1"/>
    <col min="415" max="415" width="14.140625" bestFit="1" customWidth="1"/>
    <col min="416" max="416" width="11.5703125" bestFit="1" customWidth="1"/>
    <col min="417" max="417" width="14.140625" bestFit="1" customWidth="1"/>
    <col min="418" max="418" width="11.5703125" bestFit="1" customWidth="1"/>
    <col min="419" max="419" width="14.140625" bestFit="1" customWidth="1"/>
    <col min="420" max="420" width="11.5703125" bestFit="1" customWidth="1"/>
    <col min="421" max="421" width="14.140625" bestFit="1" customWidth="1"/>
    <col min="422" max="422" width="11.5703125" bestFit="1" customWidth="1"/>
    <col min="423" max="423" width="14.140625" bestFit="1" customWidth="1"/>
    <col min="424" max="424" width="11.5703125" bestFit="1" customWidth="1"/>
    <col min="425" max="425" width="14.140625" bestFit="1" customWidth="1"/>
    <col min="426" max="426" width="11.5703125" bestFit="1" customWidth="1"/>
    <col min="427" max="427" width="14.140625" bestFit="1" customWidth="1"/>
    <col min="428" max="428" width="11.5703125" bestFit="1" customWidth="1"/>
    <col min="429" max="429" width="14.140625" bestFit="1" customWidth="1"/>
    <col min="430" max="430" width="11.5703125" bestFit="1" customWidth="1"/>
    <col min="431" max="431" width="10" bestFit="1" customWidth="1"/>
    <col min="432" max="432" width="14.140625" bestFit="1" customWidth="1"/>
    <col min="433" max="433" width="11.5703125" bestFit="1" customWidth="1"/>
    <col min="434" max="434" width="14.140625" bestFit="1" customWidth="1"/>
    <col min="435" max="435" width="11.5703125" bestFit="1" customWidth="1"/>
    <col min="436" max="436" width="14.140625" bestFit="1" customWidth="1"/>
    <col min="437" max="437" width="11.5703125" bestFit="1" customWidth="1"/>
    <col min="438" max="438" width="14.140625" bestFit="1" customWidth="1"/>
    <col min="439" max="439" width="10.85546875" bestFit="1" customWidth="1"/>
    <col min="440" max="440" width="10" bestFit="1" customWidth="1"/>
    <col min="441" max="441" width="13.42578125" bestFit="1" customWidth="1"/>
    <col min="442" max="442" width="10.85546875" bestFit="1" customWidth="1"/>
    <col min="443" max="443" width="10" bestFit="1" customWidth="1"/>
    <col min="444" max="444" width="13.42578125" bestFit="1" customWidth="1"/>
    <col min="445" max="445" width="10.85546875" bestFit="1" customWidth="1"/>
    <col min="446" max="446" width="10" bestFit="1" customWidth="1"/>
    <col min="447" max="447" width="13.42578125" bestFit="1" customWidth="1"/>
    <col min="448" max="448" width="10.85546875" bestFit="1" customWidth="1"/>
    <col min="449" max="449" width="13.42578125" bestFit="1" customWidth="1"/>
    <col min="450" max="450" width="10.85546875" bestFit="1" customWidth="1"/>
    <col min="451" max="451" width="13.42578125" bestFit="1" customWidth="1"/>
    <col min="452" max="452" width="10" bestFit="1" customWidth="1"/>
    <col min="453" max="453" width="12.42578125" bestFit="1" customWidth="1"/>
    <col min="454" max="454" width="10.85546875" bestFit="1" customWidth="1"/>
    <col min="455" max="455" width="10" bestFit="1" customWidth="1"/>
    <col min="456" max="456" width="13.42578125" bestFit="1" customWidth="1"/>
    <col min="457" max="457" width="10.85546875" bestFit="1" customWidth="1"/>
    <col min="458" max="458" width="13.42578125" bestFit="1" customWidth="1"/>
    <col min="459" max="459" width="10.85546875" bestFit="1" customWidth="1"/>
    <col min="460" max="460" width="13.42578125" bestFit="1" customWidth="1"/>
    <col min="461" max="461" width="10.85546875" bestFit="1" customWidth="1"/>
    <col min="462" max="462" width="10" bestFit="1" customWidth="1"/>
    <col min="463" max="463" width="13.42578125" bestFit="1" customWidth="1"/>
    <col min="464" max="464" width="10.85546875" bestFit="1" customWidth="1"/>
    <col min="465" max="465" width="10" bestFit="1" customWidth="1"/>
    <col min="466" max="466" width="13.42578125" bestFit="1" customWidth="1"/>
    <col min="467" max="467" width="10.85546875" bestFit="1" customWidth="1"/>
    <col min="468" max="468" width="13.42578125" bestFit="1" customWidth="1"/>
    <col min="469" max="469" width="10.85546875" bestFit="1" customWidth="1"/>
    <col min="470" max="470" width="13.42578125" bestFit="1" customWidth="1"/>
    <col min="471" max="471" width="10.85546875" bestFit="1" customWidth="1"/>
    <col min="472" max="472" width="13.42578125" bestFit="1" customWidth="1"/>
    <col min="473" max="473" width="10.85546875" bestFit="1" customWidth="1"/>
    <col min="474" max="474" width="13.42578125" bestFit="1" customWidth="1"/>
    <col min="475" max="475" width="10.85546875" bestFit="1" customWidth="1"/>
    <col min="476" max="476" width="13.42578125" bestFit="1" customWidth="1"/>
    <col min="477" max="477" width="10.85546875" bestFit="1" customWidth="1"/>
    <col min="478" max="478" width="10" bestFit="1" customWidth="1"/>
    <col min="479" max="479" width="13.42578125" bestFit="1" customWidth="1"/>
    <col min="480" max="480" width="10.85546875" bestFit="1" customWidth="1"/>
    <col min="481" max="481" width="13.42578125" bestFit="1" customWidth="1"/>
    <col min="482" max="482" width="10.85546875" bestFit="1" customWidth="1"/>
    <col min="483" max="483" width="9" bestFit="1" customWidth="1"/>
    <col min="484" max="484" width="13.42578125" bestFit="1" customWidth="1"/>
    <col min="485" max="485" width="10.85546875" bestFit="1" customWidth="1"/>
    <col min="486" max="486" width="13.42578125" bestFit="1" customWidth="1"/>
    <col min="487" max="487" width="10.85546875" bestFit="1" customWidth="1"/>
    <col min="488" max="488" width="13.42578125" bestFit="1" customWidth="1"/>
    <col min="489" max="489" width="10.85546875" bestFit="1" customWidth="1"/>
    <col min="490" max="490" width="10" bestFit="1" customWidth="1"/>
    <col min="491" max="491" width="13.42578125" bestFit="1" customWidth="1"/>
    <col min="492" max="492" width="10.85546875" bestFit="1" customWidth="1"/>
    <col min="493" max="493" width="13.42578125" bestFit="1" customWidth="1"/>
    <col min="494" max="494" width="10.85546875" bestFit="1" customWidth="1"/>
    <col min="495" max="495" width="13.42578125" bestFit="1" customWidth="1"/>
    <col min="496" max="496" width="10.85546875" bestFit="1" customWidth="1"/>
    <col min="497" max="497" width="10" bestFit="1" customWidth="1"/>
    <col min="498" max="498" width="13.42578125" bestFit="1" customWidth="1"/>
    <col min="499" max="499" width="10.85546875" bestFit="1" customWidth="1"/>
    <col min="500" max="500" width="10" bestFit="1" customWidth="1"/>
    <col min="501" max="501" width="13.42578125" bestFit="1" customWidth="1"/>
    <col min="502" max="502" width="10.85546875" bestFit="1" customWidth="1"/>
    <col min="503" max="503" width="13.42578125" bestFit="1" customWidth="1"/>
    <col min="504" max="504" width="10.85546875" bestFit="1" customWidth="1"/>
    <col min="505" max="505" width="13.42578125" bestFit="1" customWidth="1"/>
    <col min="506" max="506" width="10.85546875" bestFit="1" customWidth="1"/>
    <col min="507" max="507" width="13.42578125" bestFit="1" customWidth="1"/>
    <col min="508" max="508" width="10.85546875" bestFit="1" customWidth="1"/>
    <col min="509" max="509" width="10" bestFit="1" customWidth="1"/>
    <col min="510" max="510" width="13.42578125" bestFit="1" customWidth="1"/>
    <col min="511" max="511" width="10.85546875" bestFit="1" customWidth="1"/>
    <col min="512" max="512" width="13.42578125" bestFit="1" customWidth="1"/>
    <col min="513" max="513" width="10.85546875" bestFit="1" customWidth="1"/>
    <col min="514" max="514" width="10" bestFit="1" customWidth="1"/>
    <col min="515" max="515" width="13.42578125" bestFit="1" customWidth="1"/>
    <col min="516" max="516" width="10.85546875" bestFit="1" customWidth="1"/>
    <col min="517" max="517" width="13.42578125" bestFit="1" customWidth="1"/>
    <col min="518" max="518" width="10.85546875" bestFit="1" customWidth="1"/>
    <col min="519" max="519" width="13.42578125" bestFit="1" customWidth="1"/>
    <col min="520" max="520" width="10" bestFit="1" customWidth="1"/>
    <col min="522" max="522" width="10" bestFit="1" customWidth="1"/>
    <col min="523" max="523" width="12.42578125" bestFit="1" customWidth="1"/>
    <col min="524" max="524" width="10.85546875" bestFit="1" customWidth="1"/>
    <col min="525" max="525" width="9" bestFit="1" customWidth="1"/>
    <col min="526" max="526" width="13.42578125" bestFit="1" customWidth="1"/>
    <col min="527" max="527" width="10.85546875" bestFit="1" customWidth="1"/>
    <col min="528" max="528" width="10" bestFit="1" customWidth="1"/>
    <col min="529" max="529" width="13.42578125" bestFit="1" customWidth="1"/>
    <col min="530" max="530" width="10.85546875" bestFit="1" customWidth="1"/>
    <col min="531" max="531" width="13.42578125" bestFit="1" customWidth="1"/>
    <col min="532" max="532" width="10.85546875" bestFit="1" customWidth="1"/>
    <col min="533" max="533" width="13.42578125" bestFit="1" customWidth="1"/>
    <col min="534" max="534" width="10.85546875" bestFit="1" customWidth="1"/>
    <col min="535" max="535" width="10" bestFit="1" customWidth="1"/>
    <col min="536" max="536" width="13.42578125" bestFit="1" customWidth="1"/>
    <col min="537" max="537" width="10.85546875" bestFit="1" customWidth="1"/>
    <col min="538" max="538" width="10" bestFit="1" customWidth="1"/>
    <col min="539" max="539" width="13.42578125" bestFit="1" customWidth="1"/>
    <col min="540" max="540" width="24" bestFit="1" customWidth="1"/>
    <col min="541" max="582" width="10" bestFit="1" customWidth="1"/>
    <col min="583" max="583" width="9" bestFit="1" customWidth="1"/>
    <col min="584" max="605" width="10" bestFit="1" customWidth="1"/>
    <col min="606" max="606" width="9" bestFit="1" customWidth="1"/>
    <col min="607" max="608" width="10" bestFit="1" customWidth="1"/>
    <col min="609" max="609" width="9" bestFit="1" customWidth="1"/>
    <col min="610" max="612" width="10" bestFit="1" customWidth="1"/>
    <col min="613" max="613" width="9" bestFit="1" customWidth="1"/>
    <col min="614" max="640" width="10" bestFit="1" customWidth="1"/>
    <col min="641" max="641" width="8" bestFit="1" customWidth="1"/>
    <col min="642" max="650" width="10" bestFit="1" customWidth="1"/>
    <col min="651" max="651" width="9" bestFit="1" customWidth="1"/>
    <col min="652" max="661" width="10" bestFit="1" customWidth="1"/>
    <col min="662" max="662" width="9" bestFit="1" customWidth="1"/>
    <col min="663" max="680" width="10" bestFit="1" customWidth="1"/>
    <col min="681" max="682" width="9" bestFit="1" customWidth="1"/>
    <col min="683" max="700" width="10" bestFit="1" customWidth="1"/>
    <col min="701" max="701" width="27.140625" bestFit="1" customWidth="1"/>
    <col min="702" max="702" width="12.5703125" bestFit="1" customWidth="1"/>
  </cols>
  <sheetData>
    <row r="3" spans="1:2" x14ac:dyDescent="0.25">
      <c r="A3" s="2" t="s">
        <v>1674</v>
      </c>
      <c r="B3" s="5" t="s">
        <v>1677</v>
      </c>
    </row>
    <row r="4" spans="1:2" x14ac:dyDescent="0.25">
      <c r="A4" s="3" t="s">
        <v>55</v>
      </c>
      <c r="B4" s="5">
        <v>1.0395833333333333</v>
      </c>
    </row>
    <row r="5" spans="1:2" x14ac:dyDescent="0.25">
      <c r="A5" s="3" t="s">
        <v>49</v>
      </c>
      <c r="B5" s="5">
        <v>0.82430555555555551</v>
      </c>
    </row>
    <row r="6" spans="1:2" x14ac:dyDescent="0.25">
      <c r="A6" s="3" t="s">
        <v>85</v>
      </c>
      <c r="B6" s="5">
        <v>1.4243055555555553</v>
      </c>
    </row>
    <row r="7" spans="1:2" x14ac:dyDescent="0.25">
      <c r="A7" s="3" t="s">
        <v>82</v>
      </c>
      <c r="B7" s="5">
        <v>0.90763888888888866</v>
      </c>
    </row>
    <row r="8" spans="1:2" x14ac:dyDescent="0.25">
      <c r="A8" s="3" t="s">
        <v>9</v>
      </c>
      <c r="B8" s="5">
        <v>1.0902777777777779</v>
      </c>
    </row>
    <row r="9" spans="1:2" x14ac:dyDescent="0.25">
      <c r="A9" s="3" t="s">
        <v>62</v>
      </c>
      <c r="B9" s="5">
        <v>0.78472222222222232</v>
      </c>
    </row>
    <row r="10" spans="1:2" x14ac:dyDescent="0.25">
      <c r="A10" s="3" t="s">
        <v>47</v>
      </c>
      <c r="B10" s="5">
        <v>0.70416666666666672</v>
      </c>
    </row>
    <row r="11" spans="1:2" x14ac:dyDescent="0.25">
      <c r="A11" s="3" t="s">
        <v>32</v>
      </c>
      <c r="B11" s="5">
        <v>0.80763888888888891</v>
      </c>
    </row>
    <row r="12" spans="1:2" x14ac:dyDescent="0.25">
      <c r="A12" s="3" t="s">
        <v>52</v>
      </c>
      <c r="B12" s="5">
        <v>0.39513888888888887</v>
      </c>
    </row>
    <row r="13" spans="1:2" x14ac:dyDescent="0.25">
      <c r="A13" s="3" t="s">
        <v>27</v>
      </c>
      <c r="B13" s="5">
        <v>0.90624999999999989</v>
      </c>
    </row>
    <row r="14" spans="1:2" x14ac:dyDescent="0.25">
      <c r="A14" s="3" t="s">
        <v>93</v>
      </c>
      <c r="B14" s="5">
        <v>1.4569444444444446</v>
      </c>
    </row>
    <row r="15" spans="1:2" x14ac:dyDescent="0.25">
      <c r="A15" s="3" t="s">
        <v>96</v>
      </c>
      <c r="B15" s="5">
        <v>0.66111111111111109</v>
      </c>
    </row>
    <row r="16" spans="1:2" x14ac:dyDescent="0.25">
      <c r="A16" s="3" t="s">
        <v>13</v>
      </c>
      <c r="B16" s="5">
        <v>0.89305555555555527</v>
      </c>
    </row>
    <row r="17" spans="1:2" x14ac:dyDescent="0.25">
      <c r="A17" s="3" t="s">
        <v>45</v>
      </c>
      <c r="B17" s="5">
        <v>0.87569444444444444</v>
      </c>
    </row>
    <row r="18" spans="1:2" x14ac:dyDescent="0.25">
      <c r="A18" s="3" t="s">
        <v>67</v>
      </c>
      <c r="B18" s="5">
        <v>0.93055555555555569</v>
      </c>
    </row>
    <row r="19" spans="1:2" x14ac:dyDescent="0.25">
      <c r="A19" s="3" t="s">
        <v>76</v>
      </c>
      <c r="B19" s="5">
        <v>0.40416666666666667</v>
      </c>
    </row>
    <row r="20" spans="1:2" x14ac:dyDescent="0.25">
      <c r="A20" s="3" t="s">
        <v>24</v>
      </c>
      <c r="B20" s="5">
        <v>0.76041666666666674</v>
      </c>
    </row>
    <row r="21" spans="1:2" x14ac:dyDescent="0.25">
      <c r="A21" s="3" t="s">
        <v>137</v>
      </c>
      <c r="B21" s="5">
        <v>0.74583333333333335</v>
      </c>
    </row>
    <row r="22" spans="1:2" x14ac:dyDescent="0.25">
      <c r="A22" s="3" t="s">
        <v>34</v>
      </c>
      <c r="B22" s="5">
        <v>1.6909722222222225</v>
      </c>
    </row>
    <row r="23" spans="1:2" x14ac:dyDescent="0.25">
      <c r="A23" s="3" t="s">
        <v>37</v>
      </c>
      <c r="B23" s="5">
        <v>1.0541666666666667</v>
      </c>
    </row>
    <row r="24" spans="1:2" x14ac:dyDescent="0.25">
      <c r="A24" s="3" t="s">
        <v>133</v>
      </c>
      <c r="B24" s="5">
        <v>0.53055555555555545</v>
      </c>
    </row>
    <row r="25" spans="1:2" x14ac:dyDescent="0.25">
      <c r="A25" s="3" t="s">
        <v>41</v>
      </c>
      <c r="B25" s="5">
        <v>1.4833333333333329</v>
      </c>
    </row>
    <row r="26" spans="1:2" x14ac:dyDescent="0.25">
      <c r="A26" s="3" t="s">
        <v>43</v>
      </c>
      <c r="B26" s="5">
        <v>0.97013888888888888</v>
      </c>
    </row>
    <row r="27" spans="1:2" x14ac:dyDescent="0.25">
      <c r="A27" s="3" t="s">
        <v>17</v>
      </c>
      <c r="B27" s="5">
        <v>1.1506944444444442</v>
      </c>
    </row>
    <row r="28" spans="1:2" x14ac:dyDescent="0.25">
      <c r="A28" s="3" t="s">
        <v>21</v>
      </c>
      <c r="B28" s="5">
        <v>0.92361111111111083</v>
      </c>
    </row>
    <row r="29" spans="1:2" x14ac:dyDescent="0.25">
      <c r="A29" s="3" t="s">
        <v>30</v>
      </c>
      <c r="B29" s="5">
        <v>0.77152777777777759</v>
      </c>
    </row>
    <row r="30" spans="1:2" x14ac:dyDescent="0.25">
      <c r="A30" s="3" t="s">
        <v>1675</v>
      </c>
      <c r="B30" s="5">
        <v>24.186805555555555</v>
      </c>
    </row>
    <row r="31" spans="1:2" x14ac:dyDescent="0.25">
      <c r="B31"/>
    </row>
    <row r="32" spans="1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</sheetData>
  <conditionalFormatting sqref="B1:B3 B1297:B1048576">
    <cfRule type="top10" dxfId="7" priority="1" rank="2"/>
    <cfRule type="top10" dxfId="6" priority="2" rank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57C7-F2FC-4AA0-B513-1F87892F2C3D}">
  <sheetPr>
    <tabColor rgb="FFFFC000"/>
  </sheetPr>
  <dimension ref="A3:B107"/>
  <sheetViews>
    <sheetView topLeftCell="A22" workbookViewId="0">
      <selection activeCell="B33" sqref="B33"/>
    </sheetView>
  </sheetViews>
  <sheetFormatPr baseColWidth="10" defaultRowHeight="15" x14ac:dyDescent="0.25"/>
  <cols>
    <col min="1" max="1" width="21.42578125" bestFit="1" customWidth="1"/>
    <col min="2" max="2" width="29.85546875" style="5" bestFit="1" customWidth="1"/>
  </cols>
  <sheetData>
    <row r="3" spans="1:2" x14ac:dyDescent="0.25">
      <c r="A3" s="2" t="s">
        <v>1674</v>
      </c>
      <c r="B3" s="5" t="s">
        <v>1677</v>
      </c>
    </row>
    <row r="4" spans="1:2" x14ac:dyDescent="0.25">
      <c r="A4" s="3" t="s">
        <v>55</v>
      </c>
      <c r="B4" s="5">
        <v>1.0395833333333335</v>
      </c>
    </row>
    <row r="5" spans="1:2" x14ac:dyDescent="0.25">
      <c r="A5" s="6" t="s">
        <v>18</v>
      </c>
      <c r="B5" s="5">
        <v>0.42361111111111116</v>
      </c>
    </row>
    <row r="6" spans="1:2" x14ac:dyDescent="0.25">
      <c r="A6" s="6" t="s">
        <v>14</v>
      </c>
      <c r="B6" s="5">
        <v>0.2590277777777778</v>
      </c>
    </row>
    <row r="7" spans="1:2" x14ac:dyDescent="0.25">
      <c r="A7" s="6" t="s">
        <v>10</v>
      </c>
      <c r="B7" s="5">
        <v>0.35694444444444445</v>
      </c>
    </row>
    <row r="8" spans="1:2" x14ac:dyDescent="0.25">
      <c r="A8" s="3" t="s">
        <v>49</v>
      </c>
      <c r="B8" s="5">
        <v>0.82430555555555551</v>
      </c>
    </row>
    <row r="9" spans="1:2" x14ac:dyDescent="0.25">
      <c r="A9" s="6" t="s">
        <v>18</v>
      </c>
      <c r="B9" s="5">
        <v>0.2048611111111111</v>
      </c>
    </row>
    <row r="10" spans="1:2" x14ac:dyDescent="0.25">
      <c r="A10" s="6" t="s">
        <v>14</v>
      </c>
      <c r="B10" s="5">
        <v>8.1944444444444445E-2</v>
      </c>
    </row>
    <row r="11" spans="1:2" x14ac:dyDescent="0.25">
      <c r="A11" s="6" t="s">
        <v>10</v>
      </c>
      <c r="B11" s="5">
        <v>0.53749999999999998</v>
      </c>
    </row>
    <row r="12" spans="1:2" x14ac:dyDescent="0.25">
      <c r="A12" s="3" t="s">
        <v>85</v>
      </c>
      <c r="B12" s="5">
        <v>1.4243055555555557</v>
      </c>
    </row>
    <row r="13" spans="1:2" x14ac:dyDescent="0.25">
      <c r="A13" s="6" t="s">
        <v>18</v>
      </c>
      <c r="B13" s="5">
        <v>0.40277777777777779</v>
      </c>
    </row>
    <row r="14" spans="1:2" x14ac:dyDescent="0.25">
      <c r="A14" s="6" t="s">
        <v>14</v>
      </c>
      <c r="B14" s="5">
        <v>0.48333333333333339</v>
      </c>
    </row>
    <row r="15" spans="1:2" x14ac:dyDescent="0.25">
      <c r="A15" s="6" t="s">
        <v>10</v>
      </c>
      <c r="B15" s="5">
        <v>0.53819444444444442</v>
      </c>
    </row>
    <row r="16" spans="1:2" x14ac:dyDescent="0.25">
      <c r="A16" s="3" t="s">
        <v>82</v>
      </c>
      <c r="B16" s="5">
        <v>0.90763888888888899</v>
      </c>
    </row>
    <row r="17" spans="1:2" x14ac:dyDescent="0.25">
      <c r="A17" s="6" t="s">
        <v>18</v>
      </c>
      <c r="B17" s="5">
        <v>0.17916666666666667</v>
      </c>
    </row>
    <row r="18" spans="1:2" x14ac:dyDescent="0.25">
      <c r="A18" s="6" t="s">
        <v>14</v>
      </c>
      <c r="B18" s="5">
        <v>0.66805555555555562</v>
      </c>
    </row>
    <row r="19" spans="1:2" x14ac:dyDescent="0.25">
      <c r="A19" s="6" t="s">
        <v>10</v>
      </c>
      <c r="B19" s="5">
        <v>6.0416666666666667E-2</v>
      </c>
    </row>
    <row r="20" spans="1:2" x14ac:dyDescent="0.25">
      <c r="A20" s="3" t="s">
        <v>9</v>
      </c>
      <c r="B20" s="5">
        <v>1.0902777777777777</v>
      </c>
    </row>
    <row r="21" spans="1:2" x14ac:dyDescent="0.25">
      <c r="A21" s="6" t="s">
        <v>18</v>
      </c>
      <c r="B21" s="5">
        <v>0.22916666666666666</v>
      </c>
    </row>
    <row r="22" spans="1:2" x14ac:dyDescent="0.25">
      <c r="A22" s="6" t="s">
        <v>14</v>
      </c>
      <c r="B22" s="5">
        <v>0.35069444444444442</v>
      </c>
    </row>
    <row r="23" spans="1:2" x14ac:dyDescent="0.25">
      <c r="A23" s="6" t="s">
        <v>10</v>
      </c>
      <c r="B23" s="5">
        <v>0.51041666666666663</v>
      </c>
    </row>
    <row r="24" spans="1:2" x14ac:dyDescent="0.25">
      <c r="A24" s="3" t="s">
        <v>62</v>
      </c>
      <c r="B24" s="5">
        <v>0.78472222222222221</v>
      </c>
    </row>
    <row r="25" spans="1:2" x14ac:dyDescent="0.25">
      <c r="A25" s="6" t="s">
        <v>18</v>
      </c>
      <c r="B25" s="5">
        <v>0.34722222222222227</v>
      </c>
    </row>
    <row r="26" spans="1:2" x14ac:dyDescent="0.25">
      <c r="A26" s="6" t="s">
        <v>14</v>
      </c>
      <c r="B26" s="5">
        <v>0.14166666666666666</v>
      </c>
    </row>
    <row r="27" spans="1:2" x14ac:dyDescent="0.25">
      <c r="A27" s="6" t="s">
        <v>10</v>
      </c>
      <c r="B27" s="5">
        <v>0.29583333333333328</v>
      </c>
    </row>
    <row r="28" spans="1:2" x14ac:dyDescent="0.25">
      <c r="A28" s="3" t="s">
        <v>47</v>
      </c>
      <c r="B28" s="5">
        <v>0.70416666666666661</v>
      </c>
    </row>
    <row r="29" spans="1:2" x14ac:dyDescent="0.25">
      <c r="A29" s="6" t="s">
        <v>18</v>
      </c>
      <c r="B29" s="5">
        <v>8.0555555555555561E-2</v>
      </c>
    </row>
    <row r="30" spans="1:2" x14ac:dyDescent="0.25">
      <c r="A30" s="6" t="s">
        <v>14</v>
      </c>
      <c r="B30" s="5">
        <v>0.21388888888888891</v>
      </c>
    </row>
    <row r="31" spans="1:2" x14ac:dyDescent="0.25">
      <c r="A31" s="6" t="s">
        <v>10</v>
      </c>
      <c r="B31" s="5">
        <v>0.40972222222222221</v>
      </c>
    </row>
    <row r="32" spans="1:2" x14ac:dyDescent="0.25">
      <c r="A32" s="3" t="s">
        <v>32</v>
      </c>
      <c r="B32" s="5">
        <v>0.8076388888888888</v>
      </c>
    </row>
    <row r="33" spans="1:2" x14ac:dyDescent="0.25">
      <c r="A33" s="6" t="s">
        <v>18</v>
      </c>
      <c r="B33" s="5">
        <v>0.30555555555555552</v>
      </c>
    </row>
    <row r="34" spans="1:2" x14ac:dyDescent="0.25">
      <c r="A34" s="6" t="s">
        <v>14</v>
      </c>
      <c r="B34" s="5">
        <v>0.33888888888888891</v>
      </c>
    </row>
    <row r="35" spans="1:2" x14ac:dyDescent="0.25">
      <c r="A35" s="6" t="s">
        <v>10</v>
      </c>
      <c r="B35" s="5">
        <v>0.16319444444444445</v>
      </c>
    </row>
    <row r="36" spans="1:2" x14ac:dyDescent="0.25">
      <c r="A36" s="3" t="s">
        <v>52</v>
      </c>
      <c r="B36" s="5">
        <v>0.39513888888888887</v>
      </c>
    </row>
    <row r="37" spans="1:2" x14ac:dyDescent="0.25">
      <c r="A37" s="6" t="s">
        <v>18</v>
      </c>
      <c r="B37" s="5">
        <v>0.10555555555555557</v>
      </c>
    </row>
    <row r="38" spans="1:2" x14ac:dyDescent="0.25">
      <c r="A38" s="6" t="s">
        <v>14</v>
      </c>
      <c r="B38" s="5">
        <v>8.2638888888888887E-2</v>
      </c>
    </row>
    <row r="39" spans="1:2" x14ac:dyDescent="0.25">
      <c r="A39" s="6" t="s">
        <v>10</v>
      </c>
      <c r="B39" s="5">
        <v>0.20694444444444443</v>
      </c>
    </row>
    <row r="40" spans="1:2" x14ac:dyDescent="0.25">
      <c r="A40" s="3" t="s">
        <v>27</v>
      </c>
      <c r="B40" s="5">
        <v>0.90625</v>
      </c>
    </row>
    <row r="41" spans="1:2" x14ac:dyDescent="0.25">
      <c r="A41" s="6" t="s">
        <v>18</v>
      </c>
      <c r="B41" s="5">
        <v>0.46944444444444444</v>
      </c>
    </row>
    <row r="42" spans="1:2" x14ac:dyDescent="0.25">
      <c r="A42" s="6" t="s">
        <v>14</v>
      </c>
      <c r="B42" s="5">
        <v>0.12083333333333332</v>
      </c>
    </row>
    <row r="43" spans="1:2" x14ac:dyDescent="0.25">
      <c r="A43" s="6" t="s">
        <v>10</v>
      </c>
      <c r="B43" s="5">
        <v>0.31597222222222215</v>
      </c>
    </row>
    <row r="44" spans="1:2" x14ac:dyDescent="0.25">
      <c r="A44" s="3" t="s">
        <v>93</v>
      </c>
      <c r="B44" s="5">
        <v>1.4569444444444444</v>
      </c>
    </row>
    <row r="45" spans="1:2" x14ac:dyDescent="0.25">
      <c r="A45" s="6" t="s">
        <v>18</v>
      </c>
      <c r="B45" s="5">
        <v>0.22986111111111113</v>
      </c>
    </row>
    <row r="46" spans="1:2" x14ac:dyDescent="0.25">
      <c r="A46" s="6" t="s">
        <v>14</v>
      </c>
      <c r="B46" s="5">
        <v>0.31736111111111109</v>
      </c>
    </row>
    <row r="47" spans="1:2" x14ac:dyDescent="0.25">
      <c r="A47" s="6" t="s">
        <v>10</v>
      </c>
      <c r="B47" s="5">
        <v>0.90972222222222199</v>
      </c>
    </row>
    <row r="48" spans="1:2" x14ac:dyDescent="0.25">
      <c r="A48" s="3" t="s">
        <v>96</v>
      </c>
      <c r="B48" s="5">
        <v>0.66111111111111109</v>
      </c>
    </row>
    <row r="49" spans="1:2" x14ac:dyDescent="0.25">
      <c r="A49" s="6" t="s">
        <v>18</v>
      </c>
      <c r="B49" s="5">
        <v>9.6527777777777768E-2</v>
      </c>
    </row>
    <row r="50" spans="1:2" x14ac:dyDescent="0.25">
      <c r="A50" s="6" t="s">
        <v>14</v>
      </c>
      <c r="B50" s="5">
        <v>0.31458333333333338</v>
      </c>
    </row>
    <row r="51" spans="1:2" x14ac:dyDescent="0.25">
      <c r="A51" s="6" t="s">
        <v>10</v>
      </c>
      <c r="B51" s="5">
        <v>0.24999999999999997</v>
      </c>
    </row>
    <row r="52" spans="1:2" x14ac:dyDescent="0.25">
      <c r="A52" s="3" t="s">
        <v>13</v>
      </c>
      <c r="B52" s="5">
        <v>0.89305555555555549</v>
      </c>
    </row>
    <row r="53" spans="1:2" x14ac:dyDescent="0.25">
      <c r="A53" s="6" t="s">
        <v>18</v>
      </c>
      <c r="B53" s="5">
        <v>0.38263888888888892</v>
      </c>
    </row>
    <row r="54" spans="1:2" x14ac:dyDescent="0.25">
      <c r="A54" s="6" t="s">
        <v>14</v>
      </c>
      <c r="B54" s="5">
        <v>0.43402777777777779</v>
      </c>
    </row>
    <row r="55" spans="1:2" x14ac:dyDescent="0.25">
      <c r="A55" s="6" t="s">
        <v>10</v>
      </c>
      <c r="B55" s="5">
        <v>7.6388888888888881E-2</v>
      </c>
    </row>
    <row r="56" spans="1:2" x14ac:dyDescent="0.25">
      <c r="A56" s="3" t="s">
        <v>45</v>
      </c>
      <c r="B56" s="5">
        <v>0.87569444444444444</v>
      </c>
    </row>
    <row r="57" spans="1:2" x14ac:dyDescent="0.25">
      <c r="A57" s="6" t="s">
        <v>18</v>
      </c>
      <c r="B57" s="5">
        <v>0.45902777777777776</v>
      </c>
    </row>
    <row r="58" spans="1:2" x14ac:dyDescent="0.25">
      <c r="A58" s="6" t="s">
        <v>14</v>
      </c>
      <c r="B58" s="5">
        <v>0.23194444444444445</v>
      </c>
    </row>
    <row r="59" spans="1:2" x14ac:dyDescent="0.25">
      <c r="A59" s="6" t="s">
        <v>10</v>
      </c>
      <c r="B59" s="5">
        <v>0.18472222222222223</v>
      </c>
    </row>
    <row r="60" spans="1:2" x14ac:dyDescent="0.25">
      <c r="A60" s="3" t="s">
        <v>67</v>
      </c>
      <c r="B60" s="5">
        <v>0.93055555555555558</v>
      </c>
    </row>
    <row r="61" spans="1:2" x14ac:dyDescent="0.25">
      <c r="A61" s="6" t="s">
        <v>18</v>
      </c>
      <c r="B61" s="5">
        <v>0.24583333333333332</v>
      </c>
    </row>
    <row r="62" spans="1:2" x14ac:dyDescent="0.25">
      <c r="A62" s="6" t="s">
        <v>14</v>
      </c>
      <c r="B62" s="5">
        <v>0.50138888888888888</v>
      </c>
    </row>
    <row r="63" spans="1:2" x14ac:dyDescent="0.25">
      <c r="A63" s="6" t="s">
        <v>10</v>
      </c>
      <c r="B63" s="5">
        <v>0.18333333333333332</v>
      </c>
    </row>
    <row r="64" spans="1:2" x14ac:dyDescent="0.25">
      <c r="A64" s="3" t="s">
        <v>76</v>
      </c>
      <c r="B64" s="5">
        <v>0.40416666666666667</v>
      </c>
    </row>
    <row r="65" spans="1:2" x14ac:dyDescent="0.25">
      <c r="A65" s="6" t="s">
        <v>18</v>
      </c>
      <c r="B65" s="5">
        <v>9.6527777777777768E-2</v>
      </c>
    </row>
    <row r="66" spans="1:2" x14ac:dyDescent="0.25">
      <c r="A66" s="6" t="s">
        <v>14</v>
      </c>
      <c r="B66" s="5">
        <v>0.24583333333333335</v>
      </c>
    </row>
    <row r="67" spans="1:2" x14ac:dyDescent="0.25">
      <c r="A67" s="6" t="s">
        <v>10</v>
      </c>
      <c r="B67" s="5">
        <v>6.1805555555555558E-2</v>
      </c>
    </row>
    <row r="68" spans="1:2" x14ac:dyDescent="0.25">
      <c r="A68" s="3" t="s">
        <v>24</v>
      </c>
      <c r="B68" s="5">
        <v>0.76041666666666674</v>
      </c>
    </row>
    <row r="69" spans="1:2" x14ac:dyDescent="0.25">
      <c r="A69" s="6" t="s">
        <v>14</v>
      </c>
      <c r="B69" s="5">
        <v>0.51388888888888895</v>
      </c>
    </row>
    <row r="70" spans="1:2" x14ac:dyDescent="0.25">
      <c r="A70" s="6" t="s">
        <v>10</v>
      </c>
      <c r="B70" s="5">
        <v>0.24652777777777779</v>
      </c>
    </row>
    <row r="71" spans="1:2" x14ac:dyDescent="0.25">
      <c r="A71" s="3" t="s">
        <v>137</v>
      </c>
      <c r="B71" s="5">
        <v>0.74583333333333335</v>
      </c>
    </row>
    <row r="72" spans="1:2" x14ac:dyDescent="0.25">
      <c r="A72" s="6" t="s">
        <v>18</v>
      </c>
      <c r="B72" s="5">
        <v>0.11805555555555555</v>
      </c>
    </row>
    <row r="73" spans="1:2" x14ac:dyDescent="0.25">
      <c r="A73" s="6" t="s">
        <v>14</v>
      </c>
      <c r="B73" s="5">
        <v>0.21736111111111112</v>
      </c>
    </row>
    <row r="74" spans="1:2" x14ac:dyDescent="0.25">
      <c r="A74" s="6" t="s">
        <v>10</v>
      </c>
      <c r="B74" s="5">
        <v>0.41041666666666665</v>
      </c>
    </row>
    <row r="75" spans="1:2" x14ac:dyDescent="0.25">
      <c r="A75" s="3" t="s">
        <v>34</v>
      </c>
      <c r="B75" s="5">
        <v>1.6909722222222221</v>
      </c>
    </row>
    <row r="76" spans="1:2" x14ac:dyDescent="0.25">
      <c r="A76" s="6" t="s">
        <v>18</v>
      </c>
      <c r="B76" s="5">
        <v>0.61597222222222203</v>
      </c>
    </row>
    <row r="77" spans="1:2" x14ac:dyDescent="0.25">
      <c r="A77" s="6" t="s">
        <v>14</v>
      </c>
      <c r="B77" s="5">
        <v>0.39166666666666666</v>
      </c>
    </row>
    <row r="78" spans="1:2" x14ac:dyDescent="0.25">
      <c r="A78" s="6" t="s">
        <v>10</v>
      </c>
      <c r="B78" s="5">
        <v>0.68333333333333335</v>
      </c>
    </row>
    <row r="79" spans="1:2" x14ac:dyDescent="0.25">
      <c r="A79" s="3" t="s">
        <v>37</v>
      </c>
      <c r="B79" s="5">
        <v>1.0541666666666665</v>
      </c>
    </row>
    <row r="80" spans="1:2" x14ac:dyDescent="0.25">
      <c r="A80" s="6" t="s">
        <v>18</v>
      </c>
      <c r="B80" s="5">
        <v>0.19097222222222221</v>
      </c>
    </row>
    <row r="81" spans="1:2" x14ac:dyDescent="0.25">
      <c r="A81" s="6" t="s">
        <v>14</v>
      </c>
      <c r="B81" s="5">
        <v>0.53611111111111098</v>
      </c>
    </row>
    <row r="82" spans="1:2" x14ac:dyDescent="0.25">
      <c r="A82" s="6" t="s">
        <v>10</v>
      </c>
      <c r="B82" s="5">
        <v>0.32708333333333328</v>
      </c>
    </row>
    <row r="83" spans="1:2" x14ac:dyDescent="0.25">
      <c r="A83" s="3" t="s">
        <v>133</v>
      </c>
      <c r="B83" s="5">
        <v>0.53055555555555545</v>
      </c>
    </row>
    <row r="84" spans="1:2" x14ac:dyDescent="0.25">
      <c r="A84" s="6" t="s">
        <v>18</v>
      </c>
      <c r="B84" s="5">
        <v>0.12847222222222221</v>
      </c>
    </row>
    <row r="85" spans="1:2" x14ac:dyDescent="0.25">
      <c r="A85" s="6" t="s">
        <v>14</v>
      </c>
      <c r="B85" s="5">
        <v>0.26388888888888884</v>
      </c>
    </row>
    <row r="86" spans="1:2" x14ac:dyDescent="0.25">
      <c r="A86" s="6" t="s">
        <v>10</v>
      </c>
      <c r="B86" s="5">
        <v>0.13819444444444445</v>
      </c>
    </row>
    <row r="87" spans="1:2" x14ac:dyDescent="0.25">
      <c r="A87" s="3" t="s">
        <v>41</v>
      </c>
      <c r="B87" s="5">
        <v>1.4833333333333334</v>
      </c>
    </row>
    <row r="88" spans="1:2" x14ac:dyDescent="0.25">
      <c r="A88" s="6" t="s">
        <v>18</v>
      </c>
      <c r="B88" s="5">
        <v>1.0062499999999999</v>
      </c>
    </row>
    <row r="89" spans="1:2" x14ac:dyDescent="0.25">
      <c r="A89" s="6" t="s">
        <v>14</v>
      </c>
      <c r="B89" s="5">
        <v>0.1423611111111111</v>
      </c>
    </row>
    <row r="90" spans="1:2" x14ac:dyDescent="0.25">
      <c r="A90" s="6" t="s">
        <v>10</v>
      </c>
      <c r="B90" s="5">
        <v>0.33472222222222225</v>
      </c>
    </row>
    <row r="91" spans="1:2" x14ac:dyDescent="0.25">
      <c r="A91" s="3" t="s">
        <v>43</v>
      </c>
      <c r="B91" s="5">
        <v>0.97013888888888888</v>
      </c>
    </row>
    <row r="92" spans="1:2" x14ac:dyDescent="0.25">
      <c r="A92" s="6" t="s">
        <v>18</v>
      </c>
      <c r="B92" s="5">
        <v>0.29722222222222228</v>
      </c>
    </row>
    <row r="93" spans="1:2" x14ac:dyDescent="0.25">
      <c r="A93" s="6" t="s">
        <v>14</v>
      </c>
      <c r="B93" s="5">
        <v>0.24791666666666667</v>
      </c>
    </row>
    <row r="94" spans="1:2" x14ac:dyDescent="0.25">
      <c r="A94" s="6" t="s">
        <v>10</v>
      </c>
      <c r="B94" s="5">
        <v>0.42499999999999999</v>
      </c>
    </row>
    <row r="95" spans="1:2" x14ac:dyDescent="0.25">
      <c r="A95" s="3" t="s">
        <v>17</v>
      </c>
      <c r="B95" s="5">
        <v>1.1506944444444445</v>
      </c>
    </row>
    <row r="96" spans="1:2" x14ac:dyDescent="0.25">
      <c r="A96" s="6" t="s">
        <v>18</v>
      </c>
      <c r="B96" s="5">
        <v>0.23680555555555555</v>
      </c>
    </row>
    <row r="97" spans="1:2" x14ac:dyDescent="0.25">
      <c r="A97" s="6" t="s">
        <v>14</v>
      </c>
      <c r="B97" s="5">
        <v>0.42222222222222222</v>
      </c>
    </row>
    <row r="98" spans="1:2" x14ac:dyDescent="0.25">
      <c r="A98" s="6" t="s">
        <v>10</v>
      </c>
      <c r="B98" s="5">
        <v>0.4916666666666667</v>
      </c>
    </row>
    <row r="99" spans="1:2" x14ac:dyDescent="0.25">
      <c r="A99" s="3" t="s">
        <v>21</v>
      </c>
      <c r="B99" s="5">
        <v>0.92361111111111116</v>
      </c>
    </row>
    <row r="100" spans="1:2" x14ac:dyDescent="0.25">
      <c r="A100" s="6" t="s">
        <v>18</v>
      </c>
      <c r="B100" s="5">
        <v>0.37152777777777779</v>
      </c>
    </row>
    <row r="101" spans="1:2" x14ac:dyDescent="0.25">
      <c r="A101" s="6" t="s">
        <v>14</v>
      </c>
      <c r="B101" s="5">
        <v>0.22222222222222221</v>
      </c>
    </row>
    <row r="102" spans="1:2" x14ac:dyDescent="0.25">
      <c r="A102" s="6" t="s">
        <v>10</v>
      </c>
      <c r="B102" s="5">
        <v>0.32986111111111116</v>
      </c>
    </row>
    <row r="103" spans="1:2" x14ac:dyDescent="0.25">
      <c r="A103" s="3" t="s">
        <v>30</v>
      </c>
      <c r="B103" s="5">
        <v>0.77152777777777781</v>
      </c>
    </row>
    <row r="104" spans="1:2" x14ac:dyDescent="0.25">
      <c r="A104" s="6" t="s">
        <v>18</v>
      </c>
      <c r="B104" s="5">
        <v>0.15277777777777779</v>
      </c>
    </row>
    <row r="105" spans="1:2" x14ac:dyDescent="0.25">
      <c r="A105" s="6" t="s">
        <v>14</v>
      </c>
      <c r="B105" s="5">
        <v>0.21805555555555553</v>
      </c>
    </row>
    <row r="106" spans="1:2" x14ac:dyDescent="0.25">
      <c r="A106" s="6" t="s">
        <v>10</v>
      </c>
      <c r="B106" s="5">
        <v>0.40069444444444446</v>
      </c>
    </row>
    <row r="107" spans="1:2" x14ac:dyDescent="0.25">
      <c r="A107" s="3" t="s">
        <v>1675</v>
      </c>
      <c r="B107" s="5">
        <v>24.186805555555551</v>
      </c>
    </row>
  </sheetData>
  <conditionalFormatting sqref="B1:B3 B108:B1048576">
    <cfRule type="top10" dxfId="5" priority="1" rank="4"/>
    <cfRule type="top10" dxfId="4" priority="2" rank="3"/>
    <cfRule type="top10" dxfId="3" priority="3" rank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55CF-99C8-43C1-A3D1-8FDB66B73229}">
  <sheetPr>
    <tabColor theme="6" tint="0.59999389629810485"/>
  </sheetPr>
  <dimension ref="A3:C82"/>
  <sheetViews>
    <sheetView workbookViewId="0">
      <selection activeCell="B1" sqref="B1"/>
    </sheetView>
  </sheetViews>
  <sheetFormatPr baseColWidth="10" defaultRowHeight="15" x14ac:dyDescent="0.25"/>
  <cols>
    <col min="1" max="1" width="21.42578125" bestFit="1" customWidth="1"/>
    <col min="2" max="2" width="28" bestFit="1" customWidth="1"/>
    <col min="3" max="3" width="28.7109375" style="8" bestFit="1" customWidth="1"/>
  </cols>
  <sheetData>
    <row r="3" spans="1:3" x14ac:dyDescent="0.25">
      <c r="A3" s="2" t="s">
        <v>1674</v>
      </c>
      <c r="B3" t="s">
        <v>1678</v>
      </c>
      <c r="C3" s="8" t="s">
        <v>1679</v>
      </c>
    </row>
    <row r="4" spans="1:3" x14ac:dyDescent="0.25">
      <c r="A4" s="3" t="s">
        <v>55</v>
      </c>
    </row>
    <row r="5" spans="1:3" x14ac:dyDescent="0.25">
      <c r="A5" s="6" t="s">
        <v>1321</v>
      </c>
      <c r="B5">
        <v>12</v>
      </c>
      <c r="C5" s="8">
        <v>0.46153846153846156</v>
      </c>
    </row>
    <row r="6" spans="1:3" x14ac:dyDescent="0.25">
      <c r="A6" s="6" t="s">
        <v>1312</v>
      </c>
      <c r="B6">
        <v>3</v>
      </c>
      <c r="C6" s="8">
        <v>0.11538461538461539</v>
      </c>
    </row>
    <row r="7" spans="1:3" x14ac:dyDescent="0.25">
      <c r="A7" s="3" t="s">
        <v>49</v>
      </c>
    </row>
    <row r="8" spans="1:3" x14ac:dyDescent="0.25">
      <c r="A8" s="6" t="s">
        <v>1321</v>
      </c>
      <c r="B8">
        <v>7</v>
      </c>
      <c r="C8" s="8">
        <v>0.26923076923076922</v>
      </c>
    </row>
    <row r="9" spans="1:3" x14ac:dyDescent="0.25">
      <c r="A9" s="6" t="s">
        <v>1312</v>
      </c>
      <c r="B9">
        <v>7</v>
      </c>
      <c r="C9" s="8">
        <v>0.26923076923076922</v>
      </c>
    </row>
    <row r="10" spans="1:3" x14ac:dyDescent="0.25">
      <c r="A10" s="3" t="s">
        <v>85</v>
      </c>
    </row>
    <row r="11" spans="1:3" x14ac:dyDescent="0.25">
      <c r="A11" s="6" t="s">
        <v>1321</v>
      </c>
      <c r="B11">
        <v>7</v>
      </c>
      <c r="C11" s="8">
        <v>0.26923076923076922</v>
      </c>
    </row>
    <row r="12" spans="1:3" x14ac:dyDescent="0.25">
      <c r="A12" s="6" t="s">
        <v>1312</v>
      </c>
      <c r="B12">
        <v>12</v>
      </c>
      <c r="C12" s="8">
        <v>0.46153846153846156</v>
      </c>
    </row>
    <row r="13" spans="1:3" x14ac:dyDescent="0.25">
      <c r="A13" s="3" t="s">
        <v>82</v>
      </c>
    </row>
    <row r="14" spans="1:3" x14ac:dyDescent="0.25">
      <c r="A14" s="6" t="s">
        <v>1321</v>
      </c>
      <c r="B14">
        <v>10</v>
      </c>
      <c r="C14" s="8">
        <v>0.38461538461538464</v>
      </c>
    </row>
    <row r="15" spans="1:3" x14ac:dyDescent="0.25">
      <c r="A15" s="6" t="s">
        <v>1312</v>
      </c>
      <c r="B15">
        <v>6</v>
      </c>
      <c r="C15" s="8">
        <v>0.23076923076923078</v>
      </c>
    </row>
    <row r="16" spans="1:3" x14ac:dyDescent="0.25">
      <c r="A16" s="3" t="s">
        <v>9</v>
      </c>
    </row>
    <row r="17" spans="1:3" x14ac:dyDescent="0.25">
      <c r="A17" s="6" t="s">
        <v>1321</v>
      </c>
      <c r="B17">
        <v>4</v>
      </c>
      <c r="C17" s="8">
        <v>0.15384615384615385</v>
      </c>
    </row>
    <row r="18" spans="1:3" x14ac:dyDescent="0.25">
      <c r="A18" s="6" t="s">
        <v>1312</v>
      </c>
      <c r="B18">
        <v>8</v>
      </c>
      <c r="C18" s="8">
        <v>0.30769230769230771</v>
      </c>
    </row>
    <row r="19" spans="1:3" x14ac:dyDescent="0.25">
      <c r="A19" s="3" t="s">
        <v>62</v>
      </c>
    </row>
    <row r="20" spans="1:3" x14ac:dyDescent="0.25">
      <c r="A20" s="6" t="s">
        <v>1321</v>
      </c>
      <c r="B20">
        <v>4</v>
      </c>
      <c r="C20" s="8">
        <v>0.15384615384615385</v>
      </c>
    </row>
    <row r="21" spans="1:3" x14ac:dyDescent="0.25">
      <c r="A21" s="6" t="s">
        <v>1312</v>
      </c>
      <c r="B21">
        <v>5</v>
      </c>
      <c r="C21" s="8">
        <v>0.19230769230769232</v>
      </c>
    </row>
    <row r="22" spans="1:3" x14ac:dyDescent="0.25">
      <c r="A22" s="3" t="s">
        <v>47</v>
      </c>
    </row>
    <row r="23" spans="1:3" x14ac:dyDescent="0.25">
      <c r="A23" s="6" t="s">
        <v>1321</v>
      </c>
      <c r="B23">
        <v>7</v>
      </c>
      <c r="C23" s="8">
        <v>0.26923076923076922</v>
      </c>
    </row>
    <row r="24" spans="1:3" x14ac:dyDescent="0.25">
      <c r="A24" s="6" t="s">
        <v>1312</v>
      </c>
      <c r="B24">
        <v>5</v>
      </c>
      <c r="C24" s="8">
        <v>0.19230769230769232</v>
      </c>
    </row>
    <row r="25" spans="1:3" x14ac:dyDescent="0.25">
      <c r="A25" s="3" t="s">
        <v>32</v>
      </c>
    </row>
    <row r="26" spans="1:3" x14ac:dyDescent="0.25">
      <c r="A26" s="6" t="s">
        <v>1321</v>
      </c>
      <c r="B26">
        <v>6</v>
      </c>
      <c r="C26" s="8">
        <v>0.23076923076923078</v>
      </c>
    </row>
    <row r="27" spans="1:3" x14ac:dyDescent="0.25">
      <c r="A27" s="6" t="s">
        <v>1312</v>
      </c>
      <c r="B27">
        <v>6</v>
      </c>
      <c r="C27" s="8">
        <v>0.23076923076923078</v>
      </c>
    </row>
    <row r="28" spans="1:3" x14ac:dyDescent="0.25">
      <c r="A28" s="3" t="s">
        <v>52</v>
      </c>
    </row>
    <row r="29" spans="1:3" x14ac:dyDescent="0.25">
      <c r="A29" s="6" t="s">
        <v>1321</v>
      </c>
      <c r="B29">
        <v>5</v>
      </c>
      <c r="C29" s="8">
        <v>0.19230769230769232</v>
      </c>
    </row>
    <row r="30" spans="1:3" x14ac:dyDescent="0.25">
      <c r="A30" s="6" t="s">
        <v>1312</v>
      </c>
      <c r="B30">
        <v>5</v>
      </c>
      <c r="C30" s="8">
        <v>0.19230769230769232</v>
      </c>
    </row>
    <row r="31" spans="1:3" x14ac:dyDescent="0.25">
      <c r="A31" s="3" t="s">
        <v>27</v>
      </c>
    </row>
    <row r="32" spans="1:3" x14ac:dyDescent="0.25">
      <c r="A32" s="6" t="s">
        <v>1321</v>
      </c>
      <c r="B32">
        <v>4</v>
      </c>
      <c r="C32" s="8">
        <v>0.15384615384615385</v>
      </c>
    </row>
    <row r="33" spans="1:3" x14ac:dyDescent="0.25">
      <c r="A33" s="6" t="s">
        <v>1312</v>
      </c>
      <c r="B33">
        <v>10</v>
      </c>
      <c r="C33" s="8">
        <v>0.38461538461538464</v>
      </c>
    </row>
    <row r="34" spans="1:3" x14ac:dyDescent="0.25">
      <c r="A34" s="3" t="s">
        <v>93</v>
      </c>
    </row>
    <row r="35" spans="1:3" x14ac:dyDescent="0.25">
      <c r="A35" s="6" t="s">
        <v>1321</v>
      </c>
      <c r="B35">
        <v>7</v>
      </c>
      <c r="C35" s="8">
        <v>0.26923076923076922</v>
      </c>
    </row>
    <row r="36" spans="1:3" x14ac:dyDescent="0.25">
      <c r="A36" s="6" t="s">
        <v>1312</v>
      </c>
      <c r="B36">
        <v>10</v>
      </c>
      <c r="C36" s="8">
        <v>0.38461538461538464</v>
      </c>
    </row>
    <row r="37" spans="1:3" x14ac:dyDescent="0.25">
      <c r="A37" s="3" t="s">
        <v>96</v>
      </c>
    </row>
    <row r="38" spans="1:3" x14ac:dyDescent="0.25">
      <c r="A38" s="6" t="s">
        <v>1321</v>
      </c>
      <c r="B38">
        <v>6</v>
      </c>
      <c r="C38" s="8">
        <v>0.23076923076923078</v>
      </c>
    </row>
    <row r="39" spans="1:3" x14ac:dyDescent="0.25">
      <c r="A39" s="6" t="s">
        <v>1312</v>
      </c>
      <c r="B39">
        <v>2</v>
      </c>
      <c r="C39" s="8">
        <v>7.6923076923076927E-2</v>
      </c>
    </row>
    <row r="40" spans="1:3" x14ac:dyDescent="0.25">
      <c r="A40" s="3" t="s">
        <v>13</v>
      </c>
    </row>
    <row r="41" spans="1:3" x14ac:dyDescent="0.25">
      <c r="A41" s="6" t="s">
        <v>1321</v>
      </c>
      <c r="B41">
        <v>8</v>
      </c>
      <c r="C41" s="8">
        <v>0.30769230769230771</v>
      </c>
    </row>
    <row r="42" spans="1:3" x14ac:dyDescent="0.25">
      <c r="A42" s="6" t="s">
        <v>1312</v>
      </c>
      <c r="B42">
        <v>7</v>
      </c>
      <c r="C42" s="8">
        <v>0.26923076923076922</v>
      </c>
    </row>
    <row r="43" spans="1:3" x14ac:dyDescent="0.25">
      <c r="A43" s="3" t="s">
        <v>45</v>
      </c>
    </row>
    <row r="44" spans="1:3" x14ac:dyDescent="0.25">
      <c r="A44" s="6" t="s">
        <v>1321</v>
      </c>
      <c r="B44">
        <v>7</v>
      </c>
      <c r="C44" s="8">
        <v>0.26923076923076922</v>
      </c>
    </row>
    <row r="45" spans="1:3" x14ac:dyDescent="0.25">
      <c r="A45" s="6" t="s">
        <v>1312</v>
      </c>
      <c r="B45">
        <v>8</v>
      </c>
      <c r="C45" s="8">
        <v>0.30769230769230771</v>
      </c>
    </row>
    <row r="46" spans="1:3" x14ac:dyDescent="0.25">
      <c r="A46" s="3" t="s">
        <v>67</v>
      </c>
    </row>
    <row r="47" spans="1:3" x14ac:dyDescent="0.25">
      <c r="A47" s="6" t="s">
        <v>1321</v>
      </c>
      <c r="B47">
        <v>7</v>
      </c>
      <c r="C47" s="8">
        <v>0.26923076923076922</v>
      </c>
    </row>
    <row r="48" spans="1:3" x14ac:dyDescent="0.25">
      <c r="A48" s="6" t="s">
        <v>1312</v>
      </c>
      <c r="B48">
        <v>9</v>
      </c>
      <c r="C48" s="8">
        <v>0.34615384615384615</v>
      </c>
    </row>
    <row r="49" spans="1:3" x14ac:dyDescent="0.25">
      <c r="A49" s="3" t="s">
        <v>76</v>
      </c>
    </row>
    <row r="50" spans="1:3" x14ac:dyDescent="0.25">
      <c r="A50" s="6" t="s">
        <v>1321</v>
      </c>
      <c r="B50">
        <v>5</v>
      </c>
      <c r="C50" s="8">
        <v>0.19230769230769232</v>
      </c>
    </row>
    <row r="51" spans="1:3" x14ac:dyDescent="0.25">
      <c r="A51" s="6" t="s">
        <v>1312</v>
      </c>
      <c r="B51">
        <v>4</v>
      </c>
      <c r="C51" s="8">
        <v>0.15384615384615385</v>
      </c>
    </row>
    <row r="52" spans="1:3" x14ac:dyDescent="0.25">
      <c r="A52" s="3" t="s">
        <v>24</v>
      </c>
    </row>
    <row r="53" spans="1:3" x14ac:dyDescent="0.25">
      <c r="A53" s="6" t="s">
        <v>1321</v>
      </c>
      <c r="B53">
        <v>8</v>
      </c>
      <c r="C53" s="8">
        <v>0.30769230769230771</v>
      </c>
    </row>
    <row r="54" spans="1:3" x14ac:dyDescent="0.25">
      <c r="A54" s="6" t="s">
        <v>1312</v>
      </c>
      <c r="B54">
        <v>4</v>
      </c>
      <c r="C54" s="8">
        <v>0.15384615384615385</v>
      </c>
    </row>
    <row r="55" spans="1:3" x14ac:dyDescent="0.25">
      <c r="A55" s="3" t="s">
        <v>137</v>
      </c>
    </row>
    <row r="56" spans="1:3" x14ac:dyDescent="0.25">
      <c r="A56" s="6" t="s">
        <v>1321</v>
      </c>
      <c r="B56">
        <v>5</v>
      </c>
      <c r="C56" s="8">
        <v>0.19230769230769232</v>
      </c>
    </row>
    <row r="57" spans="1:3" x14ac:dyDescent="0.25">
      <c r="A57" s="6" t="s">
        <v>1312</v>
      </c>
      <c r="B57">
        <v>3</v>
      </c>
      <c r="C57" s="8">
        <v>0.11538461538461539</v>
      </c>
    </row>
    <row r="58" spans="1:3" x14ac:dyDescent="0.25">
      <c r="A58" s="3" t="s">
        <v>34</v>
      </c>
    </row>
    <row r="59" spans="1:3" x14ac:dyDescent="0.25">
      <c r="A59" s="6" t="s">
        <v>1321</v>
      </c>
      <c r="B59">
        <v>14</v>
      </c>
      <c r="C59" s="8">
        <v>0.53846153846153844</v>
      </c>
    </row>
    <row r="60" spans="1:3" x14ac:dyDescent="0.25">
      <c r="A60" s="6" t="s">
        <v>1312</v>
      </c>
      <c r="B60">
        <v>13</v>
      </c>
      <c r="C60" s="8">
        <v>0.5</v>
      </c>
    </row>
    <row r="61" spans="1:3" x14ac:dyDescent="0.25">
      <c r="A61" s="3" t="s">
        <v>37</v>
      </c>
    </row>
    <row r="62" spans="1:3" x14ac:dyDescent="0.25">
      <c r="A62" s="6" t="s">
        <v>1321</v>
      </c>
      <c r="B62">
        <v>10</v>
      </c>
      <c r="C62" s="8">
        <v>0.38461538461538464</v>
      </c>
    </row>
    <row r="63" spans="1:3" x14ac:dyDescent="0.25">
      <c r="A63" s="6" t="s">
        <v>1312</v>
      </c>
      <c r="B63">
        <v>11</v>
      </c>
      <c r="C63" s="8">
        <v>0.42307692307692307</v>
      </c>
    </row>
    <row r="64" spans="1:3" x14ac:dyDescent="0.25">
      <c r="A64" s="3" t="s">
        <v>133</v>
      </c>
    </row>
    <row r="65" spans="1:3" x14ac:dyDescent="0.25">
      <c r="A65" s="6" t="s">
        <v>1321</v>
      </c>
      <c r="B65">
        <v>5</v>
      </c>
      <c r="C65" s="8">
        <v>0.19230769230769232</v>
      </c>
    </row>
    <row r="66" spans="1:3" x14ac:dyDescent="0.25">
      <c r="A66" s="6" t="s">
        <v>1312</v>
      </c>
      <c r="B66">
        <v>3</v>
      </c>
      <c r="C66" s="8">
        <v>0.11538461538461539</v>
      </c>
    </row>
    <row r="67" spans="1:3" x14ac:dyDescent="0.25">
      <c r="A67" s="3" t="s">
        <v>41</v>
      </c>
    </row>
    <row r="68" spans="1:3" x14ac:dyDescent="0.25">
      <c r="A68" s="6" t="s">
        <v>1321</v>
      </c>
      <c r="B68">
        <v>11</v>
      </c>
      <c r="C68" s="8">
        <v>0.42307692307692307</v>
      </c>
    </row>
    <row r="69" spans="1:3" x14ac:dyDescent="0.25">
      <c r="A69" s="6" t="s">
        <v>1312</v>
      </c>
      <c r="B69">
        <v>9</v>
      </c>
      <c r="C69" s="8">
        <v>0.34615384615384615</v>
      </c>
    </row>
    <row r="70" spans="1:3" x14ac:dyDescent="0.25">
      <c r="A70" s="3" t="s">
        <v>43</v>
      </c>
    </row>
    <row r="71" spans="1:3" x14ac:dyDescent="0.25">
      <c r="A71" s="6" t="s">
        <v>1321</v>
      </c>
      <c r="B71">
        <v>7</v>
      </c>
      <c r="C71" s="8">
        <v>0.26923076923076922</v>
      </c>
    </row>
    <row r="72" spans="1:3" x14ac:dyDescent="0.25">
      <c r="A72" s="6" t="s">
        <v>1312</v>
      </c>
      <c r="B72">
        <v>8</v>
      </c>
      <c r="C72" s="8">
        <v>0.30769230769230771</v>
      </c>
    </row>
    <row r="73" spans="1:3" x14ac:dyDescent="0.25">
      <c r="A73" s="3" t="s">
        <v>17</v>
      </c>
    </row>
    <row r="74" spans="1:3" x14ac:dyDescent="0.25">
      <c r="A74" s="6" t="s">
        <v>1321</v>
      </c>
      <c r="B74">
        <v>5</v>
      </c>
      <c r="C74" s="8">
        <v>0.19230769230769232</v>
      </c>
    </row>
    <row r="75" spans="1:3" x14ac:dyDescent="0.25">
      <c r="A75" s="6" t="s">
        <v>1312</v>
      </c>
      <c r="B75">
        <v>7</v>
      </c>
      <c r="C75" s="8">
        <v>0.26923076923076922</v>
      </c>
    </row>
    <row r="76" spans="1:3" x14ac:dyDescent="0.25">
      <c r="A76" s="3" t="s">
        <v>21</v>
      </c>
    </row>
    <row r="77" spans="1:3" x14ac:dyDescent="0.25">
      <c r="A77" s="6" t="s">
        <v>1321</v>
      </c>
      <c r="B77">
        <v>5</v>
      </c>
      <c r="C77" s="8">
        <v>0.19230769230769232</v>
      </c>
    </row>
    <row r="78" spans="1:3" x14ac:dyDescent="0.25">
      <c r="A78" s="6" t="s">
        <v>1312</v>
      </c>
      <c r="B78">
        <v>7</v>
      </c>
      <c r="C78" s="8">
        <v>0.26923076923076922</v>
      </c>
    </row>
    <row r="79" spans="1:3" x14ac:dyDescent="0.25">
      <c r="A79" s="3" t="s">
        <v>30</v>
      </c>
    </row>
    <row r="80" spans="1:3" x14ac:dyDescent="0.25">
      <c r="A80" s="6" t="s">
        <v>1321</v>
      </c>
      <c r="B80">
        <v>6</v>
      </c>
      <c r="C80" s="8">
        <v>0.23076923076923078</v>
      </c>
    </row>
    <row r="81" spans="1:3" x14ac:dyDescent="0.25">
      <c r="A81" s="6" t="s">
        <v>1312</v>
      </c>
      <c r="B81">
        <v>7</v>
      </c>
      <c r="C81" s="8">
        <v>0.26923076923076922</v>
      </c>
    </row>
    <row r="82" spans="1:3" x14ac:dyDescent="0.25">
      <c r="A82" s="3" t="s">
        <v>1675</v>
      </c>
      <c r="B82">
        <v>361</v>
      </c>
      <c r="C82" s="8">
        <v>13.884615384615385</v>
      </c>
    </row>
  </sheetData>
  <conditionalFormatting sqref="C1:C3 C83:C1048576">
    <cfRule type="top10" dxfId="2" priority="1" rank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D2CF-2CC6-4A9C-AF7D-046980264272}">
  <sheetPr>
    <tabColor rgb="FFFF0000"/>
  </sheetPr>
  <dimension ref="A1:B30"/>
  <sheetViews>
    <sheetView topLeftCell="A14" workbookViewId="0">
      <selection activeCell="B16" sqref="B16"/>
    </sheetView>
  </sheetViews>
  <sheetFormatPr baseColWidth="10" defaultRowHeight="15" x14ac:dyDescent="0.25"/>
  <cols>
    <col min="1" max="1" width="21.42578125" bestFit="1" customWidth="1"/>
    <col min="2" max="2" width="21.5703125" bestFit="1" customWidth="1"/>
  </cols>
  <sheetData>
    <row r="1" spans="1:2" x14ac:dyDescent="0.25">
      <c r="A1" s="2" t="s">
        <v>1683</v>
      </c>
      <c r="B1" t="s">
        <v>1687</v>
      </c>
    </row>
    <row r="3" spans="1:2" x14ac:dyDescent="0.25">
      <c r="A3" s="2" t="s">
        <v>1674</v>
      </c>
      <c r="B3" t="s">
        <v>1685</v>
      </c>
    </row>
    <row r="4" spans="1:2" x14ac:dyDescent="0.25">
      <c r="A4" s="3" t="s">
        <v>55</v>
      </c>
      <c r="B4">
        <v>24</v>
      </c>
    </row>
    <row r="5" spans="1:2" x14ac:dyDescent="0.25">
      <c r="A5" s="3" t="s">
        <v>49</v>
      </c>
      <c r="B5">
        <v>18</v>
      </c>
    </row>
    <row r="6" spans="1:2" x14ac:dyDescent="0.25">
      <c r="A6" s="3" t="s">
        <v>85</v>
      </c>
      <c r="B6">
        <v>29</v>
      </c>
    </row>
    <row r="7" spans="1:2" x14ac:dyDescent="0.25">
      <c r="A7" s="3" t="s">
        <v>82</v>
      </c>
      <c r="B7">
        <v>25</v>
      </c>
    </row>
    <row r="8" spans="1:2" x14ac:dyDescent="0.25">
      <c r="A8" s="3" t="s">
        <v>9</v>
      </c>
      <c r="B8">
        <v>11</v>
      </c>
    </row>
    <row r="9" spans="1:2" x14ac:dyDescent="0.25">
      <c r="A9" s="3" t="s">
        <v>62</v>
      </c>
      <c r="B9">
        <v>24</v>
      </c>
    </row>
    <row r="10" spans="1:2" x14ac:dyDescent="0.25">
      <c r="A10" s="3" t="s">
        <v>47</v>
      </c>
      <c r="B10">
        <v>19</v>
      </c>
    </row>
    <row r="11" spans="1:2" x14ac:dyDescent="0.25">
      <c r="A11" s="3" t="s">
        <v>32</v>
      </c>
      <c r="B11">
        <v>23</v>
      </c>
    </row>
    <row r="12" spans="1:2" x14ac:dyDescent="0.25">
      <c r="A12" s="3" t="s">
        <v>52</v>
      </c>
      <c r="B12">
        <v>17</v>
      </c>
    </row>
    <row r="13" spans="1:2" x14ac:dyDescent="0.25">
      <c r="A13" s="3" t="s">
        <v>27</v>
      </c>
      <c r="B13">
        <v>17</v>
      </c>
    </row>
    <row r="14" spans="1:2" x14ac:dyDescent="0.25">
      <c r="A14" s="3" t="s">
        <v>93</v>
      </c>
      <c r="B14">
        <v>11</v>
      </c>
    </row>
    <row r="15" spans="1:2" x14ac:dyDescent="0.25">
      <c r="A15" s="3" t="s">
        <v>96</v>
      </c>
      <c r="B15">
        <v>25</v>
      </c>
    </row>
    <row r="16" spans="1:2" x14ac:dyDescent="0.25">
      <c r="A16" s="3" t="s">
        <v>13</v>
      </c>
      <c r="B16">
        <v>24</v>
      </c>
    </row>
    <row r="17" spans="1:2" x14ac:dyDescent="0.25">
      <c r="A17" s="3" t="s">
        <v>45</v>
      </c>
      <c r="B17">
        <v>16</v>
      </c>
    </row>
    <row r="18" spans="1:2" x14ac:dyDescent="0.25">
      <c r="A18" s="3" t="s">
        <v>67</v>
      </c>
      <c r="B18">
        <v>12</v>
      </c>
    </row>
    <row r="19" spans="1:2" x14ac:dyDescent="0.25">
      <c r="A19" s="3" t="s">
        <v>76</v>
      </c>
      <c r="B19">
        <v>24</v>
      </c>
    </row>
    <row r="20" spans="1:2" x14ac:dyDescent="0.25">
      <c r="A20" s="3" t="s">
        <v>24</v>
      </c>
      <c r="B20">
        <v>20</v>
      </c>
    </row>
    <row r="21" spans="1:2" x14ac:dyDescent="0.25">
      <c r="A21" s="3" t="s">
        <v>137</v>
      </c>
      <c r="B21">
        <v>19</v>
      </c>
    </row>
    <row r="22" spans="1:2" x14ac:dyDescent="0.25">
      <c r="A22" s="3" t="s">
        <v>34</v>
      </c>
      <c r="B22">
        <v>24</v>
      </c>
    </row>
    <row r="23" spans="1:2" x14ac:dyDescent="0.25">
      <c r="A23" s="3" t="s">
        <v>37</v>
      </c>
      <c r="B23">
        <v>21</v>
      </c>
    </row>
    <row r="24" spans="1:2" x14ac:dyDescent="0.25">
      <c r="A24" s="3" t="s">
        <v>133</v>
      </c>
      <c r="B24">
        <v>21</v>
      </c>
    </row>
    <row r="25" spans="1:2" x14ac:dyDescent="0.25">
      <c r="A25" s="3" t="s">
        <v>41</v>
      </c>
      <c r="B25">
        <v>15</v>
      </c>
    </row>
    <row r="26" spans="1:2" x14ac:dyDescent="0.25">
      <c r="A26" s="3" t="s">
        <v>43</v>
      </c>
      <c r="B26">
        <v>22</v>
      </c>
    </row>
    <row r="27" spans="1:2" x14ac:dyDescent="0.25">
      <c r="A27" s="3" t="s">
        <v>17</v>
      </c>
      <c r="B27">
        <v>21</v>
      </c>
    </row>
    <row r="28" spans="1:2" x14ac:dyDescent="0.25">
      <c r="A28" s="3" t="s">
        <v>21</v>
      </c>
      <c r="B28">
        <v>16</v>
      </c>
    </row>
    <row r="29" spans="1:2" x14ac:dyDescent="0.25">
      <c r="A29" s="3" t="s">
        <v>30</v>
      </c>
      <c r="B29">
        <v>17</v>
      </c>
    </row>
    <row r="30" spans="1:2" x14ac:dyDescent="0.25">
      <c r="A30" s="3" t="s">
        <v>1675</v>
      </c>
      <c r="B30">
        <v>515</v>
      </c>
    </row>
  </sheetData>
  <conditionalFormatting sqref="B1:B3 B31:B1048576">
    <cfRule type="top10" dxfId="1" priority="1" percent="1" rank="1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9C7B-A441-4872-9EB5-E4621C7B3EE9}">
  <sheetPr>
    <tabColor rgb="FFFFFF00"/>
  </sheetPr>
  <dimension ref="A1:B30"/>
  <sheetViews>
    <sheetView topLeftCell="A15" workbookViewId="0">
      <selection activeCell="B28" sqref="B28"/>
    </sheetView>
  </sheetViews>
  <sheetFormatPr baseColWidth="10" defaultRowHeight="15" x14ac:dyDescent="0.25"/>
  <cols>
    <col min="1" max="1" width="21.42578125" bestFit="1" customWidth="1"/>
    <col min="2" max="2" width="20" bestFit="1" customWidth="1"/>
    <col min="3" max="11" width="6" bestFit="1" customWidth="1"/>
    <col min="12" max="12" width="5" bestFit="1" customWidth="1"/>
    <col min="13" max="18" width="6" bestFit="1" customWidth="1"/>
    <col min="19" max="19" width="5" bestFit="1" customWidth="1"/>
    <col min="20" max="23" width="6" bestFit="1" customWidth="1"/>
    <col min="24" max="24" width="5" bestFit="1" customWidth="1"/>
    <col min="25" max="25" width="6" bestFit="1" customWidth="1"/>
    <col min="26" max="26" width="5" bestFit="1" customWidth="1"/>
    <col min="27" max="29" width="6" bestFit="1" customWidth="1"/>
    <col min="30" max="30" width="4" bestFit="1" customWidth="1"/>
    <col min="31" max="47" width="6" bestFit="1" customWidth="1"/>
    <col min="48" max="48" width="7" bestFit="1" customWidth="1"/>
    <col min="49" max="50" width="6" bestFit="1" customWidth="1"/>
    <col min="51" max="52" width="7" bestFit="1" customWidth="1"/>
    <col min="53" max="54" width="6" bestFit="1" customWidth="1"/>
    <col min="55" max="56" width="7" bestFit="1" customWidth="1"/>
    <col min="57" max="58" width="6" bestFit="1" customWidth="1"/>
    <col min="59" max="59" width="7" bestFit="1" customWidth="1"/>
    <col min="60" max="63" width="6" bestFit="1" customWidth="1"/>
    <col min="64" max="64" width="7" bestFit="1" customWidth="1"/>
    <col min="65" max="65" width="6" bestFit="1" customWidth="1"/>
    <col min="66" max="67" width="7" bestFit="1" customWidth="1"/>
    <col min="68" max="72" width="6" bestFit="1" customWidth="1"/>
    <col min="73" max="75" width="7" bestFit="1" customWidth="1"/>
    <col min="76" max="78" width="6" bestFit="1" customWidth="1"/>
    <col min="79" max="79" width="7" bestFit="1" customWidth="1"/>
    <col min="80" max="86" width="6" bestFit="1" customWidth="1"/>
    <col min="87" max="87" width="7" bestFit="1" customWidth="1"/>
    <col min="88" max="88" width="6" bestFit="1" customWidth="1"/>
    <col min="89" max="89" width="7" bestFit="1" customWidth="1"/>
    <col min="90" max="90" width="6" bestFit="1" customWidth="1"/>
    <col min="91" max="91" width="7" bestFit="1" customWidth="1"/>
    <col min="92" max="94" width="6" bestFit="1" customWidth="1"/>
    <col min="95" max="95" width="7" bestFit="1" customWidth="1"/>
    <col min="96" max="97" width="6" bestFit="1" customWidth="1"/>
    <col min="98" max="99" width="7" bestFit="1" customWidth="1"/>
    <col min="100" max="101" width="6" bestFit="1" customWidth="1"/>
    <col min="102" max="102" width="5" bestFit="1" customWidth="1"/>
    <col min="103" max="106" width="6" bestFit="1" customWidth="1"/>
    <col min="107" max="107" width="7" bestFit="1" customWidth="1"/>
    <col min="108" max="111" width="6" bestFit="1" customWidth="1"/>
    <col min="112" max="112" width="7" bestFit="1" customWidth="1"/>
    <col min="113" max="115" width="6" bestFit="1" customWidth="1"/>
    <col min="116" max="116" width="7" bestFit="1" customWidth="1"/>
    <col min="117" max="118" width="6" bestFit="1" customWidth="1"/>
    <col min="119" max="119" width="4" bestFit="1" customWidth="1"/>
    <col min="120" max="131" width="6" bestFit="1" customWidth="1"/>
    <col min="132" max="132" width="5" bestFit="1" customWidth="1"/>
    <col min="133" max="134" width="6" bestFit="1" customWidth="1"/>
    <col min="135" max="135" width="5" bestFit="1" customWidth="1"/>
    <col min="136" max="137" width="6" bestFit="1" customWidth="1"/>
    <col min="138" max="138" width="7" bestFit="1" customWidth="1"/>
    <col min="139" max="139" width="5" bestFit="1" customWidth="1"/>
    <col min="140" max="140" width="6" bestFit="1" customWidth="1"/>
    <col min="141" max="141" width="7" bestFit="1" customWidth="1"/>
    <col min="142" max="142" width="6" bestFit="1" customWidth="1"/>
    <col min="143" max="143" width="5" bestFit="1" customWidth="1"/>
    <col min="144" max="145" width="6" bestFit="1" customWidth="1"/>
    <col min="146" max="147" width="7" bestFit="1" customWidth="1"/>
    <col min="148" max="150" width="6" bestFit="1" customWidth="1"/>
    <col min="151" max="151" width="8" bestFit="1" customWidth="1"/>
    <col min="152" max="152" width="6" bestFit="1" customWidth="1"/>
    <col min="153" max="164" width="8" bestFit="1" customWidth="1"/>
    <col min="165" max="165" width="7" bestFit="1" customWidth="1"/>
    <col min="166" max="166" width="8" bestFit="1" customWidth="1"/>
    <col min="167" max="167" width="7" bestFit="1" customWidth="1"/>
    <col min="168" max="168" width="8" bestFit="1" customWidth="1"/>
    <col min="169" max="170" width="7" bestFit="1" customWidth="1"/>
    <col min="171" max="172" width="8" bestFit="1" customWidth="1"/>
    <col min="173" max="173" width="6" bestFit="1" customWidth="1"/>
    <col min="174" max="174" width="7" bestFit="1" customWidth="1"/>
    <col min="175" max="175" width="8" bestFit="1" customWidth="1"/>
    <col min="176" max="176" width="7" bestFit="1" customWidth="1"/>
    <col min="177" max="177" width="8" bestFit="1" customWidth="1"/>
    <col min="178" max="178" width="7" bestFit="1" customWidth="1"/>
    <col min="179" max="180" width="8" bestFit="1" customWidth="1"/>
    <col min="181" max="181" width="7" bestFit="1" customWidth="1"/>
    <col min="182" max="182" width="8" bestFit="1" customWidth="1"/>
    <col min="183" max="183" width="7" bestFit="1" customWidth="1"/>
    <col min="184" max="184" width="8" bestFit="1" customWidth="1"/>
    <col min="185" max="186" width="7" bestFit="1" customWidth="1"/>
    <col min="187" max="187" width="6" bestFit="1" customWidth="1"/>
    <col min="188" max="188" width="8" bestFit="1" customWidth="1"/>
    <col min="189" max="190" width="7" bestFit="1" customWidth="1"/>
    <col min="191" max="192" width="8" bestFit="1" customWidth="1"/>
    <col min="193" max="195" width="7" bestFit="1" customWidth="1"/>
    <col min="196" max="197" width="8" bestFit="1" customWidth="1"/>
    <col min="198" max="201" width="7" bestFit="1" customWidth="1"/>
    <col min="202" max="202" width="6" bestFit="1" customWidth="1"/>
    <col min="203" max="203" width="7" bestFit="1" customWidth="1"/>
    <col min="204" max="205" width="8" bestFit="1" customWidth="1"/>
    <col min="206" max="209" width="7" bestFit="1" customWidth="1"/>
    <col min="210" max="215" width="8" bestFit="1" customWidth="1"/>
    <col min="216" max="216" width="6" bestFit="1" customWidth="1"/>
    <col min="217" max="219" width="7" bestFit="1" customWidth="1"/>
    <col min="220" max="220" width="8" bestFit="1" customWidth="1"/>
    <col min="221" max="221" width="7" bestFit="1" customWidth="1"/>
    <col min="222" max="222" width="8" bestFit="1" customWidth="1"/>
    <col min="223" max="223" width="7" bestFit="1" customWidth="1"/>
    <col min="224" max="225" width="8" bestFit="1" customWidth="1"/>
    <col min="226" max="227" width="7" bestFit="1" customWidth="1"/>
    <col min="228" max="228" width="8" bestFit="1" customWidth="1"/>
    <col min="229" max="229" width="7" bestFit="1" customWidth="1"/>
    <col min="230" max="234" width="8" bestFit="1" customWidth="1"/>
    <col min="235" max="236" width="7" bestFit="1" customWidth="1"/>
    <col min="237" max="237" width="8" bestFit="1" customWidth="1"/>
    <col min="238" max="238" width="7" bestFit="1" customWidth="1"/>
    <col min="239" max="240" width="8" bestFit="1" customWidth="1"/>
    <col min="241" max="241" width="7" bestFit="1" customWidth="1"/>
    <col min="242" max="242" width="8" bestFit="1" customWidth="1"/>
    <col min="243" max="244" width="7" bestFit="1" customWidth="1"/>
    <col min="245" max="246" width="8" bestFit="1" customWidth="1"/>
    <col min="247" max="247" width="7" bestFit="1" customWidth="1"/>
    <col min="248" max="248" width="8" bestFit="1" customWidth="1"/>
    <col min="249" max="249" width="7" bestFit="1" customWidth="1"/>
    <col min="250" max="250" width="8" bestFit="1" customWidth="1"/>
    <col min="251" max="251" width="7" bestFit="1" customWidth="1"/>
    <col min="252" max="252" width="8" bestFit="1" customWidth="1"/>
    <col min="253" max="256" width="7" bestFit="1" customWidth="1"/>
    <col min="257" max="259" width="8" bestFit="1" customWidth="1"/>
    <col min="260" max="262" width="7" bestFit="1" customWidth="1"/>
    <col min="263" max="265" width="8" bestFit="1" customWidth="1"/>
    <col min="266" max="266" width="7" bestFit="1" customWidth="1"/>
    <col min="267" max="268" width="8" bestFit="1" customWidth="1"/>
    <col min="269" max="269" width="6" bestFit="1" customWidth="1"/>
    <col min="270" max="270" width="7" bestFit="1" customWidth="1"/>
    <col min="271" max="272" width="8" bestFit="1" customWidth="1"/>
    <col min="273" max="273" width="7" bestFit="1" customWidth="1"/>
    <col min="274" max="276" width="8" bestFit="1" customWidth="1"/>
    <col min="277" max="277" width="7" bestFit="1" customWidth="1"/>
    <col min="278" max="279" width="8" bestFit="1" customWidth="1"/>
    <col min="280" max="280" width="7" bestFit="1" customWidth="1"/>
    <col min="281" max="282" width="8" bestFit="1" customWidth="1"/>
    <col min="283" max="283" width="6" bestFit="1" customWidth="1"/>
    <col min="284" max="284" width="7" bestFit="1" customWidth="1"/>
    <col min="285" max="290" width="8" bestFit="1" customWidth="1"/>
    <col min="291" max="291" width="7" bestFit="1" customWidth="1"/>
    <col min="292" max="292" width="8" bestFit="1" customWidth="1"/>
    <col min="293" max="293" width="7" bestFit="1" customWidth="1"/>
    <col min="294" max="298" width="8" bestFit="1" customWidth="1"/>
    <col min="299" max="299" width="7" bestFit="1" customWidth="1"/>
    <col min="300" max="300" width="8" bestFit="1" customWidth="1"/>
    <col min="301" max="302" width="7" bestFit="1" customWidth="1"/>
    <col min="303" max="303" width="8" bestFit="1" customWidth="1"/>
    <col min="304" max="312" width="7" bestFit="1" customWidth="1"/>
    <col min="313" max="314" width="8" bestFit="1" customWidth="1"/>
    <col min="315" max="315" width="7" bestFit="1" customWidth="1"/>
    <col min="316" max="316" width="6" bestFit="1" customWidth="1"/>
    <col min="317" max="317" width="7" bestFit="1" customWidth="1"/>
    <col min="318" max="319" width="8" bestFit="1" customWidth="1"/>
    <col min="320" max="322" width="7" bestFit="1" customWidth="1"/>
    <col min="323" max="323" width="8" bestFit="1" customWidth="1"/>
    <col min="324" max="324" width="7" bestFit="1" customWidth="1"/>
    <col min="325" max="325" width="8" bestFit="1" customWidth="1"/>
    <col min="326" max="326" width="6" bestFit="1" customWidth="1"/>
    <col min="327" max="327" width="7" bestFit="1" customWidth="1"/>
    <col min="328" max="329" width="8" bestFit="1" customWidth="1"/>
    <col min="330" max="330" width="7" bestFit="1" customWidth="1"/>
    <col min="331" max="332" width="8" bestFit="1" customWidth="1"/>
    <col min="333" max="335" width="7" bestFit="1" customWidth="1"/>
    <col min="336" max="336" width="8" bestFit="1" customWidth="1"/>
    <col min="337" max="337" width="7" bestFit="1" customWidth="1"/>
    <col min="338" max="339" width="8" bestFit="1" customWidth="1"/>
    <col min="340" max="341" width="7" bestFit="1" customWidth="1"/>
    <col min="342" max="343" width="8" bestFit="1" customWidth="1"/>
    <col min="344" max="345" width="7" bestFit="1" customWidth="1"/>
    <col min="346" max="351" width="8" bestFit="1" customWidth="1"/>
    <col min="352" max="352" width="7" bestFit="1" customWidth="1"/>
    <col min="353" max="353" width="6" bestFit="1" customWidth="1"/>
    <col min="354" max="354" width="7" bestFit="1" customWidth="1"/>
    <col min="355" max="355" width="8" bestFit="1" customWidth="1"/>
    <col min="356" max="357" width="7" bestFit="1" customWidth="1"/>
    <col min="358" max="358" width="8" bestFit="1" customWidth="1"/>
    <col min="359" max="359" width="7" bestFit="1" customWidth="1"/>
    <col min="360" max="362" width="8" bestFit="1" customWidth="1"/>
    <col min="363" max="363" width="7" bestFit="1" customWidth="1"/>
    <col min="364" max="365" width="8" bestFit="1" customWidth="1"/>
    <col min="366" max="366" width="6" bestFit="1" customWidth="1"/>
    <col min="367" max="367" width="8" bestFit="1" customWidth="1"/>
    <col min="368" max="369" width="7" bestFit="1" customWidth="1"/>
    <col min="370" max="370" width="8" bestFit="1" customWidth="1"/>
    <col min="371" max="371" width="7" bestFit="1" customWidth="1"/>
    <col min="372" max="372" width="6" bestFit="1" customWidth="1"/>
    <col min="373" max="375" width="7" bestFit="1" customWidth="1"/>
    <col min="376" max="378" width="8" bestFit="1" customWidth="1"/>
    <col min="379" max="383" width="7" bestFit="1" customWidth="1"/>
    <col min="384" max="385" width="8" bestFit="1" customWidth="1"/>
    <col min="386" max="386" width="7" bestFit="1" customWidth="1"/>
    <col min="387" max="387" width="8" bestFit="1" customWidth="1"/>
    <col min="388" max="395" width="7" bestFit="1" customWidth="1"/>
    <col min="396" max="397" width="8" bestFit="1" customWidth="1"/>
    <col min="398" max="403" width="7" bestFit="1" customWidth="1"/>
    <col min="404" max="404" width="8" bestFit="1" customWidth="1"/>
    <col min="405" max="405" width="7" bestFit="1" customWidth="1"/>
    <col min="406" max="406" width="8" bestFit="1" customWidth="1"/>
    <col min="407" max="408" width="7" bestFit="1" customWidth="1"/>
    <col min="409" max="409" width="6" bestFit="1" customWidth="1"/>
    <col min="410" max="411" width="8" bestFit="1" customWidth="1"/>
    <col min="412" max="412" width="7" bestFit="1" customWidth="1"/>
    <col min="413" max="414" width="8" bestFit="1" customWidth="1"/>
    <col min="415" max="420" width="7" bestFit="1" customWidth="1"/>
    <col min="421" max="421" width="8" bestFit="1" customWidth="1"/>
    <col min="422" max="423" width="7" bestFit="1" customWidth="1"/>
    <col min="424" max="425" width="8" bestFit="1" customWidth="1"/>
    <col min="426" max="426" width="7" bestFit="1" customWidth="1"/>
    <col min="427" max="427" width="8" bestFit="1" customWidth="1"/>
    <col min="428" max="429" width="7" bestFit="1" customWidth="1"/>
    <col min="430" max="430" width="8" bestFit="1" customWidth="1"/>
    <col min="431" max="433" width="7" bestFit="1" customWidth="1"/>
    <col min="434" max="434" width="6" bestFit="1" customWidth="1"/>
    <col min="435" max="437" width="8" bestFit="1" customWidth="1"/>
    <col min="438" max="438" width="7" bestFit="1" customWidth="1"/>
    <col min="439" max="439" width="8" bestFit="1" customWidth="1"/>
    <col min="440" max="442" width="7" bestFit="1" customWidth="1"/>
    <col min="443" max="445" width="8" bestFit="1" customWidth="1"/>
    <col min="446" max="446" width="7" bestFit="1" customWidth="1"/>
    <col min="447" max="448" width="8" bestFit="1" customWidth="1"/>
    <col min="449" max="451" width="7" bestFit="1" customWidth="1"/>
    <col min="452" max="454" width="8" bestFit="1" customWidth="1"/>
    <col min="455" max="456" width="7" bestFit="1" customWidth="1"/>
    <col min="457" max="457" width="8" bestFit="1" customWidth="1"/>
    <col min="458" max="458" width="7" bestFit="1" customWidth="1"/>
    <col min="459" max="460" width="8" bestFit="1" customWidth="1"/>
    <col min="461" max="461" width="7" bestFit="1" customWidth="1"/>
    <col min="462" max="463" width="8" bestFit="1" customWidth="1"/>
    <col min="464" max="466" width="7" bestFit="1" customWidth="1"/>
    <col min="467" max="467" width="8" bestFit="1" customWidth="1"/>
    <col min="468" max="468" width="7" bestFit="1" customWidth="1"/>
    <col min="469" max="470" width="8" bestFit="1" customWidth="1"/>
    <col min="471" max="471" width="7" bestFit="1" customWidth="1"/>
    <col min="472" max="472" width="6" bestFit="1" customWidth="1"/>
    <col min="473" max="474" width="8" bestFit="1" customWidth="1"/>
    <col min="475" max="475" width="6" bestFit="1" customWidth="1"/>
    <col min="476" max="476" width="7" bestFit="1" customWidth="1"/>
    <col min="477" max="478" width="8" bestFit="1" customWidth="1"/>
    <col min="479" max="480" width="7" bestFit="1" customWidth="1"/>
    <col min="481" max="483" width="8" bestFit="1" customWidth="1"/>
    <col min="484" max="484" width="7" bestFit="1" customWidth="1"/>
    <col min="485" max="485" width="8" bestFit="1" customWidth="1"/>
    <col min="486" max="488" width="7" bestFit="1" customWidth="1"/>
    <col min="489" max="493" width="8" bestFit="1" customWidth="1"/>
    <col min="494" max="496" width="7" bestFit="1" customWidth="1"/>
    <col min="497" max="497" width="8" bestFit="1" customWidth="1"/>
    <col min="498" max="498" width="7" bestFit="1" customWidth="1"/>
    <col min="499" max="499" width="8" bestFit="1" customWidth="1"/>
    <col min="500" max="500" width="7" bestFit="1" customWidth="1"/>
    <col min="501" max="502" width="8" bestFit="1" customWidth="1"/>
    <col min="503" max="504" width="7" bestFit="1" customWidth="1"/>
    <col min="505" max="507" width="8" bestFit="1" customWidth="1"/>
    <col min="508" max="509" width="12.5703125" bestFit="1" customWidth="1"/>
  </cols>
  <sheetData>
    <row r="1" spans="1:2" x14ac:dyDescent="0.25">
      <c r="A1" s="2" t="s">
        <v>1683</v>
      </c>
      <c r="B1" s="3">
        <v>0</v>
      </c>
    </row>
    <row r="3" spans="1:2" x14ac:dyDescent="0.25">
      <c r="A3" s="2" t="s">
        <v>1674</v>
      </c>
      <c r="B3" t="s">
        <v>1685</v>
      </c>
    </row>
    <row r="4" spans="1:2" x14ac:dyDescent="0.25">
      <c r="A4" s="3" t="s">
        <v>55</v>
      </c>
      <c r="B4">
        <v>8</v>
      </c>
    </row>
    <row r="5" spans="1:2" x14ac:dyDescent="0.25">
      <c r="A5" s="3" t="s">
        <v>49</v>
      </c>
      <c r="B5">
        <v>6</v>
      </c>
    </row>
    <row r="6" spans="1:2" x14ac:dyDescent="0.25">
      <c r="A6" s="3" t="s">
        <v>85</v>
      </c>
      <c r="B6">
        <v>9</v>
      </c>
    </row>
    <row r="7" spans="1:2" x14ac:dyDescent="0.25">
      <c r="A7" s="3" t="s">
        <v>82</v>
      </c>
      <c r="B7">
        <v>8</v>
      </c>
    </row>
    <row r="8" spans="1:2" x14ac:dyDescent="0.25">
      <c r="A8" s="3" t="s">
        <v>9</v>
      </c>
      <c r="B8">
        <v>4</v>
      </c>
    </row>
    <row r="9" spans="1:2" x14ac:dyDescent="0.25">
      <c r="A9" s="3" t="s">
        <v>62</v>
      </c>
      <c r="B9">
        <v>13</v>
      </c>
    </row>
    <row r="10" spans="1:2" x14ac:dyDescent="0.25">
      <c r="A10" s="3" t="s">
        <v>47</v>
      </c>
      <c r="B10">
        <v>8</v>
      </c>
    </row>
    <row r="11" spans="1:2" x14ac:dyDescent="0.25">
      <c r="A11" s="3" t="s">
        <v>32</v>
      </c>
      <c r="B11">
        <v>4</v>
      </c>
    </row>
    <row r="12" spans="1:2" x14ac:dyDescent="0.25">
      <c r="A12" s="3" t="s">
        <v>52</v>
      </c>
      <c r="B12">
        <v>13</v>
      </c>
    </row>
    <row r="13" spans="1:2" x14ac:dyDescent="0.25">
      <c r="A13" s="3" t="s">
        <v>27</v>
      </c>
      <c r="B13">
        <v>9</v>
      </c>
    </row>
    <row r="14" spans="1:2" x14ac:dyDescent="0.25">
      <c r="A14" s="3" t="s">
        <v>93</v>
      </c>
      <c r="B14">
        <v>12</v>
      </c>
    </row>
    <row r="15" spans="1:2" x14ac:dyDescent="0.25">
      <c r="A15" s="3" t="s">
        <v>96</v>
      </c>
      <c r="B15">
        <v>4</v>
      </c>
    </row>
    <row r="16" spans="1:2" x14ac:dyDescent="0.25">
      <c r="A16" s="3" t="s">
        <v>13</v>
      </c>
      <c r="B16">
        <v>15</v>
      </c>
    </row>
    <row r="17" spans="1:2" x14ac:dyDescent="0.25">
      <c r="A17" s="3" t="s">
        <v>45</v>
      </c>
      <c r="B17">
        <v>8</v>
      </c>
    </row>
    <row r="18" spans="1:2" x14ac:dyDescent="0.25">
      <c r="A18" s="3" t="s">
        <v>67</v>
      </c>
      <c r="B18">
        <v>8</v>
      </c>
    </row>
    <row r="19" spans="1:2" x14ac:dyDescent="0.25">
      <c r="A19" s="3" t="s">
        <v>76</v>
      </c>
      <c r="B19">
        <v>9</v>
      </c>
    </row>
    <row r="20" spans="1:2" x14ac:dyDescent="0.25">
      <c r="A20" s="3" t="s">
        <v>24</v>
      </c>
      <c r="B20">
        <v>6</v>
      </c>
    </row>
    <row r="21" spans="1:2" x14ac:dyDescent="0.25">
      <c r="A21" s="3" t="s">
        <v>137</v>
      </c>
      <c r="B21">
        <v>11</v>
      </c>
    </row>
    <row r="22" spans="1:2" x14ac:dyDescent="0.25">
      <c r="A22" s="3" t="s">
        <v>34</v>
      </c>
      <c r="B22">
        <v>10</v>
      </c>
    </row>
    <row r="23" spans="1:2" x14ac:dyDescent="0.25">
      <c r="A23" s="3" t="s">
        <v>37</v>
      </c>
      <c r="B23">
        <v>7</v>
      </c>
    </row>
    <row r="24" spans="1:2" x14ac:dyDescent="0.25">
      <c r="A24" s="3" t="s">
        <v>133</v>
      </c>
      <c r="B24">
        <v>11</v>
      </c>
    </row>
    <row r="25" spans="1:2" x14ac:dyDescent="0.25">
      <c r="A25" s="3" t="s">
        <v>41</v>
      </c>
      <c r="B25">
        <v>11</v>
      </c>
    </row>
    <row r="26" spans="1:2" x14ac:dyDescent="0.25">
      <c r="A26" s="3" t="s">
        <v>43</v>
      </c>
      <c r="B26">
        <v>10</v>
      </c>
    </row>
    <row r="27" spans="1:2" x14ac:dyDescent="0.25">
      <c r="A27" s="3" t="s">
        <v>17</v>
      </c>
      <c r="B27">
        <v>9</v>
      </c>
    </row>
    <row r="28" spans="1:2" x14ac:dyDescent="0.25">
      <c r="A28" s="3" t="s">
        <v>21</v>
      </c>
      <c r="B28">
        <v>10</v>
      </c>
    </row>
    <row r="29" spans="1:2" x14ac:dyDescent="0.25">
      <c r="A29" s="3" t="s">
        <v>30</v>
      </c>
      <c r="B29">
        <v>10</v>
      </c>
    </row>
    <row r="30" spans="1:2" x14ac:dyDescent="0.25">
      <c r="A30" s="3" t="s">
        <v>1675</v>
      </c>
      <c r="B30">
        <v>233</v>
      </c>
    </row>
  </sheetData>
  <conditionalFormatting sqref="B1:B3 B31:B1048576">
    <cfRule type="top10" dxfId="0" priority="1" percent="1" rank="1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AB53-178C-40A3-8967-D507ED3336A3}">
  <sheetPr>
    <tabColor rgb="FF002060"/>
  </sheetPr>
  <dimension ref="A3:B30"/>
  <sheetViews>
    <sheetView workbookViewId="0">
      <selection activeCell="A3" sqref="A3"/>
    </sheetView>
  </sheetViews>
  <sheetFormatPr baseColWidth="10" defaultRowHeight="15" x14ac:dyDescent="0.25"/>
  <cols>
    <col min="1" max="1" width="21.42578125" bestFit="1" customWidth="1"/>
    <col min="2" max="2" width="25.42578125" bestFit="1" customWidth="1"/>
  </cols>
  <sheetData>
    <row r="3" spans="1:2" x14ac:dyDescent="0.25">
      <c r="A3" s="2" t="s">
        <v>1674</v>
      </c>
      <c r="B3" t="s">
        <v>1686</v>
      </c>
    </row>
    <row r="4" spans="1:2" x14ac:dyDescent="0.25">
      <c r="A4" s="3" t="s">
        <v>55</v>
      </c>
      <c r="B4">
        <v>556.3755000000001</v>
      </c>
    </row>
    <row r="5" spans="1:2" x14ac:dyDescent="0.25">
      <c r="A5" s="3" t="s">
        <v>49</v>
      </c>
      <c r="B5">
        <v>378.62799999999999</v>
      </c>
    </row>
    <row r="6" spans="1:2" x14ac:dyDescent="0.25">
      <c r="A6" s="3" t="s">
        <v>85</v>
      </c>
      <c r="B6">
        <v>519.11249999999984</v>
      </c>
    </row>
    <row r="7" spans="1:2" x14ac:dyDescent="0.25">
      <c r="A7" s="3" t="s">
        <v>82</v>
      </c>
      <c r="B7">
        <v>459.34749999999997</v>
      </c>
    </row>
    <row r="8" spans="1:2" x14ac:dyDescent="0.25">
      <c r="A8" s="3" t="s">
        <v>9</v>
      </c>
      <c r="B8">
        <v>201.09950000000003</v>
      </c>
    </row>
    <row r="9" spans="1:2" x14ac:dyDescent="0.25">
      <c r="A9" s="3" t="s">
        <v>62</v>
      </c>
      <c r="B9">
        <v>558.30650000000014</v>
      </c>
    </row>
    <row r="10" spans="1:2" x14ac:dyDescent="0.25">
      <c r="A10" s="3" t="s">
        <v>47</v>
      </c>
      <c r="B10">
        <v>486.87650000000008</v>
      </c>
    </row>
    <row r="11" spans="1:2" x14ac:dyDescent="0.25">
      <c r="A11" s="3" t="s">
        <v>32</v>
      </c>
      <c r="B11">
        <v>550.49800000000005</v>
      </c>
    </row>
    <row r="12" spans="1:2" x14ac:dyDescent="0.25">
      <c r="A12" s="3" t="s">
        <v>52</v>
      </c>
      <c r="B12">
        <v>369.82500000000005</v>
      </c>
    </row>
    <row r="13" spans="1:2" x14ac:dyDescent="0.25">
      <c r="A13" s="3" t="s">
        <v>27</v>
      </c>
      <c r="B13">
        <v>299.17700000000002</v>
      </c>
    </row>
    <row r="14" spans="1:2" x14ac:dyDescent="0.25">
      <c r="A14" s="3" t="s">
        <v>93</v>
      </c>
      <c r="B14">
        <v>269.56799999999998</v>
      </c>
    </row>
    <row r="15" spans="1:2" x14ac:dyDescent="0.25">
      <c r="A15" s="3" t="s">
        <v>96</v>
      </c>
      <c r="B15">
        <v>598.78150000000005</v>
      </c>
    </row>
    <row r="16" spans="1:2" x14ac:dyDescent="0.25">
      <c r="A16" s="3" t="s">
        <v>13</v>
      </c>
      <c r="B16">
        <v>510.76549999999997</v>
      </c>
    </row>
    <row r="17" spans="1:2" x14ac:dyDescent="0.25">
      <c r="A17" s="3" t="s">
        <v>45</v>
      </c>
      <c r="B17">
        <v>281.45850000000007</v>
      </c>
    </row>
    <row r="18" spans="1:2" x14ac:dyDescent="0.25">
      <c r="A18" s="3" t="s">
        <v>67</v>
      </c>
      <c r="B18">
        <v>196.44450000000003</v>
      </c>
    </row>
    <row r="19" spans="1:2" x14ac:dyDescent="0.25">
      <c r="A19" s="3" t="s">
        <v>76</v>
      </c>
      <c r="B19">
        <v>527.64</v>
      </c>
    </row>
    <row r="20" spans="1:2" x14ac:dyDescent="0.25">
      <c r="A20" s="3" t="s">
        <v>24</v>
      </c>
      <c r="B20">
        <v>377.7435000000001</v>
      </c>
    </row>
    <row r="21" spans="1:2" x14ac:dyDescent="0.25">
      <c r="A21" s="3" t="s">
        <v>137</v>
      </c>
      <c r="B21">
        <v>311.96899999999999</v>
      </c>
    </row>
    <row r="22" spans="1:2" x14ac:dyDescent="0.25">
      <c r="A22" s="3" t="s">
        <v>34</v>
      </c>
      <c r="B22">
        <v>580.17000000000007</v>
      </c>
    </row>
    <row r="23" spans="1:2" x14ac:dyDescent="0.25">
      <c r="A23" s="3" t="s">
        <v>37</v>
      </c>
      <c r="B23">
        <v>491.86500000000007</v>
      </c>
    </row>
    <row r="24" spans="1:2" x14ac:dyDescent="0.25">
      <c r="A24" s="3" t="s">
        <v>133</v>
      </c>
      <c r="B24">
        <v>448.64349999999996</v>
      </c>
    </row>
    <row r="25" spans="1:2" x14ac:dyDescent="0.25">
      <c r="A25" s="3" t="s">
        <v>41</v>
      </c>
      <c r="B25">
        <v>243.81349999999998</v>
      </c>
    </row>
    <row r="26" spans="1:2" x14ac:dyDescent="0.25">
      <c r="A26" s="3" t="s">
        <v>43</v>
      </c>
      <c r="B26">
        <v>438.92649999999998</v>
      </c>
    </row>
    <row r="27" spans="1:2" x14ac:dyDescent="0.25">
      <c r="A27" s="3" t="s">
        <v>17</v>
      </c>
      <c r="B27">
        <v>410.51799999999997</v>
      </c>
    </row>
    <row r="28" spans="1:2" x14ac:dyDescent="0.25">
      <c r="A28" s="3" t="s">
        <v>21</v>
      </c>
      <c r="B28">
        <v>365.15549999999996</v>
      </c>
    </row>
    <row r="29" spans="1:2" x14ac:dyDescent="0.25">
      <c r="A29" s="3" t="s">
        <v>30</v>
      </c>
      <c r="B29">
        <v>451.19249999999994</v>
      </c>
    </row>
    <row r="30" spans="1:2" x14ac:dyDescent="0.25">
      <c r="A30" s="3" t="s">
        <v>1675</v>
      </c>
      <c r="B30">
        <v>10883.901000000002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D23A-98BD-485E-BFD9-DCCEBA2A53E8}">
  <sheetPr>
    <tabColor rgb="FFFFC000"/>
  </sheetPr>
  <dimension ref="A1:G499"/>
  <sheetViews>
    <sheetView workbookViewId="0">
      <selection activeCell="E1" sqref="E1"/>
    </sheetView>
  </sheetViews>
  <sheetFormatPr baseColWidth="10" defaultRowHeight="15" x14ac:dyDescent="0.25"/>
  <cols>
    <col min="1" max="1" width="32" bestFit="1" customWidth="1"/>
    <col min="2" max="2" width="13.7109375" bestFit="1" customWidth="1"/>
    <col min="3" max="3" width="16.140625" bestFit="1" customWidth="1"/>
    <col min="4" max="4" width="10.7109375" bestFit="1" customWidth="1"/>
    <col min="5" max="5" width="12.28515625" bestFit="1" customWidth="1"/>
    <col min="6" max="6" width="14.28515625" bestFit="1" customWidth="1"/>
    <col min="7" max="7" width="16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-3.003879</v>
      </c>
      <c r="E2">
        <v>23.633893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 t="s">
        <v>13</v>
      </c>
      <c r="D3">
        <v>2.413557</v>
      </c>
      <c r="E3">
        <v>19.690681999999999</v>
      </c>
      <c r="F3" t="s">
        <v>14</v>
      </c>
      <c r="G3" t="s">
        <v>15</v>
      </c>
    </row>
    <row r="4" spans="1:7" x14ac:dyDescent="0.25">
      <c r="A4" t="s">
        <v>7</v>
      </c>
      <c r="B4" t="s">
        <v>16</v>
      </c>
      <c r="C4" t="s">
        <v>17</v>
      </c>
      <c r="D4">
        <v>-9.4708620000000003</v>
      </c>
      <c r="E4">
        <v>29.234387999999999</v>
      </c>
      <c r="F4" t="s">
        <v>18</v>
      </c>
      <c r="G4" t="s">
        <v>19</v>
      </c>
    </row>
    <row r="5" spans="1:7" x14ac:dyDescent="0.25">
      <c r="A5" t="s">
        <v>7</v>
      </c>
      <c r="B5" t="s">
        <v>20</v>
      </c>
      <c r="C5" t="s">
        <v>21</v>
      </c>
      <c r="D5">
        <v>1.400674</v>
      </c>
      <c r="E5">
        <v>13.503126999999999</v>
      </c>
      <c r="F5" t="s">
        <v>10</v>
      </c>
      <c r="G5" t="s">
        <v>19</v>
      </c>
    </row>
    <row r="6" spans="1:7" x14ac:dyDescent="0.25">
      <c r="A6" t="s">
        <v>7</v>
      </c>
      <c r="B6" t="s">
        <v>22</v>
      </c>
      <c r="C6" t="s">
        <v>9</v>
      </c>
      <c r="D6">
        <v>0.29375600000000002</v>
      </c>
      <c r="E6">
        <v>18.528884000000001</v>
      </c>
      <c r="F6" t="s">
        <v>10</v>
      </c>
      <c r="G6" t="s">
        <v>19</v>
      </c>
    </row>
    <row r="7" spans="1:7" x14ac:dyDescent="0.25">
      <c r="A7" t="s">
        <v>7</v>
      </c>
      <c r="B7" t="s">
        <v>23</v>
      </c>
      <c r="C7" t="s">
        <v>24</v>
      </c>
      <c r="D7">
        <v>-4.4862339999999996</v>
      </c>
      <c r="E7">
        <v>17.956159</v>
      </c>
      <c r="F7" t="s">
        <v>18</v>
      </c>
      <c r="G7" t="s">
        <v>15</v>
      </c>
    </row>
    <row r="8" spans="1:7" x14ac:dyDescent="0.25">
      <c r="A8" t="s">
        <v>7</v>
      </c>
      <c r="B8" t="s">
        <v>25</v>
      </c>
      <c r="C8" t="s">
        <v>17</v>
      </c>
      <c r="D8">
        <v>-12.824638999999999</v>
      </c>
      <c r="E8">
        <v>24.407249</v>
      </c>
      <c r="F8" t="s">
        <v>10</v>
      </c>
      <c r="G8" t="s">
        <v>15</v>
      </c>
    </row>
    <row r="9" spans="1:7" x14ac:dyDescent="0.25">
      <c r="A9" t="s">
        <v>7</v>
      </c>
      <c r="B9" t="s">
        <v>26</v>
      </c>
      <c r="C9" t="s">
        <v>27</v>
      </c>
      <c r="D9">
        <v>-5.4126279999999998</v>
      </c>
      <c r="E9">
        <v>25.498235999999999</v>
      </c>
      <c r="F9" t="s">
        <v>10</v>
      </c>
      <c r="G9" t="s">
        <v>19</v>
      </c>
    </row>
    <row r="10" spans="1:7" x14ac:dyDescent="0.25">
      <c r="A10" t="s">
        <v>7</v>
      </c>
      <c r="B10" t="s">
        <v>28</v>
      </c>
      <c r="C10" t="s">
        <v>27</v>
      </c>
      <c r="D10">
        <v>-10.579510000000001</v>
      </c>
      <c r="E10">
        <v>23.502313999999998</v>
      </c>
      <c r="F10" t="s">
        <v>14</v>
      </c>
      <c r="G10" t="s">
        <v>19</v>
      </c>
    </row>
    <row r="11" spans="1:7" x14ac:dyDescent="0.25">
      <c r="A11" t="s">
        <v>7</v>
      </c>
      <c r="B11" t="s">
        <v>29</v>
      </c>
      <c r="C11" t="s">
        <v>30</v>
      </c>
      <c r="D11">
        <v>3.0788669999999998</v>
      </c>
      <c r="E11">
        <v>19.513650999999999</v>
      </c>
      <c r="F11" t="s">
        <v>10</v>
      </c>
      <c r="G11" t="s">
        <v>15</v>
      </c>
    </row>
    <row r="12" spans="1:7" x14ac:dyDescent="0.25">
      <c r="A12" t="s">
        <v>7</v>
      </c>
      <c r="B12" t="s">
        <v>31</v>
      </c>
      <c r="C12" t="s">
        <v>32</v>
      </c>
      <c r="D12">
        <v>-1.648264</v>
      </c>
      <c r="E12">
        <v>28.866143999999998</v>
      </c>
      <c r="F12" t="s">
        <v>10</v>
      </c>
      <c r="G12" t="s">
        <v>11</v>
      </c>
    </row>
    <row r="13" spans="1:7" x14ac:dyDescent="0.25">
      <c r="A13" t="s">
        <v>7</v>
      </c>
      <c r="B13" t="s">
        <v>33</v>
      </c>
      <c r="C13" t="s">
        <v>34</v>
      </c>
      <c r="D13">
        <v>-3.3883130000000001</v>
      </c>
      <c r="E13">
        <v>26.838507</v>
      </c>
      <c r="F13" t="s">
        <v>10</v>
      </c>
      <c r="G13" t="s">
        <v>35</v>
      </c>
    </row>
    <row r="14" spans="1:7" x14ac:dyDescent="0.25">
      <c r="A14" t="s">
        <v>7</v>
      </c>
      <c r="B14" t="s">
        <v>36</v>
      </c>
      <c r="C14" t="s">
        <v>37</v>
      </c>
      <c r="D14">
        <v>-7.31691</v>
      </c>
      <c r="E14">
        <v>29.836627</v>
      </c>
      <c r="F14" t="s">
        <v>10</v>
      </c>
      <c r="G14" t="s">
        <v>19</v>
      </c>
    </row>
    <row r="15" spans="1:7" x14ac:dyDescent="0.25">
      <c r="A15" t="s">
        <v>7</v>
      </c>
      <c r="B15" t="s">
        <v>38</v>
      </c>
      <c r="C15" t="s">
        <v>13</v>
      </c>
      <c r="D15">
        <v>-4.2408359999999998</v>
      </c>
      <c r="E15">
        <v>26.210014000000001</v>
      </c>
      <c r="F15" t="s">
        <v>14</v>
      </c>
      <c r="G15" t="s">
        <v>15</v>
      </c>
    </row>
    <row r="16" spans="1:7" x14ac:dyDescent="0.25">
      <c r="A16" t="s">
        <v>7</v>
      </c>
      <c r="B16" t="s">
        <v>39</v>
      </c>
      <c r="C16" t="s">
        <v>24</v>
      </c>
      <c r="D16">
        <v>-8.4824669999999998</v>
      </c>
      <c r="E16">
        <v>21.897777999999999</v>
      </c>
      <c r="F16" t="s">
        <v>10</v>
      </c>
      <c r="G16" t="s">
        <v>11</v>
      </c>
    </row>
    <row r="17" spans="1:7" x14ac:dyDescent="0.25">
      <c r="A17" t="s">
        <v>7</v>
      </c>
      <c r="B17" t="s">
        <v>40</v>
      </c>
      <c r="C17" t="s">
        <v>41</v>
      </c>
      <c r="D17">
        <v>2.453036</v>
      </c>
      <c r="E17">
        <v>20.555484</v>
      </c>
      <c r="F17" t="s">
        <v>10</v>
      </c>
      <c r="G17" t="s">
        <v>11</v>
      </c>
    </row>
    <row r="18" spans="1:7" x14ac:dyDescent="0.25">
      <c r="A18" t="s">
        <v>7</v>
      </c>
      <c r="B18" t="s">
        <v>42</v>
      </c>
      <c r="C18" t="s">
        <v>43</v>
      </c>
      <c r="D18">
        <v>-12.141233</v>
      </c>
      <c r="E18">
        <v>15.179043999999999</v>
      </c>
      <c r="F18" t="s">
        <v>10</v>
      </c>
      <c r="G18" t="s">
        <v>11</v>
      </c>
    </row>
    <row r="19" spans="1:7" x14ac:dyDescent="0.25">
      <c r="A19" t="s">
        <v>7</v>
      </c>
      <c r="B19" t="s">
        <v>44</v>
      </c>
      <c r="C19" t="s">
        <v>45</v>
      </c>
      <c r="D19">
        <v>-11.218453999999999</v>
      </c>
      <c r="E19">
        <v>28.230025000000001</v>
      </c>
      <c r="F19" t="s">
        <v>10</v>
      </c>
      <c r="G19" t="s">
        <v>19</v>
      </c>
    </row>
    <row r="20" spans="1:7" x14ac:dyDescent="0.25">
      <c r="A20" t="s">
        <v>7</v>
      </c>
      <c r="B20" t="s">
        <v>46</v>
      </c>
      <c r="C20" t="s">
        <v>47</v>
      </c>
      <c r="D20">
        <v>-10.059846</v>
      </c>
      <c r="E20">
        <v>14.375757999999999</v>
      </c>
      <c r="F20" t="s">
        <v>14</v>
      </c>
      <c r="G20" t="s">
        <v>15</v>
      </c>
    </row>
    <row r="21" spans="1:7" x14ac:dyDescent="0.25">
      <c r="A21" t="s">
        <v>7</v>
      </c>
      <c r="B21" t="s">
        <v>48</v>
      </c>
      <c r="C21" t="s">
        <v>49</v>
      </c>
      <c r="D21">
        <v>-9.1215879999999991</v>
      </c>
      <c r="E21">
        <v>16.457916999999998</v>
      </c>
      <c r="F21" t="s">
        <v>14</v>
      </c>
      <c r="G21" t="s">
        <v>35</v>
      </c>
    </row>
    <row r="22" spans="1:7" x14ac:dyDescent="0.25">
      <c r="A22" t="s">
        <v>7</v>
      </c>
      <c r="B22" t="s">
        <v>50</v>
      </c>
      <c r="C22" t="s">
        <v>45</v>
      </c>
      <c r="D22">
        <v>-8.4227860000000003</v>
      </c>
      <c r="E22">
        <v>16.781293000000002</v>
      </c>
      <c r="F22" t="s">
        <v>14</v>
      </c>
      <c r="G22" t="s">
        <v>15</v>
      </c>
    </row>
    <row r="23" spans="1:7" x14ac:dyDescent="0.25">
      <c r="A23" t="s">
        <v>7</v>
      </c>
      <c r="B23" t="s">
        <v>51</v>
      </c>
      <c r="C23" t="s">
        <v>52</v>
      </c>
      <c r="D23">
        <v>2.1014910000000002</v>
      </c>
      <c r="E23">
        <v>26.133631999999999</v>
      </c>
      <c r="F23" t="s">
        <v>10</v>
      </c>
      <c r="G23" t="s">
        <v>15</v>
      </c>
    </row>
    <row r="24" spans="1:7" x14ac:dyDescent="0.25">
      <c r="A24" t="s">
        <v>7</v>
      </c>
      <c r="B24" t="s">
        <v>53</v>
      </c>
      <c r="C24" t="s">
        <v>45</v>
      </c>
      <c r="D24">
        <v>-11.266565999999999</v>
      </c>
      <c r="E24">
        <v>26.245055000000001</v>
      </c>
      <c r="F24" t="s">
        <v>18</v>
      </c>
      <c r="G24" t="s">
        <v>11</v>
      </c>
    </row>
    <row r="25" spans="1:7" x14ac:dyDescent="0.25">
      <c r="A25" t="s">
        <v>7</v>
      </c>
      <c r="B25" t="s">
        <v>54</v>
      </c>
      <c r="C25" t="s">
        <v>55</v>
      </c>
      <c r="D25">
        <v>0.40267799999999998</v>
      </c>
      <c r="E25">
        <v>16.000858000000001</v>
      </c>
      <c r="F25" t="s">
        <v>18</v>
      </c>
      <c r="G25" t="s">
        <v>35</v>
      </c>
    </row>
    <row r="26" spans="1:7" x14ac:dyDescent="0.25">
      <c r="A26" t="s">
        <v>7</v>
      </c>
      <c r="B26" t="s">
        <v>56</v>
      </c>
      <c r="C26" t="s">
        <v>43</v>
      </c>
      <c r="D26">
        <v>-8.3241560000000003</v>
      </c>
      <c r="E26">
        <v>19.543866000000001</v>
      </c>
      <c r="F26" t="s">
        <v>14</v>
      </c>
      <c r="G26" t="s">
        <v>19</v>
      </c>
    </row>
    <row r="27" spans="1:7" x14ac:dyDescent="0.25">
      <c r="A27" t="s">
        <v>7</v>
      </c>
      <c r="B27" t="s">
        <v>57</v>
      </c>
      <c r="C27" t="s">
        <v>24</v>
      </c>
      <c r="D27">
        <v>-6.5144820000000001</v>
      </c>
      <c r="E27">
        <v>13.815521</v>
      </c>
      <c r="F27" t="s">
        <v>14</v>
      </c>
      <c r="G27" t="s">
        <v>19</v>
      </c>
    </row>
    <row r="28" spans="1:7" x14ac:dyDescent="0.25">
      <c r="A28" t="s">
        <v>7</v>
      </c>
      <c r="B28" t="s">
        <v>58</v>
      </c>
      <c r="C28" t="s">
        <v>41</v>
      </c>
      <c r="D28">
        <v>-2.9651529999999999</v>
      </c>
      <c r="E28">
        <v>29.79908</v>
      </c>
      <c r="F28" t="s">
        <v>14</v>
      </c>
      <c r="G28" t="s">
        <v>11</v>
      </c>
    </row>
    <row r="29" spans="1:7" x14ac:dyDescent="0.25">
      <c r="A29" t="s">
        <v>7</v>
      </c>
      <c r="B29" t="s">
        <v>59</v>
      </c>
      <c r="C29" t="s">
        <v>47</v>
      </c>
      <c r="D29">
        <v>1.5802860000000001</v>
      </c>
      <c r="E29">
        <v>20.99053</v>
      </c>
      <c r="F29" t="s">
        <v>14</v>
      </c>
      <c r="G29" t="s">
        <v>19</v>
      </c>
    </row>
    <row r="30" spans="1:7" x14ac:dyDescent="0.25">
      <c r="A30" t="s">
        <v>7</v>
      </c>
      <c r="B30" t="s">
        <v>60</v>
      </c>
      <c r="C30" t="s">
        <v>55</v>
      </c>
      <c r="D30">
        <v>-6.8054750000000004</v>
      </c>
      <c r="E30">
        <v>13.022683000000001</v>
      </c>
      <c r="F30" t="s">
        <v>14</v>
      </c>
      <c r="G30" t="s">
        <v>15</v>
      </c>
    </row>
    <row r="31" spans="1:7" x14ac:dyDescent="0.25">
      <c r="A31" t="s">
        <v>7</v>
      </c>
      <c r="B31" t="s">
        <v>61</v>
      </c>
      <c r="C31" t="s">
        <v>62</v>
      </c>
      <c r="D31">
        <v>-5.5883039999999999</v>
      </c>
      <c r="E31">
        <v>26.647739999999999</v>
      </c>
      <c r="F31" t="s">
        <v>18</v>
      </c>
      <c r="G31" t="s">
        <v>11</v>
      </c>
    </row>
    <row r="32" spans="1:7" x14ac:dyDescent="0.25">
      <c r="A32" t="s">
        <v>7</v>
      </c>
      <c r="B32" t="s">
        <v>63</v>
      </c>
      <c r="C32" t="s">
        <v>32</v>
      </c>
      <c r="D32">
        <v>-6.6803710000000001</v>
      </c>
      <c r="E32">
        <v>21.955673000000001</v>
      </c>
      <c r="F32" t="s">
        <v>14</v>
      </c>
      <c r="G32" t="s">
        <v>35</v>
      </c>
    </row>
    <row r="33" spans="1:7" x14ac:dyDescent="0.25">
      <c r="A33" t="s">
        <v>7</v>
      </c>
      <c r="B33" t="s">
        <v>64</v>
      </c>
      <c r="C33" t="s">
        <v>62</v>
      </c>
      <c r="D33">
        <v>-0.767455</v>
      </c>
      <c r="E33">
        <v>30.924261000000001</v>
      </c>
      <c r="F33" t="s">
        <v>18</v>
      </c>
      <c r="G33" t="s">
        <v>15</v>
      </c>
    </row>
    <row r="34" spans="1:7" x14ac:dyDescent="0.25">
      <c r="A34" t="s">
        <v>7</v>
      </c>
      <c r="B34" t="s">
        <v>65</v>
      </c>
      <c r="C34" t="s">
        <v>17</v>
      </c>
      <c r="D34">
        <v>-2.099631</v>
      </c>
      <c r="E34">
        <v>13.974640000000001</v>
      </c>
      <c r="F34" t="s">
        <v>18</v>
      </c>
      <c r="G34" t="s">
        <v>35</v>
      </c>
    </row>
    <row r="35" spans="1:7" x14ac:dyDescent="0.25">
      <c r="A35" t="s">
        <v>7</v>
      </c>
      <c r="B35" t="s">
        <v>66</v>
      </c>
      <c r="C35" t="s">
        <v>67</v>
      </c>
      <c r="D35">
        <v>-2.6166320000000001</v>
      </c>
      <c r="E35">
        <v>23.743941</v>
      </c>
      <c r="F35" t="s">
        <v>10</v>
      </c>
      <c r="G35" t="s">
        <v>35</v>
      </c>
    </row>
    <row r="36" spans="1:7" x14ac:dyDescent="0.25">
      <c r="A36" t="s">
        <v>7</v>
      </c>
      <c r="B36" t="s">
        <v>68</v>
      </c>
      <c r="C36" t="s">
        <v>41</v>
      </c>
      <c r="D36">
        <v>-1.3024210000000001</v>
      </c>
      <c r="E36">
        <v>13.601914000000001</v>
      </c>
      <c r="F36" t="s">
        <v>18</v>
      </c>
      <c r="G36" t="s">
        <v>15</v>
      </c>
    </row>
    <row r="37" spans="1:7" x14ac:dyDescent="0.25">
      <c r="A37" t="s">
        <v>7</v>
      </c>
      <c r="B37" t="s">
        <v>69</v>
      </c>
      <c r="C37" t="s">
        <v>41</v>
      </c>
      <c r="D37">
        <v>-3.3081109999999998</v>
      </c>
      <c r="E37">
        <v>29.700202000000001</v>
      </c>
      <c r="F37" t="s">
        <v>14</v>
      </c>
      <c r="G37" t="s">
        <v>35</v>
      </c>
    </row>
    <row r="38" spans="1:7" x14ac:dyDescent="0.25">
      <c r="A38" t="s">
        <v>7</v>
      </c>
      <c r="B38" t="s">
        <v>70</v>
      </c>
      <c r="C38" t="s">
        <v>34</v>
      </c>
      <c r="D38">
        <v>4.6287159999999998</v>
      </c>
      <c r="E38">
        <v>19.407077999999998</v>
      </c>
      <c r="F38" t="s">
        <v>14</v>
      </c>
      <c r="G38" t="s">
        <v>11</v>
      </c>
    </row>
    <row r="39" spans="1:7" x14ac:dyDescent="0.25">
      <c r="A39" t="s">
        <v>7</v>
      </c>
      <c r="B39" t="s">
        <v>71</v>
      </c>
      <c r="C39" t="s">
        <v>45</v>
      </c>
      <c r="D39">
        <v>-7.8770429999999996</v>
      </c>
      <c r="E39">
        <v>16.357762999999998</v>
      </c>
      <c r="F39" t="s">
        <v>14</v>
      </c>
      <c r="G39" t="s">
        <v>11</v>
      </c>
    </row>
    <row r="40" spans="1:7" x14ac:dyDescent="0.25">
      <c r="A40" t="s">
        <v>7</v>
      </c>
      <c r="B40" t="s">
        <v>72</v>
      </c>
      <c r="C40" t="s">
        <v>9</v>
      </c>
      <c r="D40">
        <v>-7.1483749999999997</v>
      </c>
      <c r="E40">
        <v>26.014271000000001</v>
      </c>
      <c r="F40" t="s">
        <v>10</v>
      </c>
      <c r="G40" t="s">
        <v>15</v>
      </c>
    </row>
    <row r="41" spans="1:7" x14ac:dyDescent="0.25">
      <c r="A41" t="s">
        <v>7</v>
      </c>
      <c r="B41" t="s">
        <v>73</v>
      </c>
      <c r="C41" t="s">
        <v>47</v>
      </c>
      <c r="D41">
        <v>-3.8119990000000001</v>
      </c>
      <c r="E41">
        <v>20.420048000000001</v>
      </c>
      <c r="F41" t="s">
        <v>18</v>
      </c>
      <c r="G41" t="s">
        <v>19</v>
      </c>
    </row>
    <row r="42" spans="1:7" x14ac:dyDescent="0.25">
      <c r="A42" t="s">
        <v>7</v>
      </c>
      <c r="B42" t="s">
        <v>74</v>
      </c>
      <c r="C42" t="s">
        <v>37</v>
      </c>
      <c r="D42">
        <v>0.94539899999999999</v>
      </c>
      <c r="E42">
        <v>14.401821999999999</v>
      </c>
      <c r="F42" t="s">
        <v>10</v>
      </c>
      <c r="G42" t="s">
        <v>35</v>
      </c>
    </row>
    <row r="43" spans="1:7" x14ac:dyDescent="0.25">
      <c r="A43" t="s">
        <v>7</v>
      </c>
      <c r="B43" t="s">
        <v>75</v>
      </c>
      <c r="C43" t="s">
        <v>76</v>
      </c>
      <c r="D43">
        <v>-4.9552579999999997</v>
      </c>
      <c r="E43">
        <v>22.008103999999999</v>
      </c>
      <c r="F43" t="s">
        <v>14</v>
      </c>
      <c r="G43" t="s">
        <v>15</v>
      </c>
    </row>
    <row r="44" spans="1:7" x14ac:dyDescent="0.25">
      <c r="A44" t="s">
        <v>7</v>
      </c>
      <c r="B44" t="s">
        <v>77</v>
      </c>
      <c r="C44" t="s">
        <v>37</v>
      </c>
      <c r="D44">
        <v>-11.588665000000001</v>
      </c>
      <c r="E44">
        <v>15.241552</v>
      </c>
      <c r="F44" t="s">
        <v>14</v>
      </c>
      <c r="G44" t="s">
        <v>35</v>
      </c>
    </row>
    <row r="45" spans="1:7" x14ac:dyDescent="0.25">
      <c r="A45" t="s">
        <v>7</v>
      </c>
      <c r="B45" t="s">
        <v>78</v>
      </c>
      <c r="C45" t="s">
        <v>30</v>
      </c>
      <c r="D45">
        <v>-1.9540519999999999</v>
      </c>
      <c r="E45">
        <v>12.667945</v>
      </c>
      <c r="F45" t="s">
        <v>14</v>
      </c>
      <c r="G45" t="s">
        <v>15</v>
      </c>
    </row>
    <row r="46" spans="1:7" x14ac:dyDescent="0.25">
      <c r="A46" t="s">
        <v>7</v>
      </c>
      <c r="B46" t="s">
        <v>79</v>
      </c>
      <c r="C46" t="s">
        <v>52</v>
      </c>
      <c r="D46">
        <v>-4.652463</v>
      </c>
      <c r="E46">
        <v>18.779983999999999</v>
      </c>
      <c r="F46" t="s">
        <v>18</v>
      </c>
      <c r="G46" t="s">
        <v>35</v>
      </c>
    </row>
    <row r="47" spans="1:7" x14ac:dyDescent="0.25">
      <c r="A47" t="s">
        <v>7</v>
      </c>
      <c r="B47" t="s">
        <v>80</v>
      </c>
      <c r="C47" t="s">
        <v>13</v>
      </c>
      <c r="D47">
        <v>4.2187000000000001</v>
      </c>
      <c r="E47">
        <v>29.390174999999999</v>
      </c>
      <c r="F47" t="s">
        <v>14</v>
      </c>
      <c r="G47" t="s">
        <v>19</v>
      </c>
    </row>
    <row r="48" spans="1:7" x14ac:dyDescent="0.25">
      <c r="A48" t="s">
        <v>7</v>
      </c>
      <c r="B48" t="s">
        <v>81</v>
      </c>
      <c r="C48" t="s">
        <v>82</v>
      </c>
      <c r="D48">
        <v>2.628638</v>
      </c>
      <c r="E48">
        <v>28.420582</v>
      </c>
      <c r="F48" t="s">
        <v>14</v>
      </c>
      <c r="G48" t="s">
        <v>15</v>
      </c>
    </row>
    <row r="49" spans="1:7" x14ac:dyDescent="0.25">
      <c r="A49" t="s">
        <v>7</v>
      </c>
      <c r="B49" t="s">
        <v>83</v>
      </c>
      <c r="C49" t="s">
        <v>45</v>
      </c>
      <c r="D49">
        <v>-1.4695480000000001</v>
      </c>
      <c r="E49">
        <v>20.876676</v>
      </c>
      <c r="F49" t="s">
        <v>10</v>
      </c>
      <c r="G49" t="s">
        <v>11</v>
      </c>
    </row>
    <row r="50" spans="1:7" x14ac:dyDescent="0.25">
      <c r="A50" t="s">
        <v>7</v>
      </c>
      <c r="B50" t="s">
        <v>84</v>
      </c>
      <c r="C50" t="s">
        <v>85</v>
      </c>
      <c r="D50">
        <v>3.7141999999999999</v>
      </c>
      <c r="E50">
        <v>28.547066999999998</v>
      </c>
      <c r="F50" t="s">
        <v>18</v>
      </c>
      <c r="G50" t="s">
        <v>19</v>
      </c>
    </row>
    <row r="51" spans="1:7" x14ac:dyDescent="0.25">
      <c r="A51" t="s">
        <v>7</v>
      </c>
      <c r="B51" t="s">
        <v>86</v>
      </c>
      <c r="C51" t="s">
        <v>52</v>
      </c>
      <c r="D51">
        <v>-5.4073029999999997</v>
      </c>
      <c r="E51">
        <v>29.762294000000001</v>
      </c>
      <c r="F51" t="s">
        <v>18</v>
      </c>
      <c r="G51" t="s">
        <v>11</v>
      </c>
    </row>
    <row r="52" spans="1:7" x14ac:dyDescent="0.25">
      <c r="A52" t="s">
        <v>87</v>
      </c>
      <c r="B52" t="s">
        <v>88</v>
      </c>
      <c r="C52" t="s">
        <v>41</v>
      </c>
      <c r="D52">
        <v>-3.6233270000000002</v>
      </c>
      <c r="E52">
        <v>25.915645999999999</v>
      </c>
      <c r="F52" t="s">
        <v>18</v>
      </c>
      <c r="G52" t="s">
        <v>15</v>
      </c>
    </row>
    <row r="53" spans="1:7" x14ac:dyDescent="0.25">
      <c r="A53" t="s">
        <v>87</v>
      </c>
      <c r="B53" t="s">
        <v>89</v>
      </c>
      <c r="C53" t="s">
        <v>9</v>
      </c>
      <c r="D53">
        <v>-8.4403710000000007</v>
      </c>
      <c r="E53">
        <v>17.231165000000001</v>
      </c>
      <c r="F53" t="s">
        <v>14</v>
      </c>
      <c r="G53" t="s">
        <v>15</v>
      </c>
    </row>
    <row r="54" spans="1:7" x14ac:dyDescent="0.25">
      <c r="A54" t="s">
        <v>87</v>
      </c>
      <c r="B54" t="s">
        <v>90</v>
      </c>
      <c r="C54" t="s">
        <v>17</v>
      </c>
      <c r="D54">
        <v>-1.50664</v>
      </c>
      <c r="E54">
        <v>27.795642000000001</v>
      </c>
      <c r="F54" t="s">
        <v>10</v>
      </c>
      <c r="G54" t="s">
        <v>19</v>
      </c>
    </row>
    <row r="55" spans="1:7" x14ac:dyDescent="0.25">
      <c r="A55" t="s">
        <v>87</v>
      </c>
      <c r="B55" t="s">
        <v>91</v>
      </c>
      <c r="C55" t="s">
        <v>85</v>
      </c>
      <c r="D55">
        <v>-9.4229749999999992</v>
      </c>
      <c r="E55">
        <v>29.375005999999999</v>
      </c>
      <c r="F55" t="s">
        <v>18</v>
      </c>
      <c r="G55" t="s">
        <v>11</v>
      </c>
    </row>
    <row r="56" spans="1:7" x14ac:dyDescent="0.25">
      <c r="A56" t="s">
        <v>87</v>
      </c>
      <c r="B56" t="s">
        <v>92</v>
      </c>
      <c r="C56" t="s">
        <v>93</v>
      </c>
      <c r="D56">
        <v>2.975352</v>
      </c>
      <c r="E56">
        <v>22.535886000000001</v>
      </c>
      <c r="F56" t="s">
        <v>14</v>
      </c>
      <c r="G56" t="s">
        <v>15</v>
      </c>
    </row>
    <row r="57" spans="1:7" x14ac:dyDescent="0.25">
      <c r="A57" t="s">
        <v>87</v>
      </c>
      <c r="B57" t="s">
        <v>94</v>
      </c>
      <c r="C57" t="s">
        <v>24</v>
      </c>
      <c r="D57">
        <v>2.5458379999999998</v>
      </c>
      <c r="E57">
        <v>13.308655</v>
      </c>
      <c r="F57" t="s">
        <v>10</v>
      </c>
      <c r="G57" t="s">
        <v>19</v>
      </c>
    </row>
    <row r="58" spans="1:7" x14ac:dyDescent="0.25">
      <c r="A58" t="s">
        <v>87</v>
      </c>
      <c r="B58" t="s">
        <v>95</v>
      </c>
      <c r="C58" t="s">
        <v>96</v>
      </c>
      <c r="D58">
        <v>-9.0798120000000004</v>
      </c>
      <c r="E58">
        <v>14.945484</v>
      </c>
      <c r="F58" t="s">
        <v>10</v>
      </c>
      <c r="G58" t="s">
        <v>11</v>
      </c>
    </row>
    <row r="59" spans="1:7" x14ac:dyDescent="0.25">
      <c r="A59" t="s">
        <v>87</v>
      </c>
      <c r="B59" t="s">
        <v>97</v>
      </c>
      <c r="C59" t="s">
        <v>67</v>
      </c>
      <c r="D59">
        <v>-10.967288</v>
      </c>
      <c r="E59">
        <v>17.617781000000001</v>
      </c>
      <c r="F59" t="s">
        <v>14</v>
      </c>
      <c r="G59" t="s">
        <v>11</v>
      </c>
    </row>
    <row r="60" spans="1:7" x14ac:dyDescent="0.25">
      <c r="A60" t="s">
        <v>87</v>
      </c>
      <c r="B60" t="s">
        <v>98</v>
      </c>
      <c r="C60" t="s">
        <v>76</v>
      </c>
      <c r="D60">
        <v>-1.607639</v>
      </c>
      <c r="E60">
        <v>17.003636</v>
      </c>
      <c r="F60" t="s">
        <v>14</v>
      </c>
      <c r="G60" t="s">
        <v>11</v>
      </c>
    </row>
    <row r="61" spans="1:7" x14ac:dyDescent="0.25">
      <c r="A61" t="s">
        <v>87</v>
      </c>
      <c r="B61" t="s">
        <v>99</v>
      </c>
      <c r="C61" t="s">
        <v>93</v>
      </c>
      <c r="D61">
        <v>-7.1587569999999996</v>
      </c>
      <c r="E61">
        <v>18.975141000000001</v>
      </c>
      <c r="F61" t="s">
        <v>10</v>
      </c>
      <c r="G61" t="s">
        <v>11</v>
      </c>
    </row>
    <row r="62" spans="1:7" x14ac:dyDescent="0.25">
      <c r="A62" t="s">
        <v>87</v>
      </c>
      <c r="B62" t="s">
        <v>100</v>
      </c>
      <c r="C62" t="s">
        <v>45</v>
      </c>
      <c r="D62">
        <v>-9.9875139999999991</v>
      </c>
      <c r="E62">
        <v>12.013676999999999</v>
      </c>
      <c r="F62" t="s">
        <v>18</v>
      </c>
      <c r="G62" t="s">
        <v>19</v>
      </c>
    </row>
    <row r="63" spans="1:7" x14ac:dyDescent="0.25">
      <c r="A63" t="s">
        <v>87</v>
      </c>
      <c r="B63" t="s">
        <v>101</v>
      </c>
      <c r="C63" t="s">
        <v>67</v>
      </c>
      <c r="D63">
        <v>-8.0301989999999996</v>
      </c>
      <c r="E63">
        <v>24.122495000000001</v>
      </c>
      <c r="F63" t="s">
        <v>10</v>
      </c>
      <c r="G63" t="s">
        <v>19</v>
      </c>
    </row>
    <row r="64" spans="1:7" x14ac:dyDescent="0.25">
      <c r="A64" t="s">
        <v>87</v>
      </c>
      <c r="B64" t="s">
        <v>102</v>
      </c>
      <c r="C64" t="s">
        <v>34</v>
      </c>
      <c r="D64">
        <v>-10.846306999999999</v>
      </c>
      <c r="E64">
        <v>19.201827999999999</v>
      </c>
      <c r="F64" t="s">
        <v>14</v>
      </c>
      <c r="G64" t="s">
        <v>11</v>
      </c>
    </row>
    <row r="65" spans="1:7" x14ac:dyDescent="0.25">
      <c r="A65" t="s">
        <v>87</v>
      </c>
      <c r="B65" t="s">
        <v>103</v>
      </c>
      <c r="C65" t="s">
        <v>96</v>
      </c>
      <c r="D65">
        <v>1.204588</v>
      </c>
      <c r="E65">
        <v>15.525152</v>
      </c>
      <c r="F65" t="s">
        <v>10</v>
      </c>
      <c r="G65" t="s">
        <v>15</v>
      </c>
    </row>
    <row r="66" spans="1:7" x14ac:dyDescent="0.25">
      <c r="A66" t="s">
        <v>87</v>
      </c>
      <c r="B66" t="s">
        <v>104</v>
      </c>
      <c r="C66" t="s">
        <v>49</v>
      </c>
      <c r="D66">
        <v>-12.839263000000001</v>
      </c>
      <c r="E66">
        <v>12.355677</v>
      </c>
      <c r="F66" t="s">
        <v>18</v>
      </c>
      <c r="G66" t="s">
        <v>15</v>
      </c>
    </row>
    <row r="67" spans="1:7" x14ac:dyDescent="0.25">
      <c r="A67" t="s">
        <v>87</v>
      </c>
      <c r="B67" t="s">
        <v>105</v>
      </c>
      <c r="C67" t="s">
        <v>55</v>
      </c>
      <c r="D67">
        <v>-12.244119</v>
      </c>
      <c r="E67">
        <v>28.279755999999999</v>
      </c>
      <c r="F67" t="s">
        <v>10</v>
      </c>
      <c r="G67" t="s">
        <v>19</v>
      </c>
    </row>
    <row r="68" spans="1:7" x14ac:dyDescent="0.25">
      <c r="A68" t="s">
        <v>87</v>
      </c>
      <c r="B68" t="s">
        <v>106</v>
      </c>
      <c r="C68" t="s">
        <v>47</v>
      </c>
      <c r="D68">
        <v>1.102554</v>
      </c>
      <c r="E68">
        <v>26.744315</v>
      </c>
      <c r="F68" t="s">
        <v>18</v>
      </c>
      <c r="G68" t="s">
        <v>11</v>
      </c>
    </row>
    <row r="69" spans="1:7" x14ac:dyDescent="0.25">
      <c r="A69" t="s">
        <v>87</v>
      </c>
      <c r="B69" t="s">
        <v>107</v>
      </c>
      <c r="C69" t="s">
        <v>32</v>
      </c>
      <c r="D69">
        <v>-4.4451280000000004</v>
      </c>
      <c r="E69">
        <v>16.536944999999999</v>
      </c>
      <c r="F69" t="s">
        <v>14</v>
      </c>
      <c r="G69" t="s">
        <v>11</v>
      </c>
    </row>
    <row r="70" spans="1:7" x14ac:dyDescent="0.25">
      <c r="A70" t="s">
        <v>87</v>
      </c>
      <c r="B70" t="s">
        <v>108</v>
      </c>
      <c r="C70" t="s">
        <v>45</v>
      </c>
      <c r="D70">
        <v>-2.2681789999999999</v>
      </c>
      <c r="E70">
        <v>25.699068</v>
      </c>
      <c r="F70" t="s">
        <v>18</v>
      </c>
      <c r="G70" t="s">
        <v>19</v>
      </c>
    </row>
    <row r="71" spans="1:7" x14ac:dyDescent="0.25">
      <c r="A71" t="s">
        <v>87</v>
      </c>
      <c r="B71" t="s">
        <v>109</v>
      </c>
      <c r="C71" t="s">
        <v>34</v>
      </c>
      <c r="D71">
        <v>-6.3148239999999998</v>
      </c>
      <c r="E71">
        <v>24.507498999999999</v>
      </c>
      <c r="F71" t="s">
        <v>18</v>
      </c>
      <c r="G71" t="s">
        <v>19</v>
      </c>
    </row>
    <row r="72" spans="1:7" x14ac:dyDescent="0.25">
      <c r="A72" t="s">
        <v>87</v>
      </c>
      <c r="B72" t="s">
        <v>110</v>
      </c>
      <c r="C72" t="s">
        <v>27</v>
      </c>
      <c r="D72">
        <v>-11.389362</v>
      </c>
      <c r="E72">
        <v>22.240174</v>
      </c>
      <c r="F72" t="s">
        <v>10</v>
      </c>
      <c r="G72" t="s">
        <v>19</v>
      </c>
    </row>
    <row r="73" spans="1:7" x14ac:dyDescent="0.25">
      <c r="A73" t="s">
        <v>87</v>
      </c>
      <c r="B73" t="s">
        <v>111</v>
      </c>
      <c r="C73" t="s">
        <v>13</v>
      </c>
      <c r="D73">
        <v>-10.161428000000001</v>
      </c>
      <c r="E73">
        <v>19.362325999999999</v>
      </c>
      <c r="F73" t="s">
        <v>18</v>
      </c>
      <c r="G73" t="s">
        <v>35</v>
      </c>
    </row>
    <row r="74" spans="1:7" x14ac:dyDescent="0.25">
      <c r="A74" t="s">
        <v>87</v>
      </c>
      <c r="B74" t="s">
        <v>112</v>
      </c>
      <c r="C74" t="s">
        <v>67</v>
      </c>
      <c r="D74">
        <v>-11.354772000000001</v>
      </c>
      <c r="E74">
        <v>21.957325999999998</v>
      </c>
      <c r="F74" t="s">
        <v>18</v>
      </c>
      <c r="G74" t="s">
        <v>35</v>
      </c>
    </row>
    <row r="75" spans="1:7" x14ac:dyDescent="0.25">
      <c r="A75" t="s">
        <v>87</v>
      </c>
      <c r="B75" t="s">
        <v>113</v>
      </c>
      <c r="C75" t="s">
        <v>17</v>
      </c>
      <c r="D75">
        <v>-1.864393</v>
      </c>
      <c r="E75">
        <v>21.453434000000001</v>
      </c>
      <c r="F75" t="s">
        <v>10</v>
      </c>
      <c r="G75" t="s">
        <v>11</v>
      </c>
    </row>
    <row r="76" spans="1:7" x14ac:dyDescent="0.25">
      <c r="A76" t="s">
        <v>87</v>
      </c>
      <c r="B76" t="s">
        <v>114</v>
      </c>
      <c r="C76" t="s">
        <v>52</v>
      </c>
      <c r="D76">
        <v>3.7552780000000001</v>
      </c>
      <c r="E76">
        <v>22.477888</v>
      </c>
      <c r="F76" t="s">
        <v>18</v>
      </c>
      <c r="G76" t="s">
        <v>35</v>
      </c>
    </row>
    <row r="77" spans="1:7" x14ac:dyDescent="0.25">
      <c r="A77" t="s">
        <v>87</v>
      </c>
      <c r="B77" t="s">
        <v>115</v>
      </c>
      <c r="C77" t="s">
        <v>34</v>
      </c>
      <c r="D77">
        <v>4.9455159999999996</v>
      </c>
      <c r="E77">
        <v>23.647746000000001</v>
      </c>
      <c r="F77" t="s">
        <v>10</v>
      </c>
      <c r="G77" t="s">
        <v>15</v>
      </c>
    </row>
    <row r="78" spans="1:7" x14ac:dyDescent="0.25">
      <c r="A78" t="s">
        <v>87</v>
      </c>
      <c r="B78" t="s">
        <v>116</v>
      </c>
      <c r="C78" t="s">
        <v>67</v>
      </c>
      <c r="D78">
        <v>-1.7476179999999999</v>
      </c>
      <c r="E78">
        <v>18.129401000000001</v>
      </c>
      <c r="F78" t="s">
        <v>14</v>
      </c>
      <c r="G78" t="s">
        <v>11</v>
      </c>
    </row>
    <row r="79" spans="1:7" x14ac:dyDescent="0.25">
      <c r="A79" t="s">
        <v>87</v>
      </c>
      <c r="B79" t="s">
        <v>117</v>
      </c>
      <c r="C79" t="s">
        <v>9</v>
      </c>
      <c r="D79">
        <v>-11.924048000000001</v>
      </c>
      <c r="E79">
        <v>24.177174999999998</v>
      </c>
      <c r="F79" t="s">
        <v>18</v>
      </c>
      <c r="G79" t="s">
        <v>35</v>
      </c>
    </row>
    <row r="80" spans="1:7" x14ac:dyDescent="0.25">
      <c r="A80" t="s">
        <v>87</v>
      </c>
      <c r="B80" t="s">
        <v>118</v>
      </c>
      <c r="C80" t="s">
        <v>52</v>
      </c>
      <c r="D80">
        <v>-1.3976519999999999</v>
      </c>
      <c r="E80">
        <v>14.098819000000001</v>
      </c>
      <c r="F80" t="s">
        <v>18</v>
      </c>
      <c r="G80" t="s">
        <v>11</v>
      </c>
    </row>
    <row r="81" spans="1:7" x14ac:dyDescent="0.25">
      <c r="A81" t="s">
        <v>87</v>
      </c>
      <c r="B81" t="s">
        <v>119</v>
      </c>
      <c r="C81" t="s">
        <v>82</v>
      </c>
      <c r="D81">
        <v>-0.37609300000000001</v>
      </c>
      <c r="E81">
        <v>21.940809999999999</v>
      </c>
      <c r="F81" t="s">
        <v>10</v>
      </c>
      <c r="G81" t="s">
        <v>15</v>
      </c>
    </row>
    <row r="82" spans="1:7" x14ac:dyDescent="0.25">
      <c r="A82" t="s">
        <v>87</v>
      </c>
      <c r="B82" t="s">
        <v>120</v>
      </c>
      <c r="C82" t="s">
        <v>93</v>
      </c>
      <c r="D82">
        <v>1.2463919999999999</v>
      </c>
      <c r="E82">
        <v>13.266916999999999</v>
      </c>
      <c r="F82" t="s">
        <v>10</v>
      </c>
      <c r="G82" t="s">
        <v>15</v>
      </c>
    </row>
    <row r="83" spans="1:7" x14ac:dyDescent="0.25">
      <c r="A83" t="s">
        <v>87</v>
      </c>
      <c r="B83" t="s">
        <v>121</v>
      </c>
      <c r="C83" t="s">
        <v>32</v>
      </c>
      <c r="D83">
        <v>-10.735106</v>
      </c>
      <c r="E83">
        <v>27.868673999999999</v>
      </c>
      <c r="F83" t="s">
        <v>18</v>
      </c>
      <c r="G83" t="s">
        <v>11</v>
      </c>
    </row>
    <row r="84" spans="1:7" x14ac:dyDescent="0.25">
      <c r="A84" t="s">
        <v>87</v>
      </c>
      <c r="B84" t="s">
        <v>122</v>
      </c>
      <c r="C84" t="s">
        <v>9</v>
      </c>
      <c r="D84">
        <v>-8.8118569999999998</v>
      </c>
      <c r="E84">
        <v>14.465711000000001</v>
      </c>
      <c r="F84" t="s">
        <v>10</v>
      </c>
      <c r="G84" t="s">
        <v>35</v>
      </c>
    </row>
    <row r="85" spans="1:7" x14ac:dyDescent="0.25">
      <c r="A85" t="s">
        <v>87</v>
      </c>
      <c r="B85" t="s">
        <v>123</v>
      </c>
      <c r="C85" t="s">
        <v>82</v>
      </c>
      <c r="D85">
        <v>4.6701629999999996</v>
      </c>
      <c r="E85">
        <v>28.596363</v>
      </c>
      <c r="F85" t="s">
        <v>10</v>
      </c>
      <c r="G85" t="s">
        <v>11</v>
      </c>
    </row>
    <row r="86" spans="1:7" x14ac:dyDescent="0.25">
      <c r="A86" t="s">
        <v>87</v>
      </c>
      <c r="B86" t="s">
        <v>124</v>
      </c>
      <c r="C86" t="s">
        <v>67</v>
      </c>
      <c r="D86">
        <v>1.194113</v>
      </c>
      <c r="E86">
        <v>15.839502</v>
      </c>
      <c r="F86" t="s">
        <v>18</v>
      </c>
      <c r="G86" t="s">
        <v>15</v>
      </c>
    </row>
    <row r="87" spans="1:7" x14ac:dyDescent="0.25">
      <c r="A87" t="s">
        <v>87</v>
      </c>
      <c r="B87" t="s">
        <v>125</v>
      </c>
      <c r="C87" t="s">
        <v>13</v>
      </c>
      <c r="D87">
        <v>0.62055499999999997</v>
      </c>
      <c r="E87">
        <v>21.222035000000002</v>
      </c>
      <c r="F87" t="s">
        <v>10</v>
      </c>
      <c r="G87" t="s">
        <v>35</v>
      </c>
    </row>
    <row r="88" spans="1:7" x14ac:dyDescent="0.25">
      <c r="A88" t="s">
        <v>87</v>
      </c>
      <c r="B88" t="s">
        <v>126</v>
      </c>
      <c r="C88" t="s">
        <v>21</v>
      </c>
      <c r="D88">
        <v>1.499457</v>
      </c>
      <c r="E88">
        <v>13.876317999999999</v>
      </c>
      <c r="F88" t="s">
        <v>10</v>
      </c>
      <c r="G88" t="s">
        <v>35</v>
      </c>
    </row>
    <row r="89" spans="1:7" x14ac:dyDescent="0.25">
      <c r="A89" t="s">
        <v>87</v>
      </c>
      <c r="B89" t="s">
        <v>127</v>
      </c>
      <c r="C89" t="s">
        <v>30</v>
      </c>
      <c r="D89">
        <v>-5.1030600000000002</v>
      </c>
      <c r="E89">
        <v>22.849231</v>
      </c>
      <c r="F89" t="s">
        <v>10</v>
      </c>
      <c r="G89" t="s">
        <v>19</v>
      </c>
    </row>
    <row r="90" spans="1:7" x14ac:dyDescent="0.25">
      <c r="A90" t="s">
        <v>87</v>
      </c>
      <c r="B90" t="s">
        <v>128</v>
      </c>
      <c r="C90" t="s">
        <v>32</v>
      </c>
      <c r="D90">
        <v>-9.5266249999999992</v>
      </c>
      <c r="E90">
        <v>27.889690999999999</v>
      </c>
      <c r="F90" t="s">
        <v>14</v>
      </c>
      <c r="G90" t="s">
        <v>11</v>
      </c>
    </row>
    <row r="91" spans="1:7" x14ac:dyDescent="0.25">
      <c r="A91" t="s">
        <v>87</v>
      </c>
      <c r="B91" t="s">
        <v>129</v>
      </c>
      <c r="C91" t="s">
        <v>55</v>
      </c>
      <c r="D91">
        <v>-0.59350000000000003</v>
      </c>
      <c r="E91">
        <v>24.500503999999999</v>
      </c>
      <c r="F91" t="s">
        <v>10</v>
      </c>
      <c r="G91" t="s">
        <v>15</v>
      </c>
    </row>
    <row r="92" spans="1:7" x14ac:dyDescent="0.25">
      <c r="A92" t="s">
        <v>87</v>
      </c>
      <c r="B92" t="s">
        <v>130</v>
      </c>
      <c r="C92" t="s">
        <v>34</v>
      </c>
      <c r="D92">
        <v>-6.5529849999999996</v>
      </c>
      <c r="E92">
        <v>21.990606</v>
      </c>
      <c r="F92" t="s">
        <v>18</v>
      </c>
      <c r="G92" t="s">
        <v>15</v>
      </c>
    </row>
    <row r="93" spans="1:7" x14ac:dyDescent="0.25">
      <c r="A93" t="s">
        <v>87</v>
      </c>
      <c r="B93" t="s">
        <v>131</v>
      </c>
      <c r="C93" t="s">
        <v>30</v>
      </c>
      <c r="D93">
        <v>-10.574821</v>
      </c>
      <c r="E93">
        <v>25.324966</v>
      </c>
      <c r="F93" t="s">
        <v>10</v>
      </c>
      <c r="G93" t="s">
        <v>11</v>
      </c>
    </row>
    <row r="94" spans="1:7" x14ac:dyDescent="0.25">
      <c r="A94" t="s">
        <v>87</v>
      </c>
      <c r="B94" t="s">
        <v>132</v>
      </c>
      <c r="C94" t="s">
        <v>133</v>
      </c>
      <c r="D94">
        <v>3.175935</v>
      </c>
      <c r="E94">
        <v>16.862832000000001</v>
      </c>
      <c r="F94" t="s">
        <v>10</v>
      </c>
      <c r="G94" t="s">
        <v>11</v>
      </c>
    </row>
    <row r="95" spans="1:7" x14ac:dyDescent="0.25">
      <c r="A95" t="s">
        <v>87</v>
      </c>
      <c r="B95" t="s">
        <v>134</v>
      </c>
      <c r="C95" t="s">
        <v>24</v>
      </c>
      <c r="D95">
        <v>-4.2645619999999997</v>
      </c>
      <c r="E95">
        <v>18.960726000000001</v>
      </c>
      <c r="F95" t="s">
        <v>14</v>
      </c>
      <c r="G95" t="s">
        <v>15</v>
      </c>
    </row>
    <row r="96" spans="1:7" x14ac:dyDescent="0.25">
      <c r="A96" t="s">
        <v>87</v>
      </c>
      <c r="B96" t="s">
        <v>135</v>
      </c>
      <c r="C96" t="s">
        <v>47</v>
      </c>
      <c r="D96">
        <v>-5.125</v>
      </c>
      <c r="E96">
        <v>23.513119</v>
      </c>
      <c r="F96" t="s">
        <v>10</v>
      </c>
      <c r="G96" t="s">
        <v>15</v>
      </c>
    </row>
    <row r="97" spans="1:7" x14ac:dyDescent="0.25">
      <c r="A97" t="s">
        <v>87</v>
      </c>
      <c r="B97" t="s">
        <v>136</v>
      </c>
      <c r="C97" t="s">
        <v>137</v>
      </c>
      <c r="D97">
        <v>-7.6951369999999999</v>
      </c>
      <c r="E97">
        <v>13.346605</v>
      </c>
      <c r="F97" t="s">
        <v>14</v>
      </c>
      <c r="G97" t="s">
        <v>11</v>
      </c>
    </row>
    <row r="98" spans="1:7" x14ac:dyDescent="0.25">
      <c r="A98" t="s">
        <v>87</v>
      </c>
      <c r="B98" t="s">
        <v>138</v>
      </c>
      <c r="C98" t="s">
        <v>82</v>
      </c>
      <c r="D98">
        <v>-0.45332</v>
      </c>
      <c r="E98">
        <v>29.674009999999999</v>
      </c>
      <c r="F98" t="s">
        <v>10</v>
      </c>
      <c r="G98" t="s">
        <v>11</v>
      </c>
    </row>
    <row r="99" spans="1:7" x14ac:dyDescent="0.25">
      <c r="A99" t="s">
        <v>87</v>
      </c>
      <c r="B99" t="s">
        <v>139</v>
      </c>
      <c r="C99" t="s">
        <v>93</v>
      </c>
      <c r="D99">
        <v>-9.5840350000000001</v>
      </c>
      <c r="E99">
        <v>15.966024000000001</v>
      </c>
      <c r="F99" t="s">
        <v>10</v>
      </c>
      <c r="G99" t="s">
        <v>35</v>
      </c>
    </row>
    <row r="100" spans="1:7" x14ac:dyDescent="0.25">
      <c r="A100" t="s">
        <v>87</v>
      </c>
      <c r="B100" t="s">
        <v>140</v>
      </c>
      <c r="C100" t="s">
        <v>82</v>
      </c>
      <c r="D100">
        <v>-9.6407190000000007</v>
      </c>
      <c r="E100">
        <v>21.336704999999998</v>
      </c>
      <c r="F100" t="s">
        <v>14</v>
      </c>
      <c r="G100" t="s">
        <v>19</v>
      </c>
    </row>
    <row r="101" spans="1:7" x14ac:dyDescent="0.25">
      <c r="A101" t="s">
        <v>87</v>
      </c>
      <c r="B101" t="s">
        <v>141</v>
      </c>
      <c r="C101" t="s">
        <v>49</v>
      </c>
      <c r="D101">
        <v>-6.7420359999999997</v>
      </c>
      <c r="E101">
        <v>28.905578999999999</v>
      </c>
      <c r="F101" t="s">
        <v>18</v>
      </c>
      <c r="G101" t="s">
        <v>15</v>
      </c>
    </row>
    <row r="102" spans="1:7" x14ac:dyDescent="0.25">
      <c r="A102" t="s">
        <v>142</v>
      </c>
      <c r="B102" t="s">
        <v>143</v>
      </c>
      <c r="C102" t="s">
        <v>85</v>
      </c>
      <c r="D102">
        <v>0.16841400000000001</v>
      </c>
      <c r="E102">
        <v>30.029876999999999</v>
      </c>
      <c r="F102" t="s">
        <v>10</v>
      </c>
      <c r="G102" t="s">
        <v>15</v>
      </c>
    </row>
    <row r="103" spans="1:7" x14ac:dyDescent="0.25">
      <c r="A103" t="s">
        <v>142</v>
      </c>
      <c r="B103" t="s">
        <v>144</v>
      </c>
      <c r="C103" t="s">
        <v>55</v>
      </c>
      <c r="D103">
        <v>-5.9281110000000004</v>
      </c>
      <c r="E103">
        <v>29.607863999999999</v>
      </c>
      <c r="F103" t="s">
        <v>14</v>
      </c>
      <c r="G103" t="s">
        <v>15</v>
      </c>
    </row>
    <row r="104" spans="1:7" x14ac:dyDescent="0.25">
      <c r="A104" t="s">
        <v>142</v>
      </c>
      <c r="B104" t="s">
        <v>145</v>
      </c>
      <c r="C104" t="s">
        <v>47</v>
      </c>
      <c r="D104">
        <v>-4.9789079999999997</v>
      </c>
      <c r="E104">
        <v>28.506295000000001</v>
      </c>
      <c r="F104" t="s">
        <v>14</v>
      </c>
      <c r="G104" t="s">
        <v>15</v>
      </c>
    </row>
    <row r="105" spans="1:7" x14ac:dyDescent="0.25">
      <c r="A105" t="s">
        <v>142</v>
      </c>
      <c r="B105" t="s">
        <v>146</v>
      </c>
      <c r="C105" t="s">
        <v>55</v>
      </c>
      <c r="D105">
        <v>-2.2876210000000001</v>
      </c>
      <c r="E105">
        <v>27.582545</v>
      </c>
      <c r="F105" t="s">
        <v>14</v>
      </c>
      <c r="G105" t="s">
        <v>15</v>
      </c>
    </row>
    <row r="106" spans="1:7" x14ac:dyDescent="0.25">
      <c r="A106" t="s">
        <v>142</v>
      </c>
      <c r="B106" t="s">
        <v>147</v>
      </c>
      <c r="C106" t="s">
        <v>17</v>
      </c>
      <c r="D106">
        <v>-3.9148719999999999</v>
      </c>
      <c r="E106">
        <v>12.260933</v>
      </c>
      <c r="F106" t="s">
        <v>14</v>
      </c>
      <c r="G106" t="s">
        <v>11</v>
      </c>
    </row>
    <row r="107" spans="1:7" x14ac:dyDescent="0.25">
      <c r="A107" t="s">
        <v>142</v>
      </c>
      <c r="B107" t="s">
        <v>148</v>
      </c>
      <c r="C107" t="s">
        <v>17</v>
      </c>
      <c r="D107">
        <v>-9.002459</v>
      </c>
      <c r="E107">
        <v>25.182109000000001</v>
      </c>
      <c r="F107" t="s">
        <v>10</v>
      </c>
      <c r="G107" t="s">
        <v>15</v>
      </c>
    </row>
    <row r="108" spans="1:7" x14ac:dyDescent="0.25">
      <c r="A108" t="s">
        <v>142</v>
      </c>
      <c r="B108" t="s">
        <v>149</v>
      </c>
      <c r="C108" t="s">
        <v>37</v>
      </c>
      <c r="D108">
        <v>-7.7839049999999999</v>
      </c>
      <c r="E108">
        <v>14.114281999999999</v>
      </c>
      <c r="F108" t="s">
        <v>18</v>
      </c>
      <c r="G108" t="s">
        <v>19</v>
      </c>
    </row>
    <row r="109" spans="1:7" x14ac:dyDescent="0.25">
      <c r="A109" t="s">
        <v>142</v>
      </c>
      <c r="B109" t="s">
        <v>150</v>
      </c>
      <c r="C109" t="s">
        <v>13</v>
      </c>
      <c r="D109">
        <v>-5.9021970000000001</v>
      </c>
      <c r="E109">
        <v>20.551169999999999</v>
      </c>
      <c r="F109" t="s">
        <v>18</v>
      </c>
      <c r="G109" t="s">
        <v>15</v>
      </c>
    </row>
    <row r="110" spans="1:7" x14ac:dyDescent="0.25">
      <c r="A110" t="s">
        <v>142</v>
      </c>
      <c r="B110" t="s">
        <v>151</v>
      </c>
      <c r="C110" t="s">
        <v>43</v>
      </c>
      <c r="D110">
        <v>-10.620597</v>
      </c>
      <c r="E110">
        <v>12.432214</v>
      </c>
      <c r="F110" t="s">
        <v>14</v>
      </c>
      <c r="G110" t="s">
        <v>15</v>
      </c>
    </row>
    <row r="111" spans="1:7" x14ac:dyDescent="0.25">
      <c r="A111" t="s">
        <v>142</v>
      </c>
      <c r="B111" t="s">
        <v>152</v>
      </c>
      <c r="C111" t="s">
        <v>137</v>
      </c>
      <c r="D111">
        <v>-11.514188000000001</v>
      </c>
      <c r="E111">
        <v>15.971181</v>
      </c>
      <c r="F111" t="s">
        <v>10</v>
      </c>
      <c r="G111" t="s">
        <v>11</v>
      </c>
    </row>
    <row r="112" spans="1:7" x14ac:dyDescent="0.25">
      <c r="A112" t="s">
        <v>142</v>
      </c>
      <c r="B112" t="s">
        <v>153</v>
      </c>
      <c r="C112" t="s">
        <v>133</v>
      </c>
      <c r="D112">
        <v>-2.7140689999999998</v>
      </c>
      <c r="E112">
        <v>22.222104000000002</v>
      </c>
      <c r="F112" t="s">
        <v>14</v>
      </c>
      <c r="G112" t="s">
        <v>35</v>
      </c>
    </row>
    <row r="113" spans="1:7" x14ac:dyDescent="0.25">
      <c r="A113" t="s">
        <v>142</v>
      </c>
      <c r="B113" t="s">
        <v>154</v>
      </c>
      <c r="C113" t="s">
        <v>93</v>
      </c>
      <c r="D113">
        <v>-12.112399999999999</v>
      </c>
      <c r="E113">
        <v>15.872226</v>
      </c>
      <c r="F113" t="s">
        <v>14</v>
      </c>
      <c r="G113" t="s">
        <v>35</v>
      </c>
    </row>
    <row r="114" spans="1:7" x14ac:dyDescent="0.25">
      <c r="A114" t="s">
        <v>142</v>
      </c>
      <c r="B114" t="s">
        <v>155</v>
      </c>
      <c r="C114" t="s">
        <v>82</v>
      </c>
      <c r="D114">
        <v>-5.8145569999999998</v>
      </c>
      <c r="E114">
        <v>21.942052</v>
      </c>
      <c r="F114" t="s">
        <v>10</v>
      </c>
      <c r="G114" t="s">
        <v>15</v>
      </c>
    </row>
    <row r="115" spans="1:7" x14ac:dyDescent="0.25">
      <c r="A115" t="s">
        <v>142</v>
      </c>
      <c r="B115" t="s">
        <v>156</v>
      </c>
      <c r="C115" t="s">
        <v>85</v>
      </c>
      <c r="D115">
        <v>-11.468578000000001</v>
      </c>
      <c r="E115">
        <v>16.914501999999999</v>
      </c>
      <c r="F115" t="s">
        <v>14</v>
      </c>
      <c r="G115" t="s">
        <v>11</v>
      </c>
    </row>
    <row r="116" spans="1:7" x14ac:dyDescent="0.25">
      <c r="A116" t="s">
        <v>142</v>
      </c>
      <c r="B116" t="s">
        <v>157</v>
      </c>
      <c r="C116" t="s">
        <v>37</v>
      </c>
      <c r="D116">
        <v>-3.967184</v>
      </c>
      <c r="E116">
        <v>21.177499999999998</v>
      </c>
      <c r="F116" t="s">
        <v>18</v>
      </c>
      <c r="G116" t="s">
        <v>15</v>
      </c>
    </row>
    <row r="117" spans="1:7" x14ac:dyDescent="0.25">
      <c r="A117" t="s">
        <v>142</v>
      </c>
      <c r="B117" t="s">
        <v>158</v>
      </c>
      <c r="C117" t="s">
        <v>34</v>
      </c>
      <c r="D117">
        <v>0.92885200000000001</v>
      </c>
      <c r="E117">
        <v>25.868548000000001</v>
      </c>
      <c r="F117" t="s">
        <v>10</v>
      </c>
      <c r="G117" t="s">
        <v>35</v>
      </c>
    </row>
    <row r="118" spans="1:7" x14ac:dyDescent="0.25">
      <c r="A118" t="s">
        <v>142</v>
      </c>
      <c r="B118" t="s">
        <v>159</v>
      </c>
      <c r="C118" t="s">
        <v>96</v>
      </c>
      <c r="D118">
        <v>-10.653247</v>
      </c>
      <c r="E118">
        <v>14.685601</v>
      </c>
      <c r="F118" t="s">
        <v>14</v>
      </c>
      <c r="G118" t="s">
        <v>11</v>
      </c>
    </row>
    <row r="119" spans="1:7" x14ac:dyDescent="0.25">
      <c r="A119" t="s">
        <v>142</v>
      </c>
      <c r="B119" t="s">
        <v>160</v>
      </c>
      <c r="C119" t="s">
        <v>67</v>
      </c>
      <c r="D119">
        <v>-10.572326</v>
      </c>
      <c r="E119">
        <v>25.276349</v>
      </c>
      <c r="F119" t="s">
        <v>18</v>
      </c>
      <c r="G119" t="s">
        <v>19</v>
      </c>
    </row>
    <row r="120" spans="1:7" x14ac:dyDescent="0.25">
      <c r="A120" t="s">
        <v>142</v>
      </c>
      <c r="B120" t="s">
        <v>161</v>
      </c>
      <c r="C120" t="s">
        <v>93</v>
      </c>
      <c r="D120">
        <v>-2.9326690000000002</v>
      </c>
      <c r="E120">
        <v>12.349382</v>
      </c>
      <c r="F120" t="s">
        <v>10</v>
      </c>
      <c r="G120" t="s">
        <v>19</v>
      </c>
    </row>
    <row r="121" spans="1:7" x14ac:dyDescent="0.25">
      <c r="A121" t="s">
        <v>142</v>
      </c>
      <c r="B121" t="s">
        <v>162</v>
      </c>
      <c r="C121" t="s">
        <v>67</v>
      </c>
      <c r="D121">
        <v>-4.2184999999999997</v>
      </c>
      <c r="E121">
        <v>23.077093999999999</v>
      </c>
      <c r="F121" t="s">
        <v>14</v>
      </c>
      <c r="G121" t="s">
        <v>11</v>
      </c>
    </row>
    <row r="122" spans="1:7" x14ac:dyDescent="0.25">
      <c r="A122" t="s">
        <v>142</v>
      </c>
      <c r="B122" t="s">
        <v>163</v>
      </c>
      <c r="C122" t="s">
        <v>24</v>
      </c>
      <c r="D122">
        <v>-1.259528</v>
      </c>
      <c r="E122">
        <v>24.607037999999999</v>
      </c>
      <c r="F122" t="s">
        <v>14</v>
      </c>
      <c r="G122" t="s">
        <v>19</v>
      </c>
    </row>
    <row r="123" spans="1:7" x14ac:dyDescent="0.25">
      <c r="A123" t="s">
        <v>142</v>
      </c>
      <c r="B123" t="s">
        <v>164</v>
      </c>
      <c r="C123" t="s">
        <v>41</v>
      </c>
      <c r="D123">
        <v>-9.4702129999999993</v>
      </c>
      <c r="E123">
        <v>12.826158</v>
      </c>
      <c r="F123" t="s">
        <v>18</v>
      </c>
      <c r="G123" t="s">
        <v>11</v>
      </c>
    </row>
    <row r="124" spans="1:7" x14ac:dyDescent="0.25">
      <c r="A124" t="s">
        <v>142</v>
      </c>
      <c r="B124" t="s">
        <v>165</v>
      </c>
      <c r="C124" t="s">
        <v>62</v>
      </c>
      <c r="D124">
        <v>-1.9120569999999999</v>
      </c>
      <c r="E124">
        <v>15.236072999999999</v>
      </c>
      <c r="F124" t="s">
        <v>10</v>
      </c>
      <c r="G124" t="s">
        <v>15</v>
      </c>
    </row>
    <row r="125" spans="1:7" x14ac:dyDescent="0.25">
      <c r="A125" t="s">
        <v>142</v>
      </c>
      <c r="B125" t="s">
        <v>166</v>
      </c>
      <c r="C125" t="s">
        <v>62</v>
      </c>
      <c r="D125">
        <v>0.24202000000000001</v>
      </c>
      <c r="E125">
        <v>17.396256999999999</v>
      </c>
      <c r="F125" t="s">
        <v>14</v>
      </c>
      <c r="G125" t="s">
        <v>15</v>
      </c>
    </row>
    <row r="126" spans="1:7" x14ac:dyDescent="0.25">
      <c r="A126" t="s">
        <v>142</v>
      </c>
      <c r="B126" t="s">
        <v>167</v>
      </c>
      <c r="C126" t="s">
        <v>13</v>
      </c>
      <c r="D126">
        <v>-8.5675749999999997</v>
      </c>
      <c r="E126">
        <v>26.994581</v>
      </c>
      <c r="F126" t="s">
        <v>18</v>
      </c>
      <c r="G126" t="s">
        <v>35</v>
      </c>
    </row>
    <row r="127" spans="1:7" x14ac:dyDescent="0.25">
      <c r="A127" t="s">
        <v>142</v>
      </c>
      <c r="B127" t="s">
        <v>168</v>
      </c>
      <c r="C127" t="s">
        <v>67</v>
      </c>
      <c r="D127">
        <v>-11.710407999999999</v>
      </c>
      <c r="E127">
        <v>23.741330999999999</v>
      </c>
      <c r="F127" t="s">
        <v>18</v>
      </c>
      <c r="G127" t="s">
        <v>15</v>
      </c>
    </row>
    <row r="128" spans="1:7" x14ac:dyDescent="0.25">
      <c r="A128" t="s">
        <v>142</v>
      </c>
      <c r="B128" t="s">
        <v>169</v>
      </c>
      <c r="C128" t="s">
        <v>52</v>
      </c>
      <c r="D128">
        <v>0.98189400000000004</v>
      </c>
      <c r="E128">
        <v>13.008620000000001</v>
      </c>
      <c r="F128" t="s">
        <v>14</v>
      </c>
      <c r="G128" t="s">
        <v>15</v>
      </c>
    </row>
    <row r="129" spans="1:7" x14ac:dyDescent="0.25">
      <c r="A129" t="s">
        <v>142</v>
      </c>
      <c r="B129" t="s">
        <v>170</v>
      </c>
      <c r="C129" t="s">
        <v>82</v>
      </c>
      <c r="D129">
        <v>-7.1785899999999998</v>
      </c>
      <c r="E129">
        <v>24.4404</v>
      </c>
      <c r="F129" t="s">
        <v>14</v>
      </c>
      <c r="G129" t="s">
        <v>35</v>
      </c>
    </row>
    <row r="130" spans="1:7" x14ac:dyDescent="0.25">
      <c r="A130" t="s">
        <v>142</v>
      </c>
      <c r="B130" t="s">
        <v>171</v>
      </c>
      <c r="C130" t="s">
        <v>137</v>
      </c>
      <c r="D130">
        <v>3.6344850000000002</v>
      </c>
      <c r="E130">
        <v>12.158348999999999</v>
      </c>
      <c r="F130" t="s">
        <v>10</v>
      </c>
      <c r="G130" t="s">
        <v>11</v>
      </c>
    </row>
    <row r="131" spans="1:7" x14ac:dyDescent="0.25">
      <c r="A131" t="s">
        <v>142</v>
      </c>
      <c r="B131" t="s">
        <v>172</v>
      </c>
      <c r="C131" t="s">
        <v>43</v>
      </c>
      <c r="D131">
        <v>-11.387295999999999</v>
      </c>
      <c r="E131">
        <v>19.384257999999999</v>
      </c>
      <c r="F131" t="s">
        <v>18</v>
      </c>
      <c r="G131" t="s">
        <v>15</v>
      </c>
    </row>
    <row r="132" spans="1:7" x14ac:dyDescent="0.25">
      <c r="A132" t="s">
        <v>142</v>
      </c>
      <c r="B132" t="s">
        <v>173</v>
      </c>
      <c r="C132" t="s">
        <v>27</v>
      </c>
      <c r="D132">
        <v>-0.90854400000000002</v>
      </c>
      <c r="E132">
        <v>17.154896999999998</v>
      </c>
      <c r="F132" t="s">
        <v>18</v>
      </c>
      <c r="G132" t="s">
        <v>15</v>
      </c>
    </row>
    <row r="133" spans="1:7" x14ac:dyDescent="0.25">
      <c r="A133" t="s">
        <v>142</v>
      </c>
      <c r="B133" t="s">
        <v>174</v>
      </c>
      <c r="C133" t="s">
        <v>137</v>
      </c>
      <c r="D133">
        <v>-5.3762689999999997</v>
      </c>
      <c r="E133">
        <v>28.189575999999999</v>
      </c>
      <c r="F133" t="s">
        <v>10</v>
      </c>
      <c r="G133" t="s">
        <v>15</v>
      </c>
    </row>
    <row r="134" spans="1:7" x14ac:dyDescent="0.25">
      <c r="A134" t="s">
        <v>142</v>
      </c>
      <c r="B134" t="s">
        <v>175</v>
      </c>
      <c r="C134" t="s">
        <v>67</v>
      </c>
      <c r="D134">
        <v>-6.7304589999999997</v>
      </c>
      <c r="E134">
        <v>24.541906999999998</v>
      </c>
      <c r="F134" t="s">
        <v>14</v>
      </c>
      <c r="G134" t="s">
        <v>35</v>
      </c>
    </row>
    <row r="135" spans="1:7" x14ac:dyDescent="0.25">
      <c r="A135" t="s">
        <v>142</v>
      </c>
      <c r="B135" t="s">
        <v>176</v>
      </c>
      <c r="C135" t="s">
        <v>137</v>
      </c>
      <c r="D135">
        <v>-7.2267089999999996</v>
      </c>
      <c r="E135">
        <v>28.421362999999999</v>
      </c>
      <c r="F135" t="s">
        <v>10</v>
      </c>
      <c r="G135" t="s">
        <v>11</v>
      </c>
    </row>
    <row r="136" spans="1:7" x14ac:dyDescent="0.25">
      <c r="A136" t="s">
        <v>142</v>
      </c>
      <c r="B136" t="s">
        <v>177</v>
      </c>
      <c r="C136" t="s">
        <v>34</v>
      </c>
      <c r="D136">
        <v>-2.3102109999999998</v>
      </c>
      <c r="E136">
        <v>12.362488000000001</v>
      </c>
      <c r="F136" t="s">
        <v>10</v>
      </c>
      <c r="G136" t="s">
        <v>35</v>
      </c>
    </row>
    <row r="137" spans="1:7" x14ac:dyDescent="0.25">
      <c r="A137" t="s">
        <v>142</v>
      </c>
      <c r="B137" t="s">
        <v>178</v>
      </c>
      <c r="C137" t="s">
        <v>93</v>
      </c>
      <c r="D137">
        <v>-12.564277000000001</v>
      </c>
      <c r="E137">
        <v>28.480798</v>
      </c>
      <c r="F137" t="s">
        <v>10</v>
      </c>
      <c r="G137" t="s">
        <v>19</v>
      </c>
    </row>
    <row r="138" spans="1:7" x14ac:dyDescent="0.25">
      <c r="A138" t="s">
        <v>142</v>
      </c>
      <c r="B138" t="s">
        <v>179</v>
      </c>
      <c r="C138" t="s">
        <v>133</v>
      </c>
      <c r="D138">
        <v>-7.513261</v>
      </c>
      <c r="E138">
        <v>24.338812000000001</v>
      </c>
      <c r="F138" t="s">
        <v>10</v>
      </c>
      <c r="G138" t="s">
        <v>15</v>
      </c>
    </row>
    <row r="139" spans="1:7" x14ac:dyDescent="0.25">
      <c r="A139" t="s">
        <v>142</v>
      </c>
      <c r="B139" t="s">
        <v>180</v>
      </c>
      <c r="C139" t="s">
        <v>21</v>
      </c>
      <c r="D139">
        <v>4.7777349999999998</v>
      </c>
      <c r="E139">
        <v>16.392204</v>
      </c>
      <c r="F139" t="s">
        <v>10</v>
      </c>
      <c r="G139" t="s">
        <v>19</v>
      </c>
    </row>
    <row r="140" spans="1:7" x14ac:dyDescent="0.25">
      <c r="A140" t="s">
        <v>142</v>
      </c>
      <c r="B140" t="s">
        <v>181</v>
      </c>
      <c r="C140" t="s">
        <v>93</v>
      </c>
      <c r="D140">
        <v>-1.9080220000000001</v>
      </c>
      <c r="E140">
        <v>19.233322999999999</v>
      </c>
      <c r="F140" t="s">
        <v>18</v>
      </c>
      <c r="G140" t="s">
        <v>11</v>
      </c>
    </row>
    <row r="141" spans="1:7" x14ac:dyDescent="0.25">
      <c r="A141" t="s">
        <v>142</v>
      </c>
      <c r="B141" t="s">
        <v>182</v>
      </c>
      <c r="C141" t="s">
        <v>24</v>
      </c>
      <c r="D141">
        <v>4.8228650000000002</v>
      </c>
      <c r="E141">
        <v>30.555627000000001</v>
      </c>
      <c r="F141" t="s">
        <v>14</v>
      </c>
      <c r="G141" t="s">
        <v>15</v>
      </c>
    </row>
    <row r="142" spans="1:7" x14ac:dyDescent="0.25">
      <c r="A142" t="s">
        <v>142</v>
      </c>
      <c r="B142" t="s">
        <v>183</v>
      </c>
      <c r="C142" t="s">
        <v>49</v>
      </c>
      <c r="D142">
        <v>-5.0402180000000003</v>
      </c>
      <c r="E142">
        <v>13.892471</v>
      </c>
      <c r="F142" t="s">
        <v>18</v>
      </c>
      <c r="G142" t="s">
        <v>19</v>
      </c>
    </row>
    <row r="143" spans="1:7" x14ac:dyDescent="0.25">
      <c r="A143" t="s">
        <v>142</v>
      </c>
      <c r="B143" t="s">
        <v>184</v>
      </c>
      <c r="C143" t="s">
        <v>37</v>
      </c>
      <c r="D143">
        <v>-10.375266999999999</v>
      </c>
      <c r="E143">
        <v>17.993663000000002</v>
      </c>
      <c r="F143" t="s">
        <v>10</v>
      </c>
      <c r="G143" t="s">
        <v>19</v>
      </c>
    </row>
    <row r="144" spans="1:7" x14ac:dyDescent="0.25">
      <c r="A144" t="s">
        <v>142</v>
      </c>
      <c r="B144" t="s">
        <v>185</v>
      </c>
      <c r="C144" t="s">
        <v>76</v>
      </c>
      <c r="D144">
        <v>-12.192204</v>
      </c>
      <c r="E144">
        <v>28.468682000000001</v>
      </c>
      <c r="F144" t="s">
        <v>18</v>
      </c>
      <c r="G144" t="s">
        <v>19</v>
      </c>
    </row>
    <row r="145" spans="1:7" x14ac:dyDescent="0.25">
      <c r="A145" t="s">
        <v>142</v>
      </c>
      <c r="B145" t="s">
        <v>186</v>
      </c>
      <c r="C145" t="s">
        <v>24</v>
      </c>
      <c r="D145">
        <v>1.727095</v>
      </c>
      <c r="E145">
        <v>22.099651999999999</v>
      </c>
      <c r="F145" t="s">
        <v>14</v>
      </c>
      <c r="G145" t="s">
        <v>15</v>
      </c>
    </row>
    <row r="146" spans="1:7" x14ac:dyDescent="0.25">
      <c r="A146" t="s">
        <v>142</v>
      </c>
      <c r="B146" t="s">
        <v>187</v>
      </c>
      <c r="C146" t="s">
        <v>21</v>
      </c>
      <c r="D146">
        <v>-9.4056660000000001</v>
      </c>
      <c r="E146">
        <v>15.541930000000001</v>
      </c>
      <c r="F146" t="s">
        <v>14</v>
      </c>
      <c r="G146" t="s">
        <v>15</v>
      </c>
    </row>
    <row r="147" spans="1:7" x14ac:dyDescent="0.25">
      <c r="A147" t="s">
        <v>142</v>
      </c>
      <c r="B147" t="s">
        <v>188</v>
      </c>
      <c r="C147" t="s">
        <v>17</v>
      </c>
      <c r="D147">
        <v>-6.2712260000000004</v>
      </c>
      <c r="E147">
        <v>21.512366</v>
      </c>
      <c r="F147" t="s">
        <v>10</v>
      </c>
      <c r="G147" t="s">
        <v>15</v>
      </c>
    </row>
    <row r="148" spans="1:7" x14ac:dyDescent="0.25">
      <c r="A148" t="s">
        <v>142</v>
      </c>
      <c r="B148" t="s">
        <v>189</v>
      </c>
      <c r="C148" t="s">
        <v>52</v>
      </c>
      <c r="D148">
        <v>0.639208</v>
      </c>
      <c r="E148">
        <v>20.701739</v>
      </c>
      <c r="F148" t="s">
        <v>14</v>
      </c>
      <c r="G148" t="s">
        <v>15</v>
      </c>
    </row>
    <row r="149" spans="1:7" x14ac:dyDescent="0.25">
      <c r="A149" t="s">
        <v>142</v>
      </c>
      <c r="B149" t="s">
        <v>190</v>
      </c>
      <c r="C149" t="s">
        <v>76</v>
      </c>
      <c r="D149">
        <v>2.349755</v>
      </c>
      <c r="E149">
        <v>29.600649000000001</v>
      </c>
      <c r="F149" t="s">
        <v>14</v>
      </c>
      <c r="G149" t="s">
        <v>35</v>
      </c>
    </row>
    <row r="150" spans="1:7" x14ac:dyDescent="0.25">
      <c r="A150" t="s">
        <v>142</v>
      </c>
      <c r="B150" t="s">
        <v>191</v>
      </c>
      <c r="C150" t="s">
        <v>93</v>
      </c>
      <c r="D150">
        <v>-10.977309</v>
      </c>
      <c r="E150">
        <v>12.408281000000001</v>
      </c>
      <c r="F150" t="s">
        <v>10</v>
      </c>
      <c r="G150" t="s">
        <v>19</v>
      </c>
    </row>
    <row r="151" spans="1:7" x14ac:dyDescent="0.25">
      <c r="A151" t="s">
        <v>142</v>
      </c>
      <c r="B151" t="s">
        <v>192</v>
      </c>
      <c r="C151" t="s">
        <v>30</v>
      </c>
      <c r="D151">
        <v>-12.018316</v>
      </c>
      <c r="E151">
        <v>16.700451000000001</v>
      </c>
      <c r="F151" t="s">
        <v>18</v>
      </c>
      <c r="G151" t="s">
        <v>35</v>
      </c>
    </row>
    <row r="152" spans="1:7" x14ac:dyDescent="0.25">
      <c r="A152" t="s">
        <v>193</v>
      </c>
      <c r="B152" t="s">
        <v>194</v>
      </c>
      <c r="C152" t="s">
        <v>52</v>
      </c>
      <c r="D152">
        <v>-1.648326</v>
      </c>
      <c r="E152">
        <v>25.528901999999999</v>
      </c>
      <c r="F152" t="s">
        <v>14</v>
      </c>
      <c r="G152" t="s">
        <v>15</v>
      </c>
    </row>
    <row r="153" spans="1:7" x14ac:dyDescent="0.25">
      <c r="A153" t="s">
        <v>193</v>
      </c>
      <c r="B153" t="s">
        <v>195</v>
      </c>
      <c r="C153" t="s">
        <v>82</v>
      </c>
      <c r="D153">
        <v>-12.112682</v>
      </c>
      <c r="E153">
        <v>19.972052000000001</v>
      </c>
      <c r="F153" t="s">
        <v>14</v>
      </c>
      <c r="G153" t="s">
        <v>15</v>
      </c>
    </row>
    <row r="154" spans="1:7" x14ac:dyDescent="0.25">
      <c r="A154" t="s">
        <v>193</v>
      </c>
      <c r="B154" t="s">
        <v>196</v>
      </c>
      <c r="C154" t="s">
        <v>30</v>
      </c>
      <c r="D154">
        <v>-7.7587710000000003</v>
      </c>
      <c r="E154">
        <v>17.880848</v>
      </c>
      <c r="F154" t="s">
        <v>18</v>
      </c>
      <c r="G154" t="s">
        <v>11</v>
      </c>
    </row>
    <row r="155" spans="1:7" x14ac:dyDescent="0.25">
      <c r="A155" t="s">
        <v>193</v>
      </c>
      <c r="B155" t="s">
        <v>197</v>
      </c>
      <c r="C155" t="s">
        <v>32</v>
      </c>
      <c r="D155">
        <v>-5.8352820000000003</v>
      </c>
      <c r="E155">
        <v>26.603978000000001</v>
      </c>
      <c r="F155" t="s">
        <v>14</v>
      </c>
      <c r="G155" t="s">
        <v>15</v>
      </c>
    </row>
    <row r="156" spans="1:7" x14ac:dyDescent="0.25">
      <c r="A156" t="s">
        <v>193</v>
      </c>
      <c r="B156" t="s">
        <v>198</v>
      </c>
      <c r="C156" t="s">
        <v>67</v>
      </c>
      <c r="D156">
        <v>-7.5180249999999997</v>
      </c>
      <c r="E156">
        <v>20.478905999999998</v>
      </c>
      <c r="F156" t="s">
        <v>10</v>
      </c>
      <c r="G156" t="s">
        <v>35</v>
      </c>
    </row>
    <row r="157" spans="1:7" x14ac:dyDescent="0.25">
      <c r="A157" t="s">
        <v>193</v>
      </c>
      <c r="B157" t="s">
        <v>199</v>
      </c>
      <c r="C157" t="s">
        <v>32</v>
      </c>
      <c r="D157">
        <v>1.897178</v>
      </c>
      <c r="E157">
        <v>23.902604</v>
      </c>
      <c r="F157" t="s">
        <v>18</v>
      </c>
      <c r="G157" t="s">
        <v>35</v>
      </c>
    </row>
    <row r="158" spans="1:7" x14ac:dyDescent="0.25">
      <c r="A158" t="s">
        <v>193</v>
      </c>
      <c r="B158" t="s">
        <v>200</v>
      </c>
      <c r="C158" t="s">
        <v>96</v>
      </c>
      <c r="D158">
        <v>-4.6957509999999996</v>
      </c>
      <c r="E158">
        <v>14.233525999999999</v>
      </c>
      <c r="F158" t="s">
        <v>14</v>
      </c>
      <c r="G158" t="s">
        <v>35</v>
      </c>
    </row>
    <row r="159" spans="1:7" x14ac:dyDescent="0.25">
      <c r="A159" t="s">
        <v>193</v>
      </c>
      <c r="B159" t="s">
        <v>201</v>
      </c>
      <c r="C159" t="s">
        <v>47</v>
      </c>
      <c r="D159">
        <v>-5.3956809999999997</v>
      </c>
      <c r="E159">
        <v>14.49985</v>
      </c>
      <c r="F159" t="s">
        <v>14</v>
      </c>
      <c r="G159" t="s">
        <v>19</v>
      </c>
    </row>
    <row r="160" spans="1:7" x14ac:dyDescent="0.25">
      <c r="A160" t="s">
        <v>193</v>
      </c>
      <c r="B160" t="s">
        <v>202</v>
      </c>
      <c r="C160" t="s">
        <v>9</v>
      </c>
      <c r="D160">
        <v>-1.9635830000000001</v>
      </c>
      <c r="E160">
        <v>15.854182</v>
      </c>
      <c r="F160" t="s">
        <v>18</v>
      </c>
      <c r="G160" t="s">
        <v>35</v>
      </c>
    </row>
    <row r="161" spans="1:7" x14ac:dyDescent="0.25">
      <c r="A161" t="s">
        <v>193</v>
      </c>
      <c r="B161" t="s">
        <v>203</v>
      </c>
      <c r="C161" t="s">
        <v>43</v>
      </c>
      <c r="D161">
        <v>-12.01816</v>
      </c>
      <c r="E161">
        <v>23.828645999999999</v>
      </c>
      <c r="F161" t="s">
        <v>18</v>
      </c>
      <c r="G161" t="s">
        <v>15</v>
      </c>
    </row>
    <row r="162" spans="1:7" x14ac:dyDescent="0.25">
      <c r="A162" t="s">
        <v>193</v>
      </c>
      <c r="B162" t="s">
        <v>204</v>
      </c>
      <c r="C162" t="s">
        <v>55</v>
      </c>
      <c r="D162">
        <v>-3.6945459999999999</v>
      </c>
      <c r="E162">
        <v>16.809108999999999</v>
      </c>
      <c r="F162" t="s">
        <v>10</v>
      </c>
      <c r="G162" t="s">
        <v>19</v>
      </c>
    </row>
    <row r="163" spans="1:7" x14ac:dyDescent="0.25">
      <c r="A163" t="s">
        <v>193</v>
      </c>
      <c r="B163" t="s">
        <v>205</v>
      </c>
      <c r="C163" t="s">
        <v>17</v>
      </c>
      <c r="D163">
        <v>-10.439686999999999</v>
      </c>
      <c r="E163">
        <v>20.714210000000001</v>
      </c>
      <c r="F163" t="s">
        <v>14</v>
      </c>
      <c r="G163" t="s">
        <v>19</v>
      </c>
    </row>
    <row r="164" spans="1:7" x14ac:dyDescent="0.25">
      <c r="A164" t="s">
        <v>193</v>
      </c>
      <c r="B164" t="s">
        <v>206</v>
      </c>
      <c r="C164" t="s">
        <v>24</v>
      </c>
      <c r="D164">
        <v>1.938083</v>
      </c>
      <c r="E164">
        <v>28.25281</v>
      </c>
      <c r="F164" t="s">
        <v>14</v>
      </c>
      <c r="G164" t="s">
        <v>35</v>
      </c>
    </row>
    <row r="165" spans="1:7" x14ac:dyDescent="0.25">
      <c r="A165" t="s">
        <v>193</v>
      </c>
      <c r="B165" t="s">
        <v>207</v>
      </c>
      <c r="C165" t="s">
        <v>9</v>
      </c>
      <c r="D165">
        <v>-4.869434</v>
      </c>
      <c r="E165">
        <v>22.326522000000001</v>
      </c>
      <c r="F165" t="s">
        <v>10</v>
      </c>
      <c r="G165" t="s">
        <v>11</v>
      </c>
    </row>
    <row r="166" spans="1:7" x14ac:dyDescent="0.25">
      <c r="A166" t="s">
        <v>193</v>
      </c>
      <c r="B166" t="s">
        <v>208</v>
      </c>
      <c r="C166" t="s">
        <v>52</v>
      </c>
      <c r="D166">
        <v>7.6420000000000004E-3</v>
      </c>
      <c r="E166">
        <v>12.109260000000001</v>
      </c>
      <c r="F166" t="s">
        <v>14</v>
      </c>
      <c r="G166" t="s">
        <v>11</v>
      </c>
    </row>
    <row r="167" spans="1:7" x14ac:dyDescent="0.25">
      <c r="A167" t="s">
        <v>193</v>
      </c>
      <c r="B167" t="s">
        <v>209</v>
      </c>
      <c r="C167" t="s">
        <v>62</v>
      </c>
      <c r="D167">
        <v>-10.962911</v>
      </c>
      <c r="E167">
        <v>28.771355</v>
      </c>
      <c r="F167" t="s">
        <v>10</v>
      </c>
      <c r="G167" t="s">
        <v>15</v>
      </c>
    </row>
    <row r="168" spans="1:7" x14ac:dyDescent="0.25">
      <c r="A168" t="s">
        <v>193</v>
      </c>
      <c r="B168" t="s">
        <v>210</v>
      </c>
      <c r="C168" t="s">
        <v>34</v>
      </c>
      <c r="D168">
        <v>1.017161</v>
      </c>
      <c r="E168">
        <v>16.519689</v>
      </c>
      <c r="F168" t="s">
        <v>18</v>
      </c>
      <c r="G168" t="s">
        <v>35</v>
      </c>
    </row>
    <row r="169" spans="1:7" x14ac:dyDescent="0.25">
      <c r="A169" t="s">
        <v>193</v>
      </c>
      <c r="B169" t="s">
        <v>211</v>
      </c>
      <c r="C169" t="s">
        <v>67</v>
      </c>
      <c r="D169">
        <v>3.8811640000000001</v>
      </c>
      <c r="E169">
        <v>23.188383999999999</v>
      </c>
      <c r="F169" t="s">
        <v>10</v>
      </c>
      <c r="G169" t="s">
        <v>15</v>
      </c>
    </row>
    <row r="170" spans="1:7" x14ac:dyDescent="0.25">
      <c r="A170" t="s">
        <v>193</v>
      </c>
      <c r="B170" t="s">
        <v>212</v>
      </c>
      <c r="C170" t="s">
        <v>93</v>
      </c>
      <c r="D170">
        <v>-0.469945</v>
      </c>
      <c r="E170">
        <v>21.038527999999999</v>
      </c>
      <c r="F170" t="s">
        <v>18</v>
      </c>
      <c r="G170" t="s">
        <v>11</v>
      </c>
    </row>
    <row r="171" spans="1:7" x14ac:dyDescent="0.25">
      <c r="A171" t="s">
        <v>193</v>
      </c>
      <c r="B171" t="s">
        <v>213</v>
      </c>
      <c r="C171" t="s">
        <v>43</v>
      </c>
      <c r="D171">
        <v>-10.56448</v>
      </c>
      <c r="E171">
        <v>19.792876</v>
      </c>
      <c r="F171" t="s">
        <v>10</v>
      </c>
      <c r="G171" t="s">
        <v>11</v>
      </c>
    </row>
    <row r="172" spans="1:7" x14ac:dyDescent="0.25">
      <c r="A172" t="s">
        <v>193</v>
      </c>
      <c r="B172" t="s">
        <v>214</v>
      </c>
      <c r="C172" t="s">
        <v>82</v>
      </c>
      <c r="D172">
        <v>-5.5559329999999996</v>
      </c>
      <c r="E172">
        <v>13.508692999999999</v>
      </c>
      <c r="F172" t="s">
        <v>18</v>
      </c>
      <c r="G172" t="s">
        <v>35</v>
      </c>
    </row>
    <row r="173" spans="1:7" x14ac:dyDescent="0.25">
      <c r="A173" t="s">
        <v>193</v>
      </c>
      <c r="B173" t="s">
        <v>215</v>
      </c>
      <c r="C173" t="s">
        <v>34</v>
      </c>
      <c r="D173">
        <v>-4.884055</v>
      </c>
      <c r="E173">
        <v>23.40194</v>
      </c>
      <c r="F173" t="s">
        <v>18</v>
      </c>
      <c r="G173" t="s">
        <v>11</v>
      </c>
    </row>
    <row r="174" spans="1:7" x14ac:dyDescent="0.25">
      <c r="A174" t="s">
        <v>193</v>
      </c>
      <c r="B174" t="s">
        <v>216</v>
      </c>
      <c r="C174" t="s">
        <v>82</v>
      </c>
      <c r="D174">
        <v>-9.7801860000000005</v>
      </c>
      <c r="E174">
        <v>16.649550000000001</v>
      </c>
      <c r="F174" t="s">
        <v>10</v>
      </c>
      <c r="G174" t="s">
        <v>11</v>
      </c>
    </row>
    <row r="175" spans="1:7" x14ac:dyDescent="0.25">
      <c r="A175" t="s">
        <v>193</v>
      </c>
      <c r="B175" t="s">
        <v>217</v>
      </c>
      <c r="C175" t="s">
        <v>24</v>
      </c>
      <c r="D175">
        <v>-2.3743210000000001</v>
      </c>
      <c r="E175">
        <v>22.399491000000001</v>
      </c>
      <c r="F175" t="s">
        <v>10</v>
      </c>
      <c r="G175" t="s">
        <v>11</v>
      </c>
    </row>
    <row r="176" spans="1:7" x14ac:dyDescent="0.25">
      <c r="A176" t="s">
        <v>193</v>
      </c>
      <c r="B176" t="s">
        <v>218</v>
      </c>
      <c r="C176" t="s">
        <v>34</v>
      </c>
      <c r="D176">
        <v>-0.17258100000000001</v>
      </c>
      <c r="E176">
        <v>23.775555000000001</v>
      </c>
      <c r="F176" t="s">
        <v>10</v>
      </c>
      <c r="G176" t="s">
        <v>35</v>
      </c>
    </row>
    <row r="177" spans="1:7" x14ac:dyDescent="0.25">
      <c r="A177" t="s">
        <v>193</v>
      </c>
      <c r="B177" t="s">
        <v>219</v>
      </c>
      <c r="C177" t="s">
        <v>43</v>
      </c>
      <c r="D177">
        <v>-9.3652239999999995</v>
      </c>
      <c r="E177">
        <v>22.593423999999999</v>
      </c>
      <c r="F177" t="s">
        <v>10</v>
      </c>
      <c r="G177" t="s">
        <v>35</v>
      </c>
    </row>
    <row r="178" spans="1:7" x14ac:dyDescent="0.25">
      <c r="A178" t="s">
        <v>193</v>
      </c>
      <c r="B178" t="s">
        <v>220</v>
      </c>
      <c r="C178" t="s">
        <v>82</v>
      </c>
      <c r="D178">
        <v>-4.8157019999999999</v>
      </c>
      <c r="E178">
        <v>27.679798000000002</v>
      </c>
      <c r="F178" t="s">
        <v>18</v>
      </c>
      <c r="G178" t="s">
        <v>11</v>
      </c>
    </row>
    <row r="179" spans="1:7" x14ac:dyDescent="0.25">
      <c r="A179" t="s">
        <v>193</v>
      </c>
      <c r="B179" t="s">
        <v>221</v>
      </c>
      <c r="C179" t="s">
        <v>37</v>
      </c>
      <c r="D179">
        <v>-8.4985189999999999</v>
      </c>
      <c r="E179">
        <v>12.929456999999999</v>
      </c>
      <c r="F179" t="s">
        <v>14</v>
      </c>
      <c r="G179" t="s">
        <v>11</v>
      </c>
    </row>
    <row r="180" spans="1:7" x14ac:dyDescent="0.25">
      <c r="A180" t="s">
        <v>193</v>
      </c>
      <c r="B180" t="s">
        <v>222</v>
      </c>
      <c r="C180" t="s">
        <v>43</v>
      </c>
      <c r="D180">
        <v>-0.54908599999999996</v>
      </c>
      <c r="E180">
        <v>14.816867</v>
      </c>
      <c r="F180" t="s">
        <v>10</v>
      </c>
      <c r="G180" t="s">
        <v>19</v>
      </c>
    </row>
    <row r="181" spans="1:7" x14ac:dyDescent="0.25">
      <c r="A181" t="s">
        <v>193</v>
      </c>
      <c r="B181" t="s">
        <v>223</v>
      </c>
      <c r="C181" t="s">
        <v>49</v>
      </c>
      <c r="D181">
        <v>3.3289240000000002</v>
      </c>
      <c r="E181">
        <v>24.412261000000001</v>
      </c>
      <c r="F181" t="s">
        <v>10</v>
      </c>
      <c r="G181" t="s">
        <v>35</v>
      </c>
    </row>
    <row r="182" spans="1:7" x14ac:dyDescent="0.25">
      <c r="A182" t="s">
        <v>193</v>
      </c>
      <c r="B182" t="s">
        <v>224</v>
      </c>
      <c r="C182" t="s">
        <v>21</v>
      </c>
      <c r="D182">
        <v>1.3367519999999999</v>
      </c>
      <c r="E182">
        <v>12.697699999999999</v>
      </c>
      <c r="F182" t="s">
        <v>10</v>
      </c>
      <c r="G182" t="s">
        <v>15</v>
      </c>
    </row>
    <row r="183" spans="1:7" x14ac:dyDescent="0.25">
      <c r="A183" t="s">
        <v>193</v>
      </c>
      <c r="B183" t="s">
        <v>225</v>
      </c>
      <c r="C183" t="s">
        <v>137</v>
      </c>
      <c r="D183">
        <v>-6.9254999999999997E-2</v>
      </c>
      <c r="E183">
        <v>28.222756</v>
      </c>
      <c r="F183" t="s">
        <v>10</v>
      </c>
      <c r="G183" t="s">
        <v>15</v>
      </c>
    </row>
    <row r="184" spans="1:7" x14ac:dyDescent="0.25">
      <c r="A184" t="s">
        <v>193</v>
      </c>
      <c r="B184" t="s">
        <v>226</v>
      </c>
      <c r="C184" t="s">
        <v>17</v>
      </c>
      <c r="D184">
        <v>-10.776204</v>
      </c>
      <c r="E184">
        <v>24.672934000000001</v>
      </c>
      <c r="F184" t="s">
        <v>14</v>
      </c>
      <c r="G184" t="s">
        <v>11</v>
      </c>
    </row>
    <row r="185" spans="1:7" x14ac:dyDescent="0.25">
      <c r="A185" t="s">
        <v>193</v>
      </c>
      <c r="B185" t="s">
        <v>227</v>
      </c>
      <c r="C185" t="s">
        <v>85</v>
      </c>
      <c r="D185">
        <v>-10.945031</v>
      </c>
      <c r="E185">
        <v>27.922274000000002</v>
      </c>
      <c r="F185" t="s">
        <v>14</v>
      </c>
      <c r="G185" t="s">
        <v>11</v>
      </c>
    </row>
    <row r="186" spans="1:7" x14ac:dyDescent="0.25">
      <c r="A186" t="s">
        <v>193</v>
      </c>
      <c r="B186" t="s">
        <v>228</v>
      </c>
      <c r="C186" t="s">
        <v>93</v>
      </c>
      <c r="D186">
        <v>-4.9108280000000004</v>
      </c>
      <c r="E186">
        <v>17.670389</v>
      </c>
      <c r="F186" t="s">
        <v>10</v>
      </c>
      <c r="G186" t="s">
        <v>19</v>
      </c>
    </row>
    <row r="187" spans="1:7" x14ac:dyDescent="0.25">
      <c r="A187" t="s">
        <v>193</v>
      </c>
      <c r="B187" t="s">
        <v>229</v>
      </c>
      <c r="C187" t="s">
        <v>21</v>
      </c>
      <c r="D187">
        <v>-6.4670189999999996</v>
      </c>
      <c r="E187">
        <v>29.487309</v>
      </c>
      <c r="F187" t="s">
        <v>14</v>
      </c>
      <c r="G187" t="s">
        <v>19</v>
      </c>
    </row>
    <row r="188" spans="1:7" x14ac:dyDescent="0.25">
      <c r="A188" t="s">
        <v>193</v>
      </c>
      <c r="B188" t="s">
        <v>230</v>
      </c>
      <c r="C188" t="s">
        <v>13</v>
      </c>
      <c r="D188">
        <v>-3.571288</v>
      </c>
      <c r="E188">
        <v>12.931596000000001</v>
      </c>
      <c r="F188" t="s">
        <v>14</v>
      </c>
      <c r="G188" t="s">
        <v>35</v>
      </c>
    </row>
    <row r="189" spans="1:7" x14ac:dyDescent="0.25">
      <c r="A189" t="s">
        <v>193</v>
      </c>
      <c r="B189" t="s">
        <v>231</v>
      </c>
      <c r="C189" t="s">
        <v>9</v>
      </c>
      <c r="D189">
        <v>-6.0864269999999996</v>
      </c>
      <c r="E189">
        <v>19.922181999999999</v>
      </c>
      <c r="F189" t="s">
        <v>10</v>
      </c>
      <c r="G189" t="s">
        <v>15</v>
      </c>
    </row>
    <row r="190" spans="1:7" x14ac:dyDescent="0.25">
      <c r="A190" t="s">
        <v>193</v>
      </c>
      <c r="B190" t="s">
        <v>232</v>
      </c>
      <c r="C190" t="s">
        <v>9</v>
      </c>
      <c r="D190">
        <v>1.2391989999999999</v>
      </c>
      <c r="E190">
        <v>15.386718999999999</v>
      </c>
      <c r="F190" t="s">
        <v>10</v>
      </c>
      <c r="G190" t="s">
        <v>19</v>
      </c>
    </row>
    <row r="191" spans="1:7" x14ac:dyDescent="0.25">
      <c r="A191" t="s">
        <v>193</v>
      </c>
      <c r="B191" t="s">
        <v>233</v>
      </c>
      <c r="C191" t="s">
        <v>93</v>
      </c>
      <c r="D191">
        <v>-3.7900040000000002</v>
      </c>
      <c r="E191">
        <v>24.769718999999998</v>
      </c>
      <c r="F191" t="s">
        <v>10</v>
      </c>
      <c r="G191" t="s">
        <v>15</v>
      </c>
    </row>
    <row r="192" spans="1:7" x14ac:dyDescent="0.25">
      <c r="A192" t="s">
        <v>193</v>
      </c>
      <c r="B192" t="s">
        <v>234</v>
      </c>
      <c r="C192" t="s">
        <v>52</v>
      </c>
      <c r="D192">
        <v>4.0955700000000004</v>
      </c>
      <c r="E192">
        <v>23.610704999999999</v>
      </c>
      <c r="F192" t="s">
        <v>14</v>
      </c>
      <c r="G192" t="s">
        <v>19</v>
      </c>
    </row>
    <row r="193" spans="1:7" x14ac:dyDescent="0.25">
      <c r="A193" t="s">
        <v>193</v>
      </c>
      <c r="B193" t="s">
        <v>235</v>
      </c>
      <c r="C193" t="s">
        <v>21</v>
      </c>
      <c r="D193">
        <v>-6.1837850000000003</v>
      </c>
      <c r="E193">
        <v>25.138759</v>
      </c>
      <c r="F193" t="s">
        <v>18</v>
      </c>
      <c r="G193" t="s">
        <v>11</v>
      </c>
    </row>
    <row r="194" spans="1:7" x14ac:dyDescent="0.25">
      <c r="A194" t="s">
        <v>193</v>
      </c>
      <c r="B194" t="s">
        <v>236</v>
      </c>
      <c r="C194" t="s">
        <v>49</v>
      </c>
      <c r="D194">
        <v>-6.1490739999999997</v>
      </c>
      <c r="E194">
        <v>23.304411000000002</v>
      </c>
      <c r="F194" t="s">
        <v>10</v>
      </c>
      <c r="G194" t="s">
        <v>19</v>
      </c>
    </row>
    <row r="195" spans="1:7" x14ac:dyDescent="0.25">
      <c r="A195" t="s">
        <v>193</v>
      </c>
      <c r="B195" t="s">
        <v>237</v>
      </c>
      <c r="C195" t="s">
        <v>34</v>
      </c>
      <c r="D195">
        <v>0.82868600000000003</v>
      </c>
      <c r="E195">
        <v>26.958843999999999</v>
      </c>
      <c r="F195" t="s">
        <v>10</v>
      </c>
      <c r="G195" t="s">
        <v>19</v>
      </c>
    </row>
    <row r="196" spans="1:7" x14ac:dyDescent="0.25">
      <c r="A196" t="s">
        <v>193</v>
      </c>
      <c r="B196" t="s">
        <v>238</v>
      </c>
      <c r="C196" t="s">
        <v>82</v>
      </c>
      <c r="D196">
        <v>3.42055</v>
      </c>
      <c r="E196">
        <v>15.370965999999999</v>
      </c>
      <c r="F196" t="s">
        <v>14</v>
      </c>
      <c r="G196" t="s">
        <v>35</v>
      </c>
    </row>
    <row r="197" spans="1:7" x14ac:dyDescent="0.25">
      <c r="A197" t="s">
        <v>193</v>
      </c>
      <c r="B197" t="s">
        <v>239</v>
      </c>
      <c r="C197" t="s">
        <v>93</v>
      </c>
      <c r="D197">
        <v>-2.8211520000000001</v>
      </c>
      <c r="E197">
        <v>20.651419000000001</v>
      </c>
      <c r="F197" t="s">
        <v>10</v>
      </c>
      <c r="G197" t="s">
        <v>11</v>
      </c>
    </row>
    <row r="198" spans="1:7" x14ac:dyDescent="0.25">
      <c r="A198" t="s">
        <v>193</v>
      </c>
      <c r="B198" t="s">
        <v>240</v>
      </c>
      <c r="C198" t="s">
        <v>49</v>
      </c>
      <c r="D198">
        <v>-1.1284540000000001</v>
      </c>
      <c r="E198">
        <v>23.000360000000001</v>
      </c>
      <c r="F198" t="s">
        <v>10</v>
      </c>
      <c r="G198" t="s">
        <v>11</v>
      </c>
    </row>
    <row r="199" spans="1:7" x14ac:dyDescent="0.25">
      <c r="A199" t="s">
        <v>193</v>
      </c>
      <c r="B199" t="s">
        <v>241</v>
      </c>
      <c r="C199" t="s">
        <v>34</v>
      </c>
      <c r="D199">
        <v>-10.298385</v>
      </c>
      <c r="E199">
        <v>29.698117</v>
      </c>
      <c r="F199" t="s">
        <v>10</v>
      </c>
      <c r="G199" t="s">
        <v>35</v>
      </c>
    </row>
    <row r="200" spans="1:7" x14ac:dyDescent="0.25">
      <c r="A200" t="s">
        <v>193</v>
      </c>
      <c r="B200" t="s">
        <v>242</v>
      </c>
      <c r="C200" t="s">
        <v>21</v>
      </c>
      <c r="D200">
        <v>2.6387339999999999</v>
      </c>
      <c r="E200">
        <v>13.769399</v>
      </c>
      <c r="F200" t="s">
        <v>14</v>
      </c>
      <c r="G200" t="s">
        <v>15</v>
      </c>
    </row>
    <row r="201" spans="1:7" x14ac:dyDescent="0.25">
      <c r="A201" t="s">
        <v>193</v>
      </c>
      <c r="B201" t="s">
        <v>243</v>
      </c>
      <c r="C201" t="s">
        <v>67</v>
      </c>
      <c r="D201">
        <v>-9.7803979999999999</v>
      </c>
      <c r="E201">
        <v>17.686595000000001</v>
      </c>
      <c r="F201" t="s">
        <v>14</v>
      </c>
      <c r="G201" t="s">
        <v>11</v>
      </c>
    </row>
    <row r="202" spans="1:7" x14ac:dyDescent="0.25">
      <c r="A202" t="s">
        <v>244</v>
      </c>
      <c r="B202" t="s">
        <v>245</v>
      </c>
      <c r="C202" t="s">
        <v>41</v>
      </c>
      <c r="D202">
        <v>-6.8779139999999996</v>
      </c>
      <c r="E202">
        <v>12.550860999999999</v>
      </c>
      <c r="F202" t="s">
        <v>10</v>
      </c>
      <c r="G202" t="s">
        <v>19</v>
      </c>
    </row>
    <row r="203" spans="1:7" x14ac:dyDescent="0.25">
      <c r="A203" t="s">
        <v>244</v>
      </c>
      <c r="B203" t="s">
        <v>246</v>
      </c>
      <c r="C203" t="s">
        <v>96</v>
      </c>
      <c r="D203">
        <v>-4.2975050000000001</v>
      </c>
      <c r="E203">
        <v>29.162555999999999</v>
      </c>
      <c r="F203" t="s">
        <v>10</v>
      </c>
      <c r="G203" t="s">
        <v>11</v>
      </c>
    </row>
    <row r="204" spans="1:7" x14ac:dyDescent="0.25">
      <c r="A204" t="s">
        <v>244</v>
      </c>
      <c r="B204" t="s">
        <v>247</v>
      </c>
      <c r="C204" t="s">
        <v>76</v>
      </c>
      <c r="D204">
        <v>2.7298239999999998</v>
      </c>
      <c r="E204">
        <v>12.958664000000001</v>
      </c>
      <c r="F204" t="s">
        <v>18</v>
      </c>
      <c r="G204" t="s">
        <v>19</v>
      </c>
    </row>
    <row r="205" spans="1:7" x14ac:dyDescent="0.25">
      <c r="A205" t="s">
        <v>244</v>
      </c>
      <c r="B205" t="s">
        <v>248</v>
      </c>
      <c r="C205" t="s">
        <v>45</v>
      </c>
      <c r="D205">
        <v>-7.4135429999999998</v>
      </c>
      <c r="E205">
        <v>19.288392999999999</v>
      </c>
      <c r="F205" t="s">
        <v>14</v>
      </c>
      <c r="G205" t="s">
        <v>35</v>
      </c>
    </row>
    <row r="206" spans="1:7" x14ac:dyDescent="0.25">
      <c r="A206" t="s">
        <v>244</v>
      </c>
      <c r="B206" t="s">
        <v>249</v>
      </c>
      <c r="C206" t="s">
        <v>27</v>
      </c>
      <c r="D206">
        <v>-7.1079169999999996</v>
      </c>
      <c r="E206">
        <v>13.636272</v>
      </c>
      <c r="F206" t="s">
        <v>10</v>
      </c>
      <c r="G206" t="s">
        <v>35</v>
      </c>
    </row>
    <row r="207" spans="1:7" x14ac:dyDescent="0.25">
      <c r="A207" t="s">
        <v>244</v>
      </c>
      <c r="B207" t="s">
        <v>250</v>
      </c>
      <c r="C207" t="s">
        <v>24</v>
      </c>
      <c r="D207">
        <v>0.850665</v>
      </c>
      <c r="E207">
        <v>19.446418000000001</v>
      </c>
      <c r="F207" t="s">
        <v>14</v>
      </c>
      <c r="G207" t="s">
        <v>15</v>
      </c>
    </row>
    <row r="208" spans="1:7" x14ac:dyDescent="0.25">
      <c r="A208" t="s">
        <v>244</v>
      </c>
      <c r="B208" t="s">
        <v>251</v>
      </c>
      <c r="C208" t="s">
        <v>34</v>
      </c>
      <c r="D208">
        <v>-11.231472</v>
      </c>
      <c r="E208">
        <v>25.388874000000001</v>
      </c>
      <c r="F208" t="s">
        <v>14</v>
      </c>
      <c r="G208" t="s">
        <v>15</v>
      </c>
    </row>
    <row r="209" spans="1:7" x14ac:dyDescent="0.25">
      <c r="A209" t="s">
        <v>244</v>
      </c>
      <c r="B209" t="s">
        <v>252</v>
      </c>
      <c r="C209" t="s">
        <v>137</v>
      </c>
      <c r="D209">
        <v>4.6809229999999999</v>
      </c>
      <c r="E209">
        <v>28.934242000000001</v>
      </c>
      <c r="F209" t="s">
        <v>10</v>
      </c>
      <c r="G209" t="s">
        <v>35</v>
      </c>
    </row>
    <row r="210" spans="1:7" x14ac:dyDescent="0.25">
      <c r="A210" t="s">
        <v>244</v>
      </c>
      <c r="B210" t="s">
        <v>253</v>
      </c>
      <c r="C210" t="s">
        <v>49</v>
      </c>
      <c r="D210">
        <v>-3.7093609999999999</v>
      </c>
      <c r="E210">
        <v>23.959942999999999</v>
      </c>
      <c r="F210" t="s">
        <v>14</v>
      </c>
      <c r="G210" t="s">
        <v>15</v>
      </c>
    </row>
    <row r="211" spans="1:7" x14ac:dyDescent="0.25">
      <c r="A211" t="s">
        <v>244</v>
      </c>
      <c r="B211" t="s">
        <v>254</v>
      </c>
      <c r="C211" t="s">
        <v>47</v>
      </c>
      <c r="D211">
        <v>4.8689660000000003</v>
      </c>
      <c r="E211">
        <v>25.112373000000002</v>
      </c>
      <c r="F211" t="s">
        <v>18</v>
      </c>
      <c r="G211" t="s">
        <v>15</v>
      </c>
    </row>
    <row r="212" spans="1:7" x14ac:dyDescent="0.25">
      <c r="A212" t="s">
        <v>244</v>
      </c>
      <c r="B212" t="s">
        <v>255</v>
      </c>
      <c r="C212" t="s">
        <v>37</v>
      </c>
      <c r="D212">
        <v>-9.3066320000000005</v>
      </c>
      <c r="E212">
        <v>20.470889</v>
      </c>
      <c r="F212" t="s">
        <v>10</v>
      </c>
      <c r="G212" t="s">
        <v>19</v>
      </c>
    </row>
    <row r="213" spans="1:7" x14ac:dyDescent="0.25">
      <c r="A213" t="s">
        <v>244</v>
      </c>
      <c r="B213" t="s">
        <v>256</v>
      </c>
      <c r="C213" t="s">
        <v>43</v>
      </c>
      <c r="D213">
        <v>-12.342053999999999</v>
      </c>
      <c r="E213">
        <v>18.756862000000002</v>
      </c>
      <c r="F213" t="s">
        <v>18</v>
      </c>
      <c r="G213" t="s">
        <v>11</v>
      </c>
    </row>
    <row r="214" spans="1:7" x14ac:dyDescent="0.25">
      <c r="A214" t="s">
        <v>244</v>
      </c>
      <c r="B214" t="s">
        <v>257</v>
      </c>
      <c r="C214" t="s">
        <v>34</v>
      </c>
      <c r="D214">
        <v>-6.0234120000000004</v>
      </c>
      <c r="E214">
        <v>18.314309999999999</v>
      </c>
      <c r="F214" t="s">
        <v>10</v>
      </c>
      <c r="G214" t="s">
        <v>19</v>
      </c>
    </row>
    <row r="215" spans="1:7" x14ac:dyDescent="0.25">
      <c r="A215" t="s">
        <v>244</v>
      </c>
      <c r="B215" t="s">
        <v>258</v>
      </c>
      <c r="C215" t="s">
        <v>47</v>
      </c>
      <c r="D215">
        <v>2.5665840000000002</v>
      </c>
      <c r="E215">
        <v>15.764796</v>
      </c>
      <c r="F215" t="s">
        <v>18</v>
      </c>
      <c r="G215" t="s">
        <v>19</v>
      </c>
    </row>
    <row r="216" spans="1:7" x14ac:dyDescent="0.25">
      <c r="A216" t="s">
        <v>244</v>
      </c>
      <c r="B216" t="s">
        <v>259</v>
      </c>
      <c r="C216" t="s">
        <v>43</v>
      </c>
      <c r="D216">
        <v>-10.914952</v>
      </c>
      <c r="E216">
        <v>26.409648000000001</v>
      </c>
      <c r="F216" t="s">
        <v>14</v>
      </c>
      <c r="G216" t="s">
        <v>15</v>
      </c>
    </row>
    <row r="217" spans="1:7" x14ac:dyDescent="0.25">
      <c r="A217" t="s">
        <v>244</v>
      </c>
      <c r="B217" t="s">
        <v>260</v>
      </c>
      <c r="C217" t="s">
        <v>13</v>
      </c>
      <c r="D217">
        <v>-7.402336</v>
      </c>
      <c r="E217">
        <v>27.376697</v>
      </c>
      <c r="F217" t="s">
        <v>14</v>
      </c>
      <c r="G217" t="s">
        <v>15</v>
      </c>
    </row>
    <row r="218" spans="1:7" x14ac:dyDescent="0.25">
      <c r="A218" t="s">
        <v>244</v>
      </c>
      <c r="B218" t="s">
        <v>261</v>
      </c>
      <c r="C218" t="s">
        <v>85</v>
      </c>
      <c r="D218">
        <v>-12.207461</v>
      </c>
      <c r="E218">
        <v>13.492367</v>
      </c>
      <c r="F218" t="s">
        <v>18</v>
      </c>
      <c r="G218" t="s">
        <v>11</v>
      </c>
    </row>
    <row r="219" spans="1:7" x14ac:dyDescent="0.25">
      <c r="A219" t="s">
        <v>244</v>
      </c>
      <c r="B219" t="s">
        <v>262</v>
      </c>
      <c r="C219" t="s">
        <v>67</v>
      </c>
      <c r="D219">
        <v>2.266232</v>
      </c>
      <c r="E219">
        <v>29.532896000000001</v>
      </c>
      <c r="F219" t="s">
        <v>14</v>
      </c>
      <c r="G219" t="s">
        <v>11</v>
      </c>
    </row>
    <row r="220" spans="1:7" x14ac:dyDescent="0.25">
      <c r="A220" t="s">
        <v>244</v>
      </c>
      <c r="B220" t="s">
        <v>263</v>
      </c>
      <c r="C220" t="s">
        <v>133</v>
      </c>
      <c r="D220">
        <v>2.6937519999999999</v>
      </c>
      <c r="E220">
        <v>26.524137</v>
      </c>
      <c r="F220" t="s">
        <v>18</v>
      </c>
      <c r="G220" t="s">
        <v>11</v>
      </c>
    </row>
    <row r="221" spans="1:7" x14ac:dyDescent="0.25">
      <c r="A221" t="s">
        <v>244</v>
      </c>
      <c r="B221" t="s">
        <v>264</v>
      </c>
      <c r="C221" t="s">
        <v>17</v>
      </c>
      <c r="D221">
        <v>-7.0007840000000003</v>
      </c>
      <c r="E221">
        <v>22.787997000000001</v>
      </c>
      <c r="F221" t="s">
        <v>10</v>
      </c>
      <c r="G221" t="s">
        <v>19</v>
      </c>
    </row>
    <row r="222" spans="1:7" x14ac:dyDescent="0.25">
      <c r="A222" t="s">
        <v>244</v>
      </c>
      <c r="B222" t="s">
        <v>265</v>
      </c>
      <c r="C222" t="s">
        <v>24</v>
      </c>
      <c r="D222">
        <v>3.0053459999999999</v>
      </c>
      <c r="E222">
        <v>13.765407</v>
      </c>
      <c r="F222" t="s">
        <v>10</v>
      </c>
      <c r="G222" t="s">
        <v>11</v>
      </c>
    </row>
    <row r="223" spans="1:7" x14ac:dyDescent="0.25">
      <c r="A223" t="s">
        <v>244</v>
      </c>
      <c r="B223" t="s">
        <v>266</v>
      </c>
      <c r="C223" t="s">
        <v>17</v>
      </c>
      <c r="D223">
        <v>-11.144149000000001</v>
      </c>
      <c r="E223">
        <v>27.244658999999999</v>
      </c>
      <c r="F223" t="s">
        <v>14</v>
      </c>
      <c r="G223" t="s">
        <v>35</v>
      </c>
    </row>
    <row r="224" spans="1:7" x14ac:dyDescent="0.25">
      <c r="A224" t="s">
        <v>244</v>
      </c>
      <c r="B224" t="s">
        <v>267</v>
      </c>
      <c r="C224" t="s">
        <v>93</v>
      </c>
      <c r="D224">
        <v>0.79124300000000003</v>
      </c>
      <c r="E224">
        <v>25.273389000000002</v>
      </c>
      <c r="F224" t="s">
        <v>14</v>
      </c>
      <c r="G224" t="s">
        <v>35</v>
      </c>
    </row>
    <row r="225" spans="1:7" x14ac:dyDescent="0.25">
      <c r="A225" t="s">
        <v>244</v>
      </c>
      <c r="B225" t="s">
        <v>268</v>
      </c>
      <c r="C225" t="s">
        <v>45</v>
      </c>
      <c r="D225">
        <v>0.419985</v>
      </c>
      <c r="E225">
        <v>13.847996999999999</v>
      </c>
      <c r="F225" t="s">
        <v>10</v>
      </c>
      <c r="G225" t="s">
        <v>19</v>
      </c>
    </row>
    <row r="226" spans="1:7" x14ac:dyDescent="0.25">
      <c r="A226" t="s">
        <v>244</v>
      </c>
      <c r="B226" t="s">
        <v>269</v>
      </c>
      <c r="C226" t="s">
        <v>62</v>
      </c>
      <c r="D226">
        <v>-12.595355</v>
      </c>
      <c r="E226">
        <v>17.897442000000002</v>
      </c>
      <c r="F226" t="s">
        <v>14</v>
      </c>
      <c r="G226" t="s">
        <v>15</v>
      </c>
    </row>
    <row r="227" spans="1:7" x14ac:dyDescent="0.25">
      <c r="A227" t="s">
        <v>244</v>
      </c>
      <c r="B227" t="s">
        <v>270</v>
      </c>
      <c r="C227" t="s">
        <v>96</v>
      </c>
      <c r="D227">
        <v>0.65288900000000005</v>
      </c>
      <c r="E227">
        <v>24.243953999999999</v>
      </c>
      <c r="F227" t="s">
        <v>10</v>
      </c>
      <c r="G227" t="s">
        <v>11</v>
      </c>
    </row>
    <row r="228" spans="1:7" x14ac:dyDescent="0.25">
      <c r="A228" t="s">
        <v>244</v>
      </c>
      <c r="B228" t="s">
        <v>271</v>
      </c>
      <c r="C228" t="s">
        <v>55</v>
      </c>
      <c r="D228">
        <v>-1.500685</v>
      </c>
      <c r="E228">
        <v>26.563376000000002</v>
      </c>
      <c r="F228" t="s">
        <v>10</v>
      </c>
      <c r="G228" t="s">
        <v>35</v>
      </c>
    </row>
    <row r="229" spans="1:7" x14ac:dyDescent="0.25">
      <c r="A229" t="s">
        <v>244</v>
      </c>
      <c r="B229" t="s">
        <v>272</v>
      </c>
      <c r="C229" t="s">
        <v>52</v>
      </c>
      <c r="D229">
        <v>-9.2227779999999999</v>
      </c>
      <c r="E229">
        <v>20.940372</v>
      </c>
      <c r="F229" t="s">
        <v>18</v>
      </c>
      <c r="G229" t="s">
        <v>11</v>
      </c>
    </row>
    <row r="230" spans="1:7" x14ac:dyDescent="0.25">
      <c r="A230" t="s">
        <v>244</v>
      </c>
      <c r="B230" t="s">
        <v>273</v>
      </c>
      <c r="C230" t="s">
        <v>41</v>
      </c>
      <c r="D230">
        <v>-9.3900009999999998</v>
      </c>
      <c r="E230">
        <v>30.001517</v>
      </c>
      <c r="F230" t="s">
        <v>18</v>
      </c>
      <c r="G230" t="s">
        <v>35</v>
      </c>
    </row>
    <row r="231" spans="1:7" x14ac:dyDescent="0.25">
      <c r="A231" t="s">
        <v>244</v>
      </c>
      <c r="B231" t="s">
        <v>274</v>
      </c>
      <c r="C231" t="s">
        <v>9</v>
      </c>
      <c r="D231">
        <v>-7.8417870000000001</v>
      </c>
      <c r="E231">
        <v>14.730712</v>
      </c>
      <c r="F231" t="s">
        <v>10</v>
      </c>
      <c r="G231" t="s">
        <v>35</v>
      </c>
    </row>
    <row r="232" spans="1:7" x14ac:dyDescent="0.25">
      <c r="A232" t="s">
        <v>244</v>
      </c>
      <c r="B232" t="s">
        <v>275</v>
      </c>
      <c r="C232" t="s">
        <v>133</v>
      </c>
      <c r="D232">
        <v>-3.419035</v>
      </c>
      <c r="E232">
        <v>29.018315999999999</v>
      </c>
      <c r="F232" t="s">
        <v>10</v>
      </c>
      <c r="G232" t="s">
        <v>11</v>
      </c>
    </row>
    <row r="233" spans="1:7" x14ac:dyDescent="0.25">
      <c r="A233" t="s">
        <v>244</v>
      </c>
      <c r="B233" t="s">
        <v>276</v>
      </c>
      <c r="C233" t="s">
        <v>32</v>
      </c>
      <c r="D233">
        <v>0.91016799999999998</v>
      </c>
      <c r="E233">
        <v>16.903002999999998</v>
      </c>
      <c r="F233" t="s">
        <v>18</v>
      </c>
      <c r="G233" t="s">
        <v>35</v>
      </c>
    </row>
    <row r="234" spans="1:7" x14ac:dyDescent="0.25">
      <c r="A234" t="s">
        <v>244</v>
      </c>
      <c r="B234" t="s">
        <v>277</v>
      </c>
      <c r="C234" t="s">
        <v>21</v>
      </c>
      <c r="D234">
        <v>-0.919767</v>
      </c>
      <c r="E234">
        <v>18.905538</v>
      </c>
      <c r="F234" t="s">
        <v>10</v>
      </c>
      <c r="G234" t="s">
        <v>11</v>
      </c>
    </row>
    <row r="235" spans="1:7" x14ac:dyDescent="0.25">
      <c r="A235" t="s">
        <v>244</v>
      </c>
      <c r="B235" t="s">
        <v>278</v>
      </c>
      <c r="C235" t="s">
        <v>133</v>
      </c>
      <c r="D235">
        <v>-8.0922239999999999</v>
      </c>
      <c r="E235">
        <v>15.483708</v>
      </c>
      <c r="F235" t="s">
        <v>10</v>
      </c>
      <c r="G235" t="s">
        <v>35</v>
      </c>
    </row>
    <row r="236" spans="1:7" x14ac:dyDescent="0.25">
      <c r="A236" t="s">
        <v>244</v>
      </c>
      <c r="B236" t="s">
        <v>279</v>
      </c>
      <c r="C236" t="s">
        <v>47</v>
      </c>
      <c r="D236">
        <v>-10.165072</v>
      </c>
      <c r="E236">
        <v>29.428024000000001</v>
      </c>
      <c r="F236" t="s">
        <v>10</v>
      </c>
      <c r="G236" t="s">
        <v>15</v>
      </c>
    </row>
    <row r="237" spans="1:7" x14ac:dyDescent="0.25">
      <c r="A237" t="s">
        <v>244</v>
      </c>
      <c r="B237" t="s">
        <v>280</v>
      </c>
      <c r="C237" t="s">
        <v>13</v>
      </c>
      <c r="D237">
        <v>-10.939712999999999</v>
      </c>
      <c r="E237">
        <v>18.276230999999999</v>
      </c>
      <c r="F237" t="s">
        <v>14</v>
      </c>
      <c r="G237" t="s">
        <v>19</v>
      </c>
    </row>
    <row r="238" spans="1:7" x14ac:dyDescent="0.25">
      <c r="A238" t="s">
        <v>244</v>
      </c>
      <c r="B238" t="s">
        <v>281</v>
      </c>
      <c r="C238" t="s">
        <v>41</v>
      </c>
      <c r="D238">
        <v>4.2493650000000001</v>
      </c>
      <c r="E238">
        <v>28.355039999999999</v>
      </c>
      <c r="F238" t="s">
        <v>18</v>
      </c>
      <c r="G238" t="s">
        <v>19</v>
      </c>
    </row>
    <row r="239" spans="1:7" x14ac:dyDescent="0.25">
      <c r="A239" t="s">
        <v>244</v>
      </c>
      <c r="B239" t="s">
        <v>282</v>
      </c>
      <c r="C239" t="s">
        <v>85</v>
      </c>
      <c r="D239">
        <v>-2.926736</v>
      </c>
      <c r="E239">
        <v>18.170461</v>
      </c>
      <c r="F239" t="s">
        <v>10</v>
      </c>
      <c r="G239" t="s">
        <v>11</v>
      </c>
    </row>
    <row r="240" spans="1:7" x14ac:dyDescent="0.25">
      <c r="A240" t="s">
        <v>244</v>
      </c>
      <c r="B240" t="s">
        <v>283</v>
      </c>
      <c r="C240" t="s">
        <v>93</v>
      </c>
      <c r="D240">
        <v>-11.157245</v>
      </c>
      <c r="E240">
        <v>21.262627999999999</v>
      </c>
      <c r="F240" t="s">
        <v>10</v>
      </c>
      <c r="G240" t="s">
        <v>19</v>
      </c>
    </row>
    <row r="241" spans="1:7" x14ac:dyDescent="0.25">
      <c r="A241" t="s">
        <v>244</v>
      </c>
      <c r="B241" t="s">
        <v>284</v>
      </c>
      <c r="C241" t="s">
        <v>67</v>
      </c>
      <c r="D241">
        <v>-3.234483</v>
      </c>
      <c r="E241">
        <v>13.241939</v>
      </c>
      <c r="F241" t="s">
        <v>14</v>
      </c>
      <c r="G241" t="s">
        <v>19</v>
      </c>
    </row>
    <row r="242" spans="1:7" x14ac:dyDescent="0.25">
      <c r="A242" t="s">
        <v>244</v>
      </c>
      <c r="B242" t="s">
        <v>285</v>
      </c>
      <c r="C242" t="s">
        <v>32</v>
      </c>
      <c r="D242">
        <v>-3.111418</v>
      </c>
      <c r="E242">
        <v>14.144854</v>
      </c>
      <c r="F242" t="s">
        <v>14</v>
      </c>
      <c r="G242" t="s">
        <v>19</v>
      </c>
    </row>
    <row r="243" spans="1:7" x14ac:dyDescent="0.25">
      <c r="A243" t="s">
        <v>244</v>
      </c>
      <c r="B243" t="s">
        <v>286</v>
      </c>
      <c r="C243" t="s">
        <v>96</v>
      </c>
      <c r="D243">
        <v>-8.1210620000000002</v>
      </c>
      <c r="E243">
        <v>21.094390000000001</v>
      </c>
      <c r="F243" t="s">
        <v>10</v>
      </c>
      <c r="G243" t="s">
        <v>19</v>
      </c>
    </row>
    <row r="244" spans="1:7" x14ac:dyDescent="0.25">
      <c r="A244" t="s">
        <v>244</v>
      </c>
      <c r="B244" t="s">
        <v>287</v>
      </c>
      <c r="C244" t="s">
        <v>21</v>
      </c>
      <c r="D244">
        <v>1.472051</v>
      </c>
      <c r="E244">
        <v>17.36289</v>
      </c>
      <c r="F244" t="s">
        <v>14</v>
      </c>
      <c r="G244" t="s">
        <v>15</v>
      </c>
    </row>
    <row r="245" spans="1:7" x14ac:dyDescent="0.25">
      <c r="A245" t="s">
        <v>244</v>
      </c>
      <c r="B245" t="s">
        <v>288</v>
      </c>
      <c r="C245" t="s">
        <v>27</v>
      </c>
      <c r="D245">
        <v>-2.6665070000000002</v>
      </c>
      <c r="E245">
        <v>18.623692999999999</v>
      </c>
      <c r="F245" t="s">
        <v>18</v>
      </c>
      <c r="G245" t="s">
        <v>19</v>
      </c>
    </row>
    <row r="246" spans="1:7" x14ac:dyDescent="0.25">
      <c r="A246" t="s">
        <v>244</v>
      </c>
      <c r="B246" t="s">
        <v>289</v>
      </c>
      <c r="C246" t="s">
        <v>85</v>
      </c>
      <c r="D246">
        <v>-9.9170499999999997</v>
      </c>
      <c r="E246">
        <v>22.918887000000002</v>
      </c>
      <c r="F246" t="s">
        <v>14</v>
      </c>
      <c r="G246" t="s">
        <v>15</v>
      </c>
    </row>
    <row r="247" spans="1:7" x14ac:dyDescent="0.25">
      <c r="A247" t="s">
        <v>244</v>
      </c>
      <c r="B247" t="s">
        <v>290</v>
      </c>
      <c r="C247" t="s">
        <v>55</v>
      </c>
      <c r="D247">
        <v>-7.3952039999999997</v>
      </c>
      <c r="E247">
        <v>21.651043999999999</v>
      </c>
      <c r="F247" t="s">
        <v>14</v>
      </c>
      <c r="G247" t="s">
        <v>15</v>
      </c>
    </row>
    <row r="248" spans="1:7" x14ac:dyDescent="0.25">
      <c r="A248" t="s">
        <v>244</v>
      </c>
      <c r="B248" t="s">
        <v>291</v>
      </c>
      <c r="C248" t="s">
        <v>21</v>
      </c>
      <c r="D248">
        <v>3.0603760000000002</v>
      </c>
      <c r="E248">
        <v>19.708034000000001</v>
      </c>
      <c r="F248" t="s">
        <v>18</v>
      </c>
      <c r="G248" t="s">
        <v>19</v>
      </c>
    </row>
    <row r="249" spans="1:7" x14ac:dyDescent="0.25">
      <c r="A249" t="s">
        <v>244</v>
      </c>
      <c r="B249" t="s">
        <v>292</v>
      </c>
      <c r="C249" t="s">
        <v>76</v>
      </c>
      <c r="D249">
        <v>-3.269612</v>
      </c>
      <c r="E249">
        <v>25.571189</v>
      </c>
      <c r="F249" t="s">
        <v>10</v>
      </c>
      <c r="G249" t="s">
        <v>11</v>
      </c>
    </row>
    <row r="250" spans="1:7" x14ac:dyDescent="0.25">
      <c r="A250" t="s">
        <v>244</v>
      </c>
      <c r="B250" t="s">
        <v>293</v>
      </c>
      <c r="C250" t="s">
        <v>32</v>
      </c>
      <c r="D250">
        <v>-12.086929</v>
      </c>
      <c r="E250">
        <v>14.032645</v>
      </c>
      <c r="F250" t="s">
        <v>18</v>
      </c>
      <c r="G250" t="s">
        <v>19</v>
      </c>
    </row>
    <row r="251" spans="1:7" x14ac:dyDescent="0.25">
      <c r="A251" t="s">
        <v>294</v>
      </c>
      <c r="B251" t="s">
        <v>295</v>
      </c>
      <c r="C251" t="s">
        <v>96</v>
      </c>
      <c r="D251">
        <v>-10.963041</v>
      </c>
      <c r="E251">
        <v>12.269857</v>
      </c>
      <c r="F251" t="s">
        <v>14</v>
      </c>
      <c r="G251" t="s">
        <v>15</v>
      </c>
    </row>
    <row r="252" spans="1:7" x14ac:dyDescent="0.25">
      <c r="A252" t="s">
        <v>294</v>
      </c>
      <c r="B252" t="s">
        <v>296</v>
      </c>
      <c r="C252" t="s">
        <v>137</v>
      </c>
      <c r="D252">
        <v>-4.332408</v>
      </c>
      <c r="E252">
        <v>14.119439</v>
      </c>
      <c r="F252" t="s">
        <v>10</v>
      </c>
      <c r="G252" t="s">
        <v>35</v>
      </c>
    </row>
    <row r="253" spans="1:7" x14ac:dyDescent="0.25">
      <c r="A253" t="s">
        <v>294</v>
      </c>
      <c r="B253" t="s">
        <v>297</v>
      </c>
      <c r="C253" t="s">
        <v>27</v>
      </c>
      <c r="D253">
        <v>-0.57104900000000003</v>
      </c>
      <c r="E253">
        <v>15.317663</v>
      </c>
      <c r="F253" t="s">
        <v>10</v>
      </c>
      <c r="G253" t="s">
        <v>35</v>
      </c>
    </row>
    <row r="254" spans="1:7" x14ac:dyDescent="0.25">
      <c r="A254" t="s">
        <v>294</v>
      </c>
      <c r="B254" t="s">
        <v>298</v>
      </c>
      <c r="C254" t="s">
        <v>76</v>
      </c>
      <c r="D254">
        <v>-10.442425</v>
      </c>
      <c r="E254">
        <v>23.243632000000002</v>
      </c>
      <c r="F254" t="s">
        <v>14</v>
      </c>
      <c r="G254" t="s">
        <v>35</v>
      </c>
    </row>
    <row r="255" spans="1:7" x14ac:dyDescent="0.25">
      <c r="A255" t="s">
        <v>294</v>
      </c>
      <c r="B255" t="s">
        <v>299</v>
      </c>
      <c r="C255" t="s">
        <v>82</v>
      </c>
      <c r="D255">
        <v>0.16327700000000001</v>
      </c>
      <c r="E255">
        <v>14.871577</v>
      </c>
      <c r="F255" t="s">
        <v>14</v>
      </c>
      <c r="G255" t="s">
        <v>15</v>
      </c>
    </row>
    <row r="256" spans="1:7" x14ac:dyDescent="0.25">
      <c r="A256" t="s">
        <v>294</v>
      </c>
      <c r="B256" t="s">
        <v>300</v>
      </c>
      <c r="C256" t="s">
        <v>55</v>
      </c>
      <c r="D256">
        <v>4.7044240000000004</v>
      </c>
      <c r="E256">
        <v>20.486409999999999</v>
      </c>
      <c r="F256" t="s">
        <v>14</v>
      </c>
      <c r="G256" t="s">
        <v>19</v>
      </c>
    </row>
    <row r="257" spans="1:7" x14ac:dyDescent="0.25">
      <c r="A257" t="s">
        <v>294</v>
      </c>
      <c r="B257" t="s">
        <v>301</v>
      </c>
      <c r="C257" t="s">
        <v>30</v>
      </c>
      <c r="D257">
        <v>4.7060310000000003</v>
      </c>
      <c r="E257">
        <v>27.348973000000001</v>
      </c>
      <c r="F257" t="s">
        <v>14</v>
      </c>
      <c r="G257" t="s">
        <v>15</v>
      </c>
    </row>
    <row r="258" spans="1:7" x14ac:dyDescent="0.25">
      <c r="A258" t="s">
        <v>294</v>
      </c>
      <c r="B258" t="s">
        <v>302</v>
      </c>
      <c r="C258" t="s">
        <v>62</v>
      </c>
      <c r="D258">
        <v>1.019657</v>
      </c>
      <c r="E258">
        <v>16.963799000000002</v>
      </c>
      <c r="F258" t="s">
        <v>18</v>
      </c>
      <c r="G258" t="s">
        <v>35</v>
      </c>
    </row>
    <row r="259" spans="1:7" x14ac:dyDescent="0.25">
      <c r="A259" t="s">
        <v>294</v>
      </c>
      <c r="B259" t="s">
        <v>303</v>
      </c>
      <c r="C259" t="s">
        <v>76</v>
      </c>
      <c r="D259">
        <v>-4.6311460000000002</v>
      </c>
      <c r="E259">
        <v>25.314723000000001</v>
      </c>
      <c r="F259" t="s">
        <v>14</v>
      </c>
      <c r="G259" t="s">
        <v>15</v>
      </c>
    </row>
    <row r="260" spans="1:7" x14ac:dyDescent="0.25">
      <c r="A260" t="s">
        <v>294</v>
      </c>
      <c r="B260" t="s">
        <v>304</v>
      </c>
      <c r="C260" t="s">
        <v>96</v>
      </c>
      <c r="D260">
        <v>-11.591777</v>
      </c>
      <c r="E260">
        <v>21.213452</v>
      </c>
      <c r="F260" t="s">
        <v>10</v>
      </c>
      <c r="G260" t="s">
        <v>11</v>
      </c>
    </row>
    <row r="261" spans="1:7" x14ac:dyDescent="0.25">
      <c r="A261" t="s">
        <v>294</v>
      </c>
      <c r="B261" t="s">
        <v>305</v>
      </c>
      <c r="C261" t="s">
        <v>76</v>
      </c>
      <c r="D261">
        <v>3.0184790000000001</v>
      </c>
      <c r="E261">
        <v>27.188068000000001</v>
      </c>
      <c r="F261" t="s">
        <v>10</v>
      </c>
      <c r="G261" t="s">
        <v>11</v>
      </c>
    </row>
    <row r="262" spans="1:7" x14ac:dyDescent="0.25">
      <c r="A262" t="s">
        <v>294</v>
      </c>
      <c r="B262" t="s">
        <v>306</v>
      </c>
      <c r="C262" t="s">
        <v>137</v>
      </c>
      <c r="D262">
        <v>-11.407966</v>
      </c>
      <c r="E262">
        <v>28.378274000000001</v>
      </c>
      <c r="F262" t="s">
        <v>14</v>
      </c>
      <c r="G262" t="s">
        <v>19</v>
      </c>
    </row>
    <row r="263" spans="1:7" x14ac:dyDescent="0.25">
      <c r="A263" t="s">
        <v>294</v>
      </c>
      <c r="B263" t="s">
        <v>307</v>
      </c>
      <c r="C263" t="s">
        <v>85</v>
      </c>
      <c r="D263">
        <v>-4.4958720000000003</v>
      </c>
      <c r="E263">
        <v>18.514112000000001</v>
      </c>
      <c r="F263" t="s">
        <v>14</v>
      </c>
      <c r="G263" t="s">
        <v>35</v>
      </c>
    </row>
    <row r="264" spans="1:7" x14ac:dyDescent="0.25">
      <c r="A264" t="s">
        <v>294</v>
      </c>
      <c r="B264" t="s">
        <v>308</v>
      </c>
      <c r="C264" t="s">
        <v>62</v>
      </c>
      <c r="D264">
        <v>0.35034999999999999</v>
      </c>
      <c r="E264">
        <v>13.603628</v>
      </c>
      <c r="F264" t="s">
        <v>10</v>
      </c>
      <c r="G264" t="s">
        <v>19</v>
      </c>
    </row>
    <row r="265" spans="1:7" x14ac:dyDescent="0.25">
      <c r="A265" t="s">
        <v>294</v>
      </c>
      <c r="B265" t="s">
        <v>309</v>
      </c>
      <c r="C265" t="s">
        <v>9</v>
      </c>
      <c r="D265">
        <v>4.2873989999999997</v>
      </c>
      <c r="E265">
        <v>14.756335</v>
      </c>
      <c r="F265" t="s">
        <v>10</v>
      </c>
      <c r="G265" t="s">
        <v>11</v>
      </c>
    </row>
    <row r="266" spans="1:7" x14ac:dyDescent="0.25">
      <c r="A266" t="s">
        <v>294</v>
      </c>
      <c r="B266" t="s">
        <v>310</v>
      </c>
      <c r="C266" t="s">
        <v>85</v>
      </c>
      <c r="D266">
        <v>-11.594525000000001</v>
      </c>
      <c r="E266">
        <v>29.744895</v>
      </c>
      <c r="F266" t="s">
        <v>18</v>
      </c>
      <c r="G266" t="s">
        <v>19</v>
      </c>
    </row>
    <row r="267" spans="1:7" x14ac:dyDescent="0.25">
      <c r="A267" t="s">
        <v>294</v>
      </c>
      <c r="B267" t="s">
        <v>311</v>
      </c>
      <c r="C267" t="s">
        <v>17</v>
      </c>
      <c r="D267">
        <v>-1.5936220000000001</v>
      </c>
      <c r="E267">
        <v>14.928856</v>
      </c>
      <c r="F267" t="s">
        <v>10</v>
      </c>
      <c r="G267" t="s">
        <v>11</v>
      </c>
    </row>
    <row r="268" spans="1:7" x14ac:dyDescent="0.25">
      <c r="A268" t="s">
        <v>294</v>
      </c>
      <c r="B268" t="s">
        <v>312</v>
      </c>
      <c r="C268" t="s">
        <v>43</v>
      </c>
      <c r="D268">
        <v>1.3657680000000001</v>
      </c>
      <c r="E268">
        <v>21.423017000000002</v>
      </c>
      <c r="F268" t="s">
        <v>10</v>
      </c>
      <c r="G268" t="s">
        <v>11</v>
      </c>
    </row>
    <row r="269" spans="1:7" x14ac:dyDescent="0.25">
      <c r="A269" t="s">
        <v>294</v>
      </c>
      <c r="B269" t="s">
        <v>313</v>
      </c>
      <c r="C269" t="s">
        <v>62</v>
      </c>
      <c r="D269">
        <v>-7.3750049999999998</v>
      </c>
      <c r="E269">
        <v>30.878126000000002</v>
      </c>
      <c r="F269" t="s">
        <v>10</v>
      </c>
      <c r="G269" t="s">
        <v>15</v>
      </c>
    </row>
    <row r="270" spans="1:7" x14ac:dyDescent="0.25">
      <c r="A270" t="s">
        <v>294</v>
      </c>
      <c r="B270" t="s">
        <v>314</v>
      </c>
      <c r="C270" t="s">
        <v>43</v>
      </c>
      <c r="D270">
        <v>-12.050063</v>
      </c>
      <c r="E270">
        <v>26.636987999999999</v>
      </c>
      <c r="F270" t="s">
        <v>18</v>
      </c>
      <c r="G270" t="s">
        <v>35</v>
      </c>
    </row>
    <row r="271" spans="1:7" x14ac:dyDescent="0.25">
      <c r="A271" t="s">
        <v>294</v>
      </c>
      <c r="B271" t="s">
        <v>315</v>
      </c>
      <c r="C271" t="s">
        <v>47</v>
      </c>
      <c r="D271">
        <v>-6.8161690000000004</v>
      </c>
      <c r="E271">
        <v>16.521000999999998</v>
      </c>
      <c r="F271" t="s">
        <v>10</v>
      </c>
      <c r="G271" t="s">
        <v>11</v>
      </c>
    </row>
    <row r="272" spans="1:7" x14ac:dyDescent="0.25">
      <c r="A272" t="s">
        <v>294</v>
      </c>
      <c r="B272" t="s">
        <v>316</v>
      </c>
      <c r="C272" t="s">
        <v>9</v>
      </c>
      <c r="D272">
        <v>1.0134879999999999</v>
      </c>
      <c r="E272">
        <v>20.363515</v>
      </c>
      <c r="F272" t="s">
        <v>14</v>
      </c>
      <c r="G272" t="s">
        <v>35</v>
      </c>
    </row>
    <row r="273" spans="1:7" x14ac:dyDescent="0.25">
      <c r="A273" t="s">
        <v>294</v>
      </c>
      <c r="B273" t="s">
        <v>317</v>
      </c>
      <c r="C273" t="s">
        <v>21</v>
      </c>
      <c r="D273">
        <v>-4.5603610000000003</v>
      </c>
      <c r="E273">
        <v>24.113918999999999</v>
      </c>
      <c r="F273" t="s">
        <v>10</v>
      </c>
      <c r="G273" t="s">
        <v>19</v>
      </c>
    </row>
    <row r="274" spans="1:7" x14ac:dyDescent="0.25">
      <c r="A274" t="s">
        <v>294</v>
      </c>
      <c r="B274" t="s">
        <v>318</v>
      </c>
      <c r="C274" t="s">
        <v>62</v>
      </c>
      <c r="D274">
        <v>-3.7720639999999999</v>
      </c>
      <c r="E274">
        <v>16.006277999999998</v>
      </c>
      <c r="F274" t="s">
        <v>10</v>
      </c>
      <c r="G274" t="s">
        <v>19</v>
      </c>
    </row>
    <row r="275" spans="1:7" x14ac:dyDescent="0.25">
      <c r="A275" t="s">
        <v>294</v>
      </c>
      <c r="B275" t="s">
        <v>319</v>
      </c>
      <c r="C275" t="s">
        <v>49</v>
      </c>
      <c r="D275">
        <v>-4.5538169999999996</v>
      </c>
      <c r="E275">
        <v>25.952860999999999</v>
      </c>
      <c r="F275" t="s">
        <v>18</v>
      </c>
      <c r="G275" t="s">
        <v>11</v>
      </c>
    </row>
    <row r="276" spans="1:7" x14ac:dyDescent="0.25">
      <c r="A276" t="s">
        <v>294</v>
      </c>
      <c r="B276" t="s">
        <v>320</v>
      </c>
      <c r="C276" t="s">
        <v>9</v>
      </c>
      <c r="D276">
        <v>0.20866199999999999</v>
      </c>
      <c r="E276">
        <v>18.556439000000001</v>
      </c>
      <c r="F276" t="s">
        <v>14</v>
      </c>
      <c r="G276" t="s">
        <v>35</v>
      </c>
    </row>
    <row r="277" spans="1:7" x14ac:dyDescent="0.25">
      <c r="A277" t="s">
        <v>294</v>
      </c>
      <c r="B277" t="s">
        <v>321</v>
      </c>
      <c r="C277" t="s">
        <v>34</v>
      </c>
      <c r="D277">
        <v>-5.42171</v>
      </c>
      <c r="E277">
        <v>24.202960999999998</v>
      </c>
      <c r="F277" t="s">
        <v>10</v>
      </c>
      <c r="G277" t="s">
        <v>11</v>
      </c>
    </row>
    <row r="278" spans="1:7" x14ac:dyDescent="0.25">
      <c r="A278" t="s">
        <v>294</v>
      </c>
      <c r="B278" t="s">
        <v>322</v>
      </c>
      <c r="C278" t="s">
        <v>41</v>
      </c>
      <c r="D278">
        <v>4.2904629999999999</v>
      </c>
      <c r="E278">
        <v>26.354195000000001</v>
      </c>
      <c r="F278" t="s">
        <v>18</v>
      </c>
      <c r="G278" t="s">
        <v>11</v>
      </c>
    </row>
    <row r="279" spans="1:7" x14ac:dyDescent="0.25">
      <c r="A279" t="s">
        <v>294</v>
      </c>
      <c r="B279" t="s">
        <v>323</v>
      </c>
      <c r="C279" t="s">
        <v>52</v>
      </c>
      <c r="D279">
        <v>1.368018</v>
      </c>
      <c r="E279">
        <v>14.203893000000001</v>
      </c>
      <c r="F279" t="s">
        <v>10</v>
      </c>
      <c r="G279" t="s">
        <v>15</v>
      </c>
    </row>
    <row r="280" spans="1:7" x14ac:dyDescent="0.25">
      <c r="A280" t="s">
        <v>294</v>
      </c>
      <c r="B280" t="s">
        <v>324</v>
      </c>
      <c r="C280" t="s">
        <v>47</v>
      </c>
      <c r="D280">
        <v>-7.7942479999999996</v>
      </c>
      <c r="E280">
        <v>15.184407999999999</v>
      </c>
      <c r="F280" t="s">
        <v>18</v>
      </c>
      <c r="G280" t="s">
        <v>19</v>
      </c>
    </row>
    <row r="281" spans="1:7" x14ac:dyDescent="0.25">
      <c r="A281" t="s">
        <v>294</v>
      </c>
      <c r="B281" t="s">
        <v>325</v>
      </c>
      <c r="C281" t="s">
        <v>62</v>
      </c>
      <c r="D281">
        <v>-12.364127999999999</v>
      </c>
      <c r="E281">
        <v>19.576150999999999</v>
      </c>
      <c r="F281" t="s">
        <v>18</v>
      </c>
      <c r="G281" t="s">
        <v>35</v>
      </c>
    </row>
    <row r="282" spans="1:7" x14ac:dyDescent="0.25">
      <c r="A282" t="s">
        <v>294</v>
      </c>
      <c r="B282" t="s">
        <v>326</v>
      </c>
      <c r="C282" t="s">
        <v>43</v>
      </c>
      <c r="D282">
        <v>3.611561</v>
      </c>
      <c r="E282">
        <v>17.725974999999998</v>
      </c>
      <c r="F282" t="s">
        <v>18</v>
      </c>
      <c r="G282" t="s">
        <v>19</v>
      </c>
    </row>
    <row r="283" spans="1:7" x14ac:dyDescent="0.25">
      <c r="A283" t="s">
        <v>294</v>
      </c>
      <c r="B283" t="s">
        <v>327</v>
      </c>
      <c r="C283" t="s">
        <v>27</v>
      </c>
      <c r="D283">
        <v>0.48965500000000001</v>
      </c>
      <c r="E283">
        <v>26.176860000000001</v>
      </c>
      <c r="F283" t="s">
        <v>14</v>
      </c>
      <c r="G283" t="s">
        <v>15</v>
      </c>
    </row>
    <row r="284" spans="1:7" x14ac:dyDescent="0.25">
      <c r="A284" t="s">
        <v>294</v>
      </c>
      <c r="B284" t="s">
        <v>328</v>
      </c>
      <c r="C284" t="s">
        <v>37</v>
      </c>
      <c r="D284">
        <v>8.5490999999999998E-2</v>
      </c>
      <c r="E284">
        <v>26.296129000000001</v>
      </c>
      <c r="F284" t="s">
        <v>18</v>
      </c>
      <c r="G284" t="s">
        <v>19</v>
      </c>
    </row>
    <row r="285" spans="1:7" x14ac:dyDescent="0.25">
      <c r="A285" t="s">
        <v>294</v>
      </c>
      <c r="B285" t="s">
        <v>329</v>
      </c>
      <c r="C285" t="s">
        <v>55</v>
      </c>
      <c r="D285">
        <v>-2.8532869999999999</v>
      </c>
      <c r="E285">
        <v>22.117896000000002</v>
      </c>
      <c r="F285" t="s">
        <v>10</v>
      </c>
      <c r="G285" t="s">
        <v>15</v>
      </c>
    </row>
    <row r="286" spans="1:7" x14ac:dyDescent="0.25">
      <c r="A286" t="s">
        <v>294</v>
      </c>
      <c r="B286" t="s">
        <v>330</v>
      </c>
      <c r="C286" t="s">
        <v>82</v>
      </c>
      <c r="D286">
        <v>-11.89448</v>
      </c>
      <c r="E286">
        <v>19.216214999999998</v>
      </c>
      <c r="F286" t="s">
        <v>18</v>
      </c>
      <c r="G286" t="s">
        <v>19</v>
      </c>
    </row>
    <row r="287" spans="1:7" x14ac:dyDescent="0.25">
      <c r="A287" t="s">
        <v>294</v>
      </c>
      <c r="B287" t="s">
        <v>331</v>
      </c>
      <c r="C287" t="s">
        <v>52</v>
      </c>
      <c r="D287">
        <v>-4.4831099999999999</v>
      </c>
      <c r="E287">
        <v>25.406548000000001</v>
      </c>
      <c r="F287" t="s">
        <v>10</v>
      </c>
      <c r="G287" t="s">
        <v>35</v>
      </c>
    </row>
    <row r="288" spans="1:7" x14ac:dyDescent="0.25">
      <c r="A288" t="s">
        <v>294</v>
      </c>
      <c r="B288" t="s">
        <v>332</v>
      </c>
      <c r="C288" t="s">
        <v>17</v>
      </c>
      <c r="D288">
        <v>-9.9565739999999998</v>
      </c>
      <c r="E288">
        <v>21.017202000000001</v>
      </c>
      <c r="F288" t="s">
        <v>14</v>
      </c>
      <c r="G288" t="s">
        <v>15</v>
      </c>
    </row>
    <row r="289" spans="1:7" x14ac:dyDescent="0.25">
      <c r="A289" t="s">
        <v>294</v>
      </c>
      <c r="B289" t="s">
        <v>333</v>
      </c>
      <c r="C289" t="s">
        <v>21</v>
      </c>
      <c r="D289">
        <v>-12.070842000000001</v>
      </c>
      <c r="E289">
        <v>14.757847</v>
      </c>
      <c r="F289" t="s">
        <v>14</v>
      </c>
      <c r="G289" t="s">
        <v>19</v>
      </c>
    </row>
    <row r="290" spans="1:7" x14ac:dyDescent="0.25">
      <c r="A290" t="s">
        <v>294</v>
      </c>
      <c r="B290" t="s">
        <v>334</v>
      </c>
      <c r="C290" t="s">
        <v>45</v>
      </c>
      <c r="D290">
        <v>4.8265669999999998</v>
      </c>
      <c r="E290">
        <v>28.535277000000001</v>
      </c>
      <c r="F290" t="s">
        <v>18</v>
      </c>
      <c r="G290" t="s">
        <v>15</v>
      </c>
    </row>
    <row r="291" spans="1:7" x14ac:dyDescent="0.25">
      <c r="A291" t="s">
        <v>294</v>
      </c>
      <c r="B291" t="s">
        <v>335</v>
      </c>
      <c r="C291" t="s">
        <v>62</v>
      </c>
      <c r="D291">
        <v>1.5601240000000001</v>
      </c>
      <c r="E291">
        <v>12.225398</v>
      </c>
      <c r="F291" t="s">
        <v>10</v>
      </c>
      <c r="G291" t="s">
        <v>35</v>
      </c>
    </row>
    <row r="292" spans="1:7" x14ac:dyDescent="0.25">
      <c r="A292" t="s">
        <v>294</v>
      </c>
      <c r="B292" t="s">
        <v>336</v>
      </c>
      <c r="C292" t="s">
        <v>49</v>
      </c>
      <c r="D292">
        <v>-1.762294</v>
      </c>
      <c r="E292">
        <v>29.617228000000001</v>
      </c>
      <c r="F292" t="s">
        <v>14</v>
      </c>
      <c r="G292" t="s">
        <v>19</v>
      </c>
    </row>
    <row r="293" spans="1:7" x14ac:dyDescent="0.25">
      <c r="A293" t="s">
        <v>294</v>
      </c>
      <c r="B293" t="s">
        <v>337</v>
      </c>
      <c r="C293" t="s">
        <v>37</v>
      </c>
      <c r="D293">
        <v>-7.8373179999999998</v>
      </c>
      <c r="E293">
        <v>20.527591999999999</v>
      </c>
      <c r="F293" t="s">
        <v>14</v>
      </c>
      <c r="G293" t="s">
        <v>11</v>
      </c>
    </row>
    <row r="294" spans="1:7" x14ac:dyDescent="0.25">
      <c r="A294" t="s">
        <v>294</v>
      </c>
      <c r="B294" t="s">
        <v>338</v>
      </c>
      <c r="C294" t="s">
        <v>41</v>
      </c>
      <c r="D294">
        <v>-11.514817000000001</v>
      </c>
      <c r="E294">
        <v>24.891375</v>
      </c>
      <c r="F294" t="s">
        <v>18</v>
      </c>
      <c r="G294" t="s">
        <v>35</v>
      </c>
    </row>
    <row r="295" spans="1:7" x14ac:dyDescent="0.25">
      <c r="A295" t="s">
        <v>294</v>
      </c>
      <c r="B295" t="s">
        <v>339</v>
      </c>
      <c r="C295" t="s">
        <v>93</v>
      </c>
      <c r="D295">
        <v>-3.89927</v>
      </c>
      <c r="E295">
        <v>30.273492000000001</v>
      </c>
      <c r="F295" t="s">
        <v>18</v>
      </c>
      <c r="G295" t="s">
        <v>35</v>
      </c>
    </row>
    <row r="296" spans="1:7" x14ac:dyDescent="0.25">
      <c r="A296" t="s">
        <v>294</v>
      </c>
      <c r="B296" t="s">
        <v>340</v>
      </c>
      <c r="C296" t="s">
        <v>93</v>
      </c>
      <c r="D296">
        <v>2.3260149999999999</v>
      </c>
      <c r="E296">
        <v>24.97465</v>
      </c>
      <c r="F296" t="s">
        <v>18</v>
      </c>
      <c r="G296" t="s">
        <v>35</v>
      </c>
    </row>
    <row r="297" spans="1:7" x14ac:dyDescent="0.25">
      <c r="A297" t="s">
        <v>294</v>
      </c>
      <c r="B297" t="s">
        <v>341</v>
      </c>
      <c r="C297" t="s">
        <v>37</v>
      </c>
      <c r="D297">
        <v>-7.9987219999999999</v>
      </c>
      <c r="E297">
        <v>12.779335</v>
      </c>
      <c r="F297" t="s">
        <v>10</v>
      </c>
      <c r="G297" t="s">
        <v>35</v>
      </c>
    </row>
    <row r="298" spans="1:7" x14ac:dyDescent="0.25">
      <c r="A298" t="s">
        <v>294</v>
      </c>
      <c r="B298" t="s">
        <v>342</v>
      </c>
      <c r="C298" t="s">
        <v>55</v>
      </c>
      <c r="D298">
        <v>-10.614302</v>
      </c>
      <c r="E298">
        <v>29.436530999999999</v>
      </c>
      <c r="F298" t="s">
        <v>18</v>
      </c>
      <c r="G298" t="s">
        <v>11</v>
      </c>
    </row>
    <row r="299" spans="1:7" x14ac:dyDescent="0.25">
      <c r="A299" t="s">
        <v>294</v>
      </c>
      <c r="B299" t="s">
        <v>343</v>
      </c>
      <c r="C299" t="s">
        <v>17</v>
      </c>
      <c r="D299">
        <v>-7.9425049999999997</v>
      </c>
      <c r="E299">
        <v>24.111059000000001</v>
      </c>
      <c r="F299" t="s">
        <v>18</v>
      </c>
      <c r="G299" t="s">
        <v>19</v>
      </c>
    </row>
    <row r="300" spans="1:7" x14ac:dyDescent="0.25">
      <c r="A300" t="s">
        <v>294</v>
      </c>
      <c r="B300" t="s">
        <v>344</v>
      </c>
      <c r="C300" t="s">
        <v>41</v>
      </c>
      <c r="D300">
        <v>2.4414509999999998</v>
      </c>
      <c r="E300">
        <v>30.167489</v>
      </c>
      <c r="F300" t="s">
        <v>10</v>
      </c>
      <c r="G300" t="s">
        <v>35</v>
      </c>
    </row>
    <row r="301" spans="1:7" x14ac:dyDescent="0.25">
      <c r="A301" t="s">
        <v>345</v>
      </c>
      <c r="B301" t="s">
        <v>346</v>
      </c>
      <c r="C301" t="s">
        <v>27</v>
      </c>
      <c r="D301">
        <v>-1.339734</v>
      </c>
      <c r="E301">
        <v>15.243098</v>
      </c>
      <c r="F301" t="s">
        <v>18</v>
      </c>
      <c r="G301" t="s">
        <v>35</v>
      </c>
    </row>
    <row r="302" spans="1:7" x14ac:dyDescent="0.25">
      <c r="A302" t="s">
        <v>345</v>
      </c>
      <c r="B302" t="s">
        <v>347</v>
      </c>
      <c r="C302" t="s">
        <v>93</v>
      </c>
      <c r="D302">
        <v>-9.8208710000000004</v>
      </c>
      <c r="E302">
        <v>23.229807000000001</v>
      </c>
      <c r="F302" t="s">
        <v>10</v>
      </c>
      <c r="G302" t="s">
        <v>35</v>
      </c>
    </row>
    <row r="303" spans="1:7" x14ac:dyDescent="0.25">
      <c r="A303" t="s">
        <v>345</v>
      </c>
      <c r="B303" t="s">
        <v>348</v>
      </c>
      <c r="C303" t="s">
        <v>30</v>
      </c>
      <c r="D303">
        <v>-12.292039000000001</v>
      </c>
      <c r="E303">
        <v>27.538202999999999</v>
      </c>
      <c r="F303" t="s">
        <v>18</v>
      </c>
      <c r="G303" t="s">
        <v>15</v>
      </c>
    </row>
    <row r="304" spans="1:7" x14ac:dyDescent="0.25">
      <c r="A304" t="s">
        <v>345</v>
      </c>
      <c r="B304" t="s">
        <v>349</v>
      </c>
      <c r="C304" t="s">
        <v>34</v>
      </c>
      <c r="D304">
        <v>-6.0850540000000004</v>
      </c>
      <c r="E304">
        <v>14.020293000000001</v>
      </c>
      <c r="F304" t="s">
        <v>10</v>
      </c>
      <c r="G304" t="s">
        <v>15</v>
      </c>
    </row>
    <row r="305" spans="1:7" x14ac:dyDescent="0.25">
      <c r="A305" t="s">
        <v>345</v>
      </c>
      <c r="B305" t="s">
        <v>350</v>
      </c>
      <c r="C305" t="s">
        <v>45</v>
      </c>
      <c r="D305">
        <v>-9.5619429999999994</v>
      </c>
      <c r="E305">
        <v>21.445726000000001</v>
      </c>
      <c r="F305" t="s">
        <v>14</v>
      </c>
      <c r="G305" t="s">
        <v>35</v>
      </c>
    </row>
    <row r="306" spans="1:7" x14ac:dyDescent="0.25">
      <c r="A306" t="s">
        <v>345</v>
      </c>
      <c r="B306" t="s">
        <v>351</v>
      </c>
      <c r="C306" t="s">
        <v>76</v>
      </c>
      <c r="D306">
        <v>-0.47411900000000001</v>
      </c>
      <c r="E306">
        <v>27.184329000000002</v>
      </c>
      <c r="F306" t="s">
        <v>10</v>
      </c>
      <c r="G306" t="s">
        <v>19</v>
      </c>
    </row>
    <row r="307" spans="1:7" x14ac:dyDescent="0.25">
      <c r="A307" t="s">
        <v>345</v>
      </c>
      <c r="B307" t="s">
        <v>352</v>
      </c>
      <c r="C307" t="s">
        <v>17</v>
      </c>
      <c r="D307">
        <v>3.1362930000000002</v>
      </c>
      <c r="E307">
        <v>16.190878000000001</v>
      </c>
      <c r="F307" t="s">
        <v>18</v>
      </c>
      <c r="G307" t="s">
        <v>35</v>
      </c>
    </row>
    <row r="308" spans="1:7" x14ac:dyDescent="0.25">
      <c r="A308" t="s">
        <v>345</v>
      </c>
      <c r="B308" t="s">
        <v>353</v>
      </c>
      <c r="C308" t="s">
        <v>24</v>
      </c>
      <c r="D308">
        <v>-1.6488929999999999</v>
      </c>
      <c r="E308">
        <v>27.284617000000001</v>
      </c>
      <c r="F308" t="s">
        <v>10</v>
      </c>
      <c r="G308" t="s">
        <v>35</v>
      </c>
    </row>
    <row r="309" spans="1:7" x14ac:dyDescent="0.25">
      <c r="A309" t="s">
        <v>345</v>
      </c>
      <c r="B309" t="s">
        <v>354</v>
      </c>
      <c r="C309" t="s">
        <v>34</v>
      </c>
      <c r="D309">
        <v>-6.5332999999999997</v>
      </c>
      <c r="E309">
        <v>20.098018</v>
      </c>
      <c r="F309" t="s">
        <v>14</v>
      </c>
      <c r="G309" t="s">
        <v>15</v>
      </c>
    </row>
    <row r="310" spans="1:7" x14ac:dyDescent="0.25">
      <c r="A310" t="s">
        <v>345</v>
      </c>
      <c r="B310" t="s">
        <v>355</v>
      </c>
      <c r="C310" t="s">
        <v>37</v>
      </c>
      <c r="D310">
        <v>-11.472474999999999</v>
      </c>
      <c r="E310">
        <v>27.418900000000001</v>
      </c>
      <c r="F310" t="s">
        <v>14</v>
      </c>
      <c r="G310" t="s">
        <v>19</v>
      </c>
    </row>
    <row r="311" spans="1:7" x14ac:dyDescent="0.25">
      <c r="A311" t="s">
        <v>345</v>
      </c>
      <c r="B311" t="s">
        <v>356</v>
      </c>
      <c r="C311" t="s">
        <v>27</v>
      </c>
      <c r="D311">
        <v>-1.6097570000000001</v>
      </c>
      <c r="E311">
        <v>30.661662</v>
      </c>
      <c r="F311" t="s">
        <v>14</v>
      </c>
      <c r="G311" t="s">
        <v>11</v>
      </c>
    </row>
    <row r="312" spans="1:7" x14ac:dyDescent="0.25">
      <c r="A312" t="s">
        <v>345</v>
      </c>
      <c r="B312" t="s">
        <v>357</v>
      </c>
      <c r="C312" t="s">
        <v>21</v>
      </c>
      <c r="D312">
        <v>0.23583499999999999</v>
      </c>
      <c r="E312">
        <v>24.889558999999998</v>
      </c>
      <c r="F312" t="s">
        <v>18</v>
      </c>
      <c r="G312" t="s">
        <v>19</v>
      </c>
    </row>
    <row r="313" spans="1:7" x14ac:dyDescent="0.25">
      <c r="A313" t="s">
        <v>345</v>
      </c>
      <c r="B313" t="s">
        <v>358</v>
      </c>
      <c r="C313" t="s">
        <v>17</v>
      </c>
      <c r="D313">
        <v>-10.481026999999999</v>
      </c>
      <c r="E313">
        <v>18.160464000000001</v>
      </c>
      <c r="F313" t="s">
        <v>10</v>
      </c>
      <c r="G313" t="s">
        <v>15</v>
      </c>
    </row>
    <row r="314" spans="1:7" x14ac:dyDescent="0.25">
      <c r="A314" t="s">
        <v>345</v>
      </c>
      <c r="B314" t="s">
        <v>359</v>
      </c>
      <c r="C314" t="s">
        <v>67</v>
      </c>
      <c r="D314">
        <v>-9.5243310000000001</v>
      </c>
      <c r="E314">
        <v>30.541212000000002</v>
      </c>
      <c r="F314" t="s">
        <v>18</v>
      </c>
      <c r="G314" t="s">
        <v>11</v>
      </c>
    </row>
    <row r="315" spans="1:7" x14ac:dyDescent="0.25">
      <c r="A315" t="s">
        <v>345</v>
      </c>
      <c r="B315" t="s">
        <v>360</v>
      </c>
      <c r="C315" t="s">
        <v>55</v>
      </c>
      <c r="D315">
        <v>-4.4697000000000001E-2</v>
      </c>
      <c r="E315">
        <v>22.943373000000001</v>
      </c>
      <c r="F315" t="s">
        <v>18</v>
      </c>
      <c r="G315" t="s">
        <v>15</v>
      </c>
    </row>
    <row r="316" spans="1:7" x14ac:dyDescent="0.25">
      <c r="A316" t="s">
        <v>345</v>
      </c>
      <c r="B316" t="s">
        <v>361</v>
      </c>
      <c r="C316" t="s">
        <v>55</v>
      </c>
      <c r="D316">
        <v>-2.3269820000000001</v>
      </c>
      <c r="E316">
        <v>14.609259</v>
      </c>
      <c r="F316" t="s">
        <v>18</v>
      </c>
      <c r="G316" t="s">
        <v>35</v>
      </c>
    </row>
    <row r="317" spans="1:7" x14ac:dyDescent="0.25">
      <c r="A317" t="s">
        <v>345</v>
      </c>
      <c r="B317" t="s">
        <v>362</v>
      </c>
      <c r="C317" t="s">
        <v>62</v>
      </c>
      <c r="D317">
        <v>-4.1938139999999997</v>
      </c>
      <c r="E317">
        <v>27.892115</v>
      </c>
      <c r="F317" t="s">
        <v>10</v>
      </c>
      <c r="G317" t="s">
        <v>11</v>
      </c>
    </row>
    <row r="318" spans="1:7" x14ac:dyDescent="0.25">
      <c r="A318" t="s">
        <v>345</v>
      </c>
      <c r="B318" t="s">
        <v>363</v>
      </c>
      <c r="C318" t="s">
        <v>34</v>
      </c>
      <c r="D318">
        <v>-11.866133</v>
      </c>
      <c r="E318">
        <v>27.068932</v>
      </c>
      <c r="F318" t="s">
        <v>18</v>
      </c>
      <c r="G318" t="s">
        <v>15</v>
      </c>
    </row>
    <row r="319" spans="1:7" x14ac:dyDescent="0.25">
      <c r="A319" t="s">
        <v>345</v>
      </c>
      <c r="B319" t="s">
        <v>364</v>
      </c>
      <c r="C319" t="s">
        <v>82</v>
      </c>
      <c r="D319">
        <v>-3.2700629999999999</v>
      </c>
      <c r="E319">
        <v>26.520330000000001</v>
      </c>
      <c r="F319" t="s">
        <v>10</v>
      </c>
      <c r="G319" t="s">
        <v>35</v>
      </c>
    </row>
    <row r="320" spans="1:7" x14ac:dyDescent="0.25">
      <c r="A320" t="s">
        <v>345</v>
      </c>
      <c r="B320" t="s">
        <v>365</v>
      </c>
      <c r="C320" t="s">
        <v>67</v>
      </c>
      <c r="D320">
        <v>-7.4608439999999998</v>
      </c>
      <c r="E320">
        <v>23.268619999999999</v>
      </c>
      <c r="F320" t="s">
        <v>14</v>
      </c>
      <c r="G320" t="s">
        <v>15</v>
      </c>
    </row>
    <row r="321" spans="1:7" x14ac:dyDescent="0.25">
      <c r="A321" t="s">
        <v>345</v>
      </c>
      <c r="B321" t="s">
        <v>366</v>
      </c>
      <c r="C321" t="s">
        <v>85</v>
      </c>
      <c r="D321">
        <v>-3.3890790000000002</v>
      </c>
      <c r="E321">
        <v>18.374571</v>
      </c>
      <c r="F321" t="s">
        <v>10</v>
      </c>
      <c r="G321" t="s">
        <v>19</v>
      </c>
    </row>
    <row r="322" spans="1:7" x14ac:dyDescent="0.25">
      <c r="A322" t="s">
        <v>345</v>
      </c>
      <c r="B322" t="s">
        <v>367</v>
      </c>
      <c r="C322" t="s">
        <v>85</v>
      </c>
      <c r="D322">
        <v>2.016505</v>
      </c>
      <c r="E322">
        <v>14.294164</v>
      </c>
      <c r="F322" t="s">
        <v>10</v>
      </c>
      <c r="G322" t="s">
        <v>15</v>
      </c>
    </row>
    <row r="323" spans="1:7" x14ac:dyDescent="0.25">
      <c r="A323" t="s">
        <v>345</v>
      </c>
      <c r="B323" t="s">
        <v>368</v>
      </c>
      <c r="C323" t="s">
        <v>96</v>
      </c>
      <c r="D323">
        <v>-4.9124689999999998</v>
      </c>
      <c r="E323">
        <v>14.683498999999999</v>
      </c>
      <c r="F323" t="s">
        <v>18</v>
      </c>
      <c r="G323" t="s">
        <v>19</v>
      </c>
    </row>
    <row r="324" spans="1:7" x14ac:dyDescent="0.25">
      <c r="A324" t="s">
        <v>345</v>
      </c>
      <c r="B324" t="s">
        <v>369</v>
      </c>
      <c r="C324" t="s">
        <v>49</v>
      </c>
      <c r="D324">
        <v>4.9250049999999996</v>
      </c>
      <c r="E324">
        <v>19.887931999999999</v>
      </c>
      <c r="F324" t="s">
        <v>14</v>
      </c>
      <c r="G324" t="s">
        <v>15</v>
      </c>
    </row>
    <row r="325" spans="1:7" x14ac:dyDescent="0.25">
      <c r="A325" t="s">
        <v>345</v>
      </c>
      <c r="B325" t="s">
        <v>370</v>
      </c>
      <c r="C325" t="s">
        <v>52</v>
      </c>
      <c r="D325">
        <v>-12.333232000000001</v>
      </c>
      <c r="E325">
        <v>25.229620000000001</v>
      </c>
      <c r="F325" t="s">
        <v>10</v>
      </c>
      <c r="G325" t="s">
        <v>35</v>
      </c>
    </row>
    <row r="326" spans="1:7" x14ac:dyDescent="0.25">
      <c r="A326" t="s">
        <v>345</v>
      </c>
      <c r="B326" t="s">
        <v>371</v>
      </c>
      <c r="C326" t="s">
        <v>27</v>
      </c>
      <c r="D326">
        <v>-11.991020000000001</v>
      </c>
      <c r="E326">
        <v>22.514747</v>
      </c>
      <c r="F326" t="s">
        <v>10</v>
      </c>
      <c r="G326" t="s">
        <v>19</v>
      </c>
    </row>
    <row r="327" spans="1:7" x14ac:dyDescent="0.25">
      <c r="A327" t="s">
        <v>345</v>
      </c>
      <c r="B327" t="s">
        <v>372</v>
      </c>
      <c r="C327" t="s">
        <v>34</v>
      </c>
      <c r="D327">
        <v>1.1800139999999999</v>
      </c>
      <c r="E327">
        <v>20.334562999999999</v>
      </c>
      <c r="F327" t="s">
        <v>18</v>
      </c>
      <c r="G327" t="s">
        <v>19</v>
      </c>
    </row>
    <row r="328" spans="1:7" x14ac:dyDescent="0.25">
      <c r="A328" t="s">
        <v>345</v>
      </c>
      <c r="B328" t="s">
        <v>373</v>
      </c>
      <c r="C328" t="s">
        <v>17</v>
      </c>
      <c r="D328">
        <v>-12.229338</v>
      </c>
      <c r="E328">
        <v>29.587834999999998</v>
      </c>
      <c r="F328" t="s">
        <v>14</v>
      </c>
      <c r="G328" t="s">
        <v>35</v>
      </c>
    </row>
    <row r="329" spans="1:7" x14ac:dyDescent="0.25">
      <c r="A329" t="s">
        <v>345</v>
      </c>
      <c r="B329" t="s">
        <v>374</v>
      </c>
      <c r="C329" t="s">
        <v>67</v>
      </c>
      <c r="D329">
        <v>-10.872631999999999</v>
      </c>
      <c r="E329">
        <v>12.773279</v>
      </c>
      <c r="F329" t="s">
        <v>18</v>
      </c>
      <c r="G329" t="s">
        <v>19</v>
      </c>
    </row>
    <row r="330" spans="1:7" x14ac:dyDescent="0.25">
      <c r="A330" t="s">
        <v>345</v>
      </c>
      <c r="B330" t="s">
        <v>375</v>
      </c>
      <c r="C330" t="s">
        <v>55</v>
      </c>
      <c r="D330">
        <v>1.5278670000000001</v>
      </c>
      <c r="E330">
        <v>13.899388999999999</v>
      </c>
      <c r="F330" t="s">
        <v>18</v>
      </c>
      <c r="G330" t="s">
        <v>15</v>
      </c>
    </row>
    <row r="331" spans="1:7" x14ac:dyDescent="0.25">
      <c r="A331" t="s">
        <v>345</v>
      </c>
      <c r="B331" t="s">
        <v>376</v>
      </c>
      <c r="C331" t="s">
        <v>13</v>
      </c>
      <c r="D331">
        <v>-0.98830399999999996</v>
      </c>
      <c r="E331">
        <v>28.099966999999999</v>
      </c>
      <c r="F331" t="s">
        <v>18</v>
      </c>
      <c r="G331" t="s">
        <v>15</v>
      </c>
    </row>
    <row r="332" spans="1:7" x14ac:dyDescent="0.25">
      <c r="A332" t="s">
        <v>345</v>
      </c>
      <c r="B332" t="s">
        <v>377</v>
      </c>
      <c r="C332" t="s">
        <v>37</v>
      </c>
      <c r="D332">
        <v>-4.749333</v>
      </c>
      <c r="E332">
        <v>23.636389000000001</v>
      </c>
      <c r="F332" t="s">
        <v>18</v>
      </c>
      <c r="G332" t="s">
        <v>19</v>
      </c>
    </row>
    <row r="333" spans="1:7" x14ac:dyDescent="0.25">
      <c r="A333" t="s">
        <v>345</v>
      </c>
      <c r="B333" t="s">
        <v>378</v>
      </c>
      <c r="C333" t="s">
        <v>49</v>
      </c>
      <c r="D333">
        <v>-0.79459900000000006</v>
      </c>
      <c r="E333">
        <v>26.775570999999999</v>
      </c>
      <c r="F333" t="s">
        <v>10</v>
      </c>
      <c r="G333" t="s">
        <v>15</v>
      </c>
    </row>
    <row r="334" spans="1:7" x14ac:dyDescent="0.25">
      <c r="A334" t="s">
        <v>345</v>
      </c>
      <c r="B334" t="s">
        <v>379</v>
      </c>
      <c r="C334" t="s">
        <v>41</v>
      </c>
      <c r="D334">
        <v>2.7365970000000002</v>
      </c>
      <c r="E334">
        <v>12.296976000000001</v>
      </c>
      <c r="F334" t="s">
        <v>14</v>
      </c>
      <c r="G334" t="s">
        <v>19</v>
      </c>
    </row>
    <row r="335" spans="1:7" x14ac:dyDescent="0.25">
      <c r="A335" t="s">
        <v>345</v>
      </c>
      <c r="B335" t="s">
        <v>380</v>
      </c>
      <c r="C335" t="s">
        <v>24</v>
      </c>
      <c r="D335">
        <v>-10.318835</v>
      </c>
      <c r="E335">
        <v>21.252382000000001</v>
      </c>
      <c r="F335" t="s">
        <v>14</v>
      </c>
      <c r="G335" t="s">
        <v>11</v>
      </c>
    </row>
    <row r="336" spans="1:7" x14ac:dyDescent="0.25">
      <c r="A336" t="s">
        <v>345</v>
      </c>
      <c r="B336" t="s">
        <v>381</v>
      </c>
      <c r="C336" t="s">
        <v>30</v>
      </c>
      <c r="D336">
        <v>-2.571777</v>
      </c>
      <c r="E336">
        <v>12.120642</v>
      </c>
      <c r="F336" t="s">
        <v>18</v>
      </c>
      <c r="G336" t="s">
        <v>15</v>
      </c>
    </row>
    <row r="337" spans="1:7" x14ac:dyDescent="0.25">
      <c r="A337" t="s">
        <v>345</v>
      </c>
      <c r="B337" t="s">
        <v>382</v>
      </c>
      <c r="C337" t="s">
        <v>133</v>
      </c>
      <c r="D337">
        <v>3.6466850000000002</v>
      </c>
      <c r="E337">
        <v>15.408844</v>
      </c>
      <c r="F337" t="s">
        <v>18</v>
      </c>
      <c r="G337" t="s">
        <v>19</v>
      </c>
    </row>
    <row r="338" spans="1:7" x14ac:dyDescent="0.25">
      <c r="A338" t="s">
        <v>345</v>
      </c>
      <c r="B338" t="s">
        <v>383</v>
      </c>
      <c r="C338" t="s">
        <v>34</v>
      </c>
      <c r="D338">
        <v>-12.336202</v>
      </c>
      <c r="E338">
        <v>13.693683999999999</v>
      </c>
      <c r="F338" t="s">
        <v>10</v>
      </c>
      <c r="G338" t="s">
        <v>15</v>
      </c>
    </row>
    <row r="339" spans="1:7" x14ac:dyDescent="0.25">
      <c r="A339" t="s">
        <v>345</v>
      </c>
      <c r="B339" t="s">
        <v>384</v>
      </c>
      <c r="C339" t="s">
        <v>93</v>
      </c>
      <c r="D339">
        <v>-10.451371</v>
      </c>
      <c r="E339">
        <v>24.38336</v>
      </c>
      <c r="F339" t="s">
        <v>18</v>
      </c>
      <c r="G339" t="s">
        <v>11</v>
      </c>
    </row>
    <row r="340" spans="1:7" x14ac:dyDescent="0.25">
      <c r="A340" t="s">
        <v>345</v>
      </c>
      <c r="B340" t="s">
        <v>385</v>
      </c>
      <c r="C340" t="s">
        <v>137</v>
      </c>
      <c r="D340">
        <v>-1.231033</v>
      </c>
      <c r="E340">
        <v>28.851388</v>
      </c>
      <c r="F340" t="s">
        <v>18</v>
      </c>
      <c r="G340" t="s">
        <v>11</v>
      </c>
    </row>
    <row r="341" spans="1:7" x14ac:dyDescent="0.25">
      <c r="A341" t="s">
        <v>345</v>
      </c>
      <c r="B341" t="s">
        <v>386</v>
      </c>
      <c r="C341" t="s">
        <v>137</v>
      </c>
      <c r="D341">
        <v>-4.5180470000000001</v>
      </c>
      <c r="E341">
        <v>19.908223</v>
      </c>
      <c r="F341" t="s">
        <v>10</v>
      </c>
      <c r="G341" t="s">
        <v>15</v>
      </c>
    </row>
    <row r="342" spans="1:7" x14ac:dyDescent="0.25">
      <c r="A342" t="s">
        <v>345</v>
      </c>
      <c r="B342" t="s">
        <v>387</v>
      </c>
      <c r="C342" t="s">
        <v>96</v>
      </c>
      <c r="D342">
        <v>3.524343</v>
      </c>
      <c r="E342">
        <v>27.340824000000001</v>
      </c>
      <c r="F342" t="s">
        <v>14</v>
      </c>
      <c r="G342" t="s">
        <v>11</v>
      </c>
    </row>
    <row r="343" spans="1:7" x14ac:dyDescent="0.25">
      <c r="A343" t="s">
        <v>345</v>
      </c>
      <c r="B343" t="s">
        <v>388</v>
      </c>
      <c r="C343" t="s">
        <v>41</v>
      </c>
      <c r="D343">
        <v>-12.17557</v>
      </c>
      <c r="E343">
        <v>26.678691000000001</v>
      </c>
      <c r="F343" t="s">
        <v>14</v>
      </c>
      <c r="G343" t="s">
        <v>15</v>
      </c>
    </row>
    <row r="344" spans="1:7" x14ac:dyDescent="0.25">
      <c r="A344" t="s">
        <v>345</v>
      </c>
      <c r="B344" t="s">
        <v>389</v>
      </c>
      <c r="C344" t="s">
        <v>49</v>
      </c>
      <c r="D344">
        <v>-0.37665700000000002</v>
      </c>
      <c r="E344">
        <v>25.154807999999999</v>
      </c>
      <c r="F344" t="s">
        <v>18</v>
      </c>
      <c r="G344" t="s">
        <v>35</v>
      </c>
    </row>
    <row r="345" spans="1:7" x14ac:dyDescent="0.25">
      <c r="A345" t="s">
        <v>345</v>
      </c>
      <c r="B345" t="s">
        <v>390</v>
      </c>
      <c r="C345" t="s">
        <v>24</v>
      </c>
      <c r="D345">
        <v>-10.650321</v>
      </c>
      <c r="E345">
        <v>15.917044000000001</v>
      </c>
      <c r="F345" t="s">
        <v>14</v>
      </c>
      <c r="G345" t="s">
        <v>35</v>
      </c>
    </row>
    <row r="346" spans="1:7" x14ac:dyDescent="0.25">
      <c r="A346" t="s">
        <v>345</v>
      </c>
      <c r="B346" t="s">
        <v>391</v>
      </c>
      <c r="C346" t="s">
        <v>96</v>
      </c>
      <c r="D346">
        <v>-9.8995180000000005</v>
      </c>
      <c r="E346">
        <v>24.156687999999999</v>
      </c>
      <c r="F346" t="s">
        <v>14</v>
      </c>
      <c r="G346" t="s">
        <v>11</v>
      </c>
    </row>
    <row r="347" spans="1:7" x14ac:dyDescent="0.25">
      <c r="A347" t="s">
        <v>345</v>
      </c>
      <c r="B347" t="s">
        <v>392</v>
      </c>
      <c r="C347" t="s">
        <v>9</v>
      </c>
      <c r="D347">
        <v>-12.100756000000001</v>
      </c>
      <c r="E347">
        <v>21.938649999999999</v>
      </c>
      <c r="F347" t="s">
        <v>14</v>
      </c>
      <c r="G347" t="s">
        <v>15</v>
      </c>
    </row>
    <row r="348" spans="1:7" x14ac:dyDescent="0.25">
      <c r="A348" t="s">
        <v>345</v>
      </c>
      <c r="B348" t="s">
        <v>393</v>
      </c>
      <c r="C348" t="s">
        <v>67</v>
      </c>
      <c r="D348">
        <v>-7.4679279999999997</v>
      </c>
      <c r="E348">
        <v>19.828595</v>
      </c>
      <c r="F348" t="s">
        <v>10</v>
      </c>
      <c r="G348" t="s">
        <v>35</v>
      </c>
    </row>
    <row r="349" spans="1:7" x14ac:dyDescent="0.25">
      <c r="A349" t="s">
        <v>345</v>
      </c>
      <c r="B349" t="s">
        <v>394</v>
      </c>
      <c r="C349" t="s">
        <v>67</v>
      </c>
      <c r="D349">
        <v>1.286548</v>
      </c>
      <c r="E349">
        <v>29.823702999999998</v>
      </c>
      <c r="F349" t="s">
        <v>14</v>
      </c>
      <c r="G349" t="s">
        <v>19</v>
      </c>
    </row>
    <row r="350" spans="1:7" x14ac:dyDescent="0.25">
      <c r="A350" t="s">
        <v>345</v>
      </c>
      <c r="B350" t="s">
        <v>395</v>
      </c>
      <c r="C350" t="s">
        <v>133</v>
      </c>
      <c r="D350">
        <v>-4.7886769999999999</v>
      </c>
      <c r="E350">
        <v>23.600221999999999</v>
      </c>
      <c r="F350" t="s">
        <v>18</v>
      </c>
      <c r="G350" t="s">
        <v>19</v>
      </c>
    </row>
    <row r="351" spans="1:7" x14ac:dyDescent="0.25">
      <c r="A351" t="s">
        <v>396</v>
      </c>
      <c r="B351" t="s">
        <v>397</v>
      </c>
      <c r="C351" t="s">
        <v>52</v>
      </c>
      <c r="D351">
        <v>1.7832440000000001</v>
      </c>
      <c r="E351">
        <v>25.477405999999998</v>
      </c>
      <c r="F351" t="s">
        <v>10</v>
      </c>
      <c r="G351" t="s">
        <v>15</v>
      </c>
    </row>
    <row r="352" spans="1:7" x14ac:dyDescent="0.25">
      <c r="A352" t="s">
        <v>396</v>
      </c>
      <c r="B352" t="s">
        <v>398</v>
      </c>
      <c r="C352" t="s">
        <v>133</v>
      </c>
      <c r="D352">
        <v>-4.8560549999999996</v>
      </c>
      <c r="E352">
        <v>15.889538999999999</v>
      </c>
      <c r="F352" t="s">
        <v>18</v>
      </c>
      <c r="G352" t="s">
        <v>15</v>
      </c>
    </row>
    <row r="353" spans="1:7" x14ac:dyDescent="0.25">
      <c r="A353" t="s">
        <v>396</v>
      </c>
      <c r="B353" t="s">
        <v>399</v>
      </c>
      <c r="C353" t="s">
        <v>43</v>
      </c>
      <c r="D353">
        <v>-8.6707929999999998</v>
      </c>
      <c r="E353">
        <v>30.643781000000001</v>
      </c>
      <c r="F353" t="s">
        <v>14</v>
      </c>
      <c r="G353" t="s">
        <v>15</v>
      </c>
    </row>
    <row r="354" spans="1:7" x14ac:dyDescent="0.25">
      <c r="A354" t="s">
        <v>396</v>
      </c>
      <c r="B354" t="s">
        <v>400</v>
      </c>
      <c r="C354" t="s">
        <v>47</v>
      </c>
      <c r="D354">
        <v>-2.947235</v>
      </c>
      <c r="E354">
        <v>16.534020999999999</v>
      </c>
      <c r="F354" t="s">
        <v>18</v>
      </c>
      <c r="G354" t="s">
        <v>35</v>
      </c>
    </row>
    <row r="355" spans="1:7" x14ac:dyDescent="0.25">
      <c r="A355" t="s">
        <v>396</v>
      </c>
      <c r="B355" t="s">
        <v>401</v>
      </c>
      <c r="C355" t="s">
        <v>85</v>
      </c>
      <c r="D355">
        <v>-12.776386</v>
      </c>
      <c r="E355">
        <v>14.157596</v>
      </c>
      <c r="F355" t="s">
        <v>18</v>
      </c>
      <c r="G355" t="s">
        <v>35</v>
      </c>
    </row>
    <row r="356" spans="1:7" x14ac:dyDescent="0.25">
      <c r="A356" t="s">
        <v>396</v>
      </c>
      <c r="B356" t="s">
        <v>402</v>
      </c>
      <c r="C356" t="s">
        <v>85</v>
      </c>
      <c r="D356">
        <v>0.172153</v>
      </c>
      <c r="E356">
        <v>21.091376</v>
      </c>
      <c r="F356" t="s">
        <v>18</v>
      </c>
      <c r="G356" t="s">
        <v>11</v>
      </c>
    </row>
    <row r="357" spans="1:7" x14ac:dyDescent="0.25">
      <c r="A357" t="s">
        <v>396</v>
      </c>
      <c r="B357" t="s">
        <v>403</v>
      </c>
      <c r="C357" t="s">
        <v>137</v>
      </c>
      <c r="D357">
        <v>4.0988100000000003</v>
      </c>
      <c r="E357">
        <v>29.843810999999999</v>
      </c>
      <c r="F357" t="s">
        <v>18</v>
      </c>
      <c r="G357" t="s">
        <v>15</v>
      </c>
    </row>
    <row r="358" spans="1:7" x14ac:dyDescent="0.25">
      <c r="A358" t="s">
        <v>396</v>
      </c>
      <c r="B358" t="s">
        <v>404</v>
      </c>
      <c r="C358" t="s">
        <v>43</v>
      </c>
      <c r="D358">
        <v>-10.611184</v>
      </c>
      <c r="E358">
        <v>23.022268</v>
      </c>
      <c r="F358" t="s">
        <v>10</v>
      </c>
      <c r="G358" t="s">
        <v>19</v>
      </c>
    </row>
    <row r="359" spans="1:7" x14ac:dyDescent="0.25">
      <c r="A359" t="s">
        <v>396</v>
      </c>
      <c r="B359" t="s">
        <v>405</v>
      </c>
      <c r="C359" t="s">
        <v>47</v>
      </c>
      <c r="D359">
        <v>-7.6757720000000003</v>
      </c>
      <c r="E359">
        <v>30.222971000000001</v>
      </c>
      <c r="F359" t="s">
        <v>10</v>
      </c>
      <c r="G359" t="s">
        <v>11</v>
      </c>
    </row>
    <row r="360" spans="1:7" x14ac:dyDescent="0.25">
      <c r="A360" t="s">
        <v>396</v>
      </c>
      <c r="B360" t="s">
        <v>406</v>
      </c>
      <c r="C360" t="s">
        <v>37</v>
      </c>
      <c r="D360">
        <v>-1.342476</v>
      </c>
      <c r="E360">
        <v>15.986086</v>
      </c>
      <c r="F360" t="s">
        <v>14</v>
      </c>
      <c r="G360" t="s">
        <v>11</v>
      </c>
    </row>
    <row r="361" spans="1:7" x14ac:dyDescent="0.25">
      <c r="A361" t="s">
        <v>396</v>
      </c>
      <c r="B361" t="s">
        <v>407</v>
      </c>
      <c r="C361" t="s">
        <v>49</v>
      </c>
      <c r="D361">
        <v>-11.366868999999999</v>
      </c>
      <c r="E361">
        <v>26.155318000000001</v>
      </c>
      <c r="F361" t="s">
        <v>14</v>
      </c>
      <c r="G361" t="s">
        <v>15</v>
      </c>
    </row>
    <row r="362" spans="1:7" x14ac:dyDescent="0.25">
      <c r="A362" t="s">
        <v>396</v>
      </c>
      <c r="B362" t="s">
        <v>408</v>
      </c>
      <c r="C362" t="s">
        <v>52</v>
      </c>
      <c r="D362">
        <v>-4.3639070000000002</v>
      </c>
      <c r="E362">
        <v>16.283307000000001</v>
      </c>
      <c r="F362" t="s">
        <v>10</v>
      </c>
      <c r="G362" t="s">
        <v>15</v>
      </c>
    </row>
    <row r="363" spans="1:7" x14ac:dyDescent="0.25">
      <c r="A363" t="s">
        <v>396</v>
      </c>
      <c r="B363" t="s">
        <v>409</v>
      </c>
      <c r="C363" t="s">
        <v>96</v>
      </c>
      <c r="D363">
        <v>-7.5129409999999996</v>
      </c>
      <c r="E363">
        <v>18.701522000000001</v>
      </c>
      <c r="F363" t="s">
        <v>14</v>
      </c>
      <c r="G363" t="s">
        <v>35</v>
      </c>
    </row>
    <row r="364" spans="1:7" x14ac:dyDescent="0.25">
      <c r="A364" t="s">
        <v>396</v>
      </c>
      <c r="B364" t="s">
        <v>410</v>
      </c>
      <c r="C364" t="s">
        <v>62</v>
      </c>
      <c r="D364">
        <v>-0.34051900000000002</v>
      </c>
      <c r="E364">
        <v>17.079799000000001</v>
      </c>
      <c r="F364" t="s">
        <v>10</v>
      </c>
      <c r="G364" t="s">
        <v>11</v>
      </c>
    </row>
    <row r="365" spans="1:7" x14ac:dyDescent="0.25">
      <c r="A365" t="s">
        <v>396</v>
      </c>
      <c r="B365" t="s">
        <v>411</v>
      </c>
      <c r="C365" t="s">
        <v>21</v>
      </c>
      <c r="D365">
        <v>2.4425979999999998</v>
      </c>
      <c r="E365">
        <v>24.924308</v>
      </c>
      <c r="F365" t="s">
        <v>10</v>
      </c>
      <c r="G365" t="s">
        <v>11</v>
      </c>
    </row>
    <row r="366" spans="1:7" x14ac:dyDescent="0.25">
      <c r="A366" t="s">
        <v>396</v>
      </c>
      <c r="B366" t="s">
        <v>412</v>
      </c>
      <c r="C366" t="s">
        <v>55</v>
      </c>
      <c r="D366">
        <v>0.45116099999999998</v>
      </c>
      <c r="E366">
        <v>17.265761000000001</v>
      </c>
      <c r="F366" t="s">
        <v>14</v>
      </c>
      <c r="G366" t="s">
        <v>15</v>
      </c>
    </row>
    <row r="367" spans="1:7" x14ac:dyDescent="0.25">
      <c r="A367" t="s">
        <v>396</v>
      </c>
      <c r="B367" t="s">
        <v>413</v>
      </c>
      <c r="C367" t="s">
        <v>32</v>
      </c>
      <c r="D367">
        <v>-12.560556999999999</v>
      </c>
      <c r="E367">
        <v>13.204014000000001</v>
      </c>
      <c r="F367" t="s">
        <v>14</v>
      </c>
      <c r="G367" t="s">
        <v>11</v>
      </c>
    </row>
    <row r="368" spans="1:7" x14ac:dyDescent="0.25">
      <c r="A368" t="s">
        <v>396</v>
      </c>
      <c r="B368" t="s">
        <v>414</v>
      </c>
      <c r="C368" t="s">
        <v>37</v>
      </c>
      <c r="D368">
        <v>-4.8128659999999996</v>
      </c>
      <c r="E368">
        <v>18.559304999999998</v>
      </c>
      <c r="F368" t="s">
        <v>10</v>
      </c>
      <c r="G368" t="s">
        <v>19</v>
      </c>
    </row>
    <row r="369" spans="1:7" x14ac:dyDescent="0.25">
      <c r="A369" t="s">
        <v>396</v>
      </c>
      <c r="B369" t="s">
        <v>415</v>
      </c>
      <c r="C369" t="s">
        <v>55</v>
      </c>
      <c r="D369">
        <v>0.89302999999999999</v>
      </c>
      <c r="E369">
        <v>21.238310999999999</v>
      </c>
      <c r="F369" t="s">
        <v>10</v>
      </c>
      <c r="G369" t="s">
        <v>15</v>
      </c>
    </row>
    <row r="370" spans="1:7" x14ac:dyDescent="0.25">
      <c r="A370" t="s">
        <v>396</v>
      </c>
      <c r="B370" t="s">
        <v>416</v>
      </c>
      <c r="C370" t="s">
        <v>9</v>
      </c>
      <c r="D370">
        <v>2.7355830000000001</v>
      </c>
      <c r="E370">
        <v>22.006969000000002</v>
      </c>
      <c r="F370" t="s">
        <v>10</v>
      </c>
      <c r="G370" t="s">
        <v>11</v>
      </c>
    </row>
    <row r="371" spans="1:7" x14ac:dyDescent="0.25">
      <c r="A371" t="s">
        <v>396</v>
      </c>
      <c r="B371" t="s">
        <v>417</v>
      </c>
      <c r="C371" t="s">
        <v>45</v>
      </c>
      <c r="D371">
        <v>-5.7035130000000001</v>
      </c>
      <c r="E371">
        <v>14.331479</v>
      </c>
      <c r="F371" t="s">
        <v>10</v>
      </c>
      <c r="G371" t="s">
        <v>35</v>
      </c>
    </row>
    <row r="372" spans="1:7" x14ac:dyDescent="0.25">
      <c r="A372" t="s">
        <v>396</v>
      </c>
      <c r="B372" t="s">
        <v>418</v>
      </c>
      <c r="C372" t="s">
        <v>27</v>
      </c>
      <c r="D372">
        <v>1.217457</v>
      </c>
      <c r="E372">
        <v>25.48668</v>
      </c>
      <c r="F372" t="s">
        <v>10</v>
      </c>
      <c r="G372" t="s">
        <v>35</v>
      </c>
    </row>
    <row r="373" spans="1:7" x14ac:dyDescent="0.25">
      <c r="A373" t="s">
        <v>396</v>
      </c>
      <c r="B373" t="s">
        <v>419</v>
      </c>
      <c r="C373" t="s">
        <v>82</v>
      </c>
      <c r="D373">
        <v>-6.3324319999999998</v>
      </c>
      <c r="E373">
        <v>24.887858000000001</v>
      </c>
      <c r="F373" t="s">
        <v>14</v>
      </c>
      <c r="G373" t="s">
        <v>19</v>
      </c>
    </row>
    <row r="374" spans="1:7" x14ac:dyDescent="0.25">
      <c r="A374" t="s">
        <v>396</v>
      </c>
      <c r="B374" t="s">
        <v>420</v>
      </c>
      <c r="C374" t="s">
        <v>62</v>
      </c>
      <c r="D374">
        <v>-4.6426759999999998</v>
      </c>
      <c r="E374">
        <v>22.124254000000001</v>
      </c>
      <c r="F374" t="s">
        <v>14</v>
      </c>
      <c r="G374" t="s">
        <v>19</v>
      </c>
    </row>
    <row r="375" spans="1:7" x14ac:dyDescent="0.25">
      <c r="A375" t="s">
        <v>396</v>
      </c>
      <c r="B375" t="s">
        <v>421</v>
      </c>
      <c r="C375" t="s">
        <v>82</v>
      </c>
      <c r="D375">
        <v>-1.598759</v>
      </c>
      <c r="E375">
        <v>17.553023</v>
      </c>
      <c r="F375" t="s">
        <v>14</v>
      </c>
      <c r="G375" t="s">
        <v>15</v>
      </c>
    </row>
    <row r="376" spans="1:7" x14ac:dyDescent="0.25">
      <c r="A376" t="s">
        <v>396</v>
      </c>
      <c r="B376" t="s">
        <v>422</v>
      </c>
      <c r="C376" t="s">
        <v>52</v>
      </c>
      <c r="D376">
        <v>2.486888</v>
      </c>
      <c r="E376">
        <v>23.798074</v>
      </c>
      <c r="F376" t="s">
        <v>10</v>
      </c>
      <c r="G376" t="s">
        <v>19</v>
      </c>
    </row>
    <row r="377" spans="1:7" x14ac:dyDescent="0.25">
      <c r="A377" t="s">
        <v>396</v>
      </c>
      <c r="B377" t="s">
        <v>423</v>
      </c>
      <c r="C377" t="s">
        <v>52</v>
      </c>
      <c r="D377">
        <v>-11.727425</v>
      </c>
      <c r="E377">
        <v>27.198173000000001</v>
      </c>
      <c r="F377" t="s">
        <v>18</v>
      </c>
      <c r="G377" t="s">
        <v>11</v>
      </c>
    </row>
    <row r="378" spans="1:7" x14ac:dyDescent="0.25">
      <c r="A378" t="s">
        <v>396</v>
      </c>
      <c r="B378" t="s">
        <v>424</v>
      </c>
      <c r="C378" t="s">
        <v>24</v>
      </c>
      <c r="D378">
        <v>3.08182</v>
      </c>
      <c r="E378">
        <v>29.961940999999999</v>
      </c>
      <c r="F378" t="s">
        <v>14</v>
      </c>
      <c r="G378" t="s">
        <v>15</v>
      </c>
    </row>
    <row r="379" spans="1:7" x14ac:dyDescent="0.25">
      <c r="A379" t="s">
        <v>396</v>
      </c>
      <c r="B379" t="s">
        <v>425</v>
      </c>
      <c r="C379" t="s">
        <v>62</v>
      </c>
      <c r="D379">
        <v>-7.0076900000000002</v>
      </c>
      <c r="E379">
        <v>27.367121999999998</v>
      </c>
      <c r="F379" t="s">
        <v>18</v>
      </c>
      <c r="G379" t="s">
        <v>35</v>
      </c>
    </row>
    <row r="380" spans="1:7" x14ac:dyDescent="0.25">
      <c r="A380" t="s">
        <v>396</v>
      </c>
      <c r="B380" t="s">
        <v>426</v>
      </c>
      <c r="C380" t="s">
        <v>37</v>
      </c>
      <c r="D380">
        <v>-12.411144999999999</v>
      </c>
      <c r="E380">
        <v>29.876642</v>
      </c>
      <c r="F380" t="s">
        <v>14</v>
      </c>
      <c r="G380" t="s">
        <v>11</v>
      </c>
    </row>
    <row r="381" spans="1:7" x14ac:dyDescent="0.25">
      <c r="A381" t="s">
        <v>396</v>
      </c>
      <c r="B381" t="s">
        <v>427</v>
      </c>
      <c r="C381" t="s">
        <v>52</v>
      </c>
      <c r="D381">
        <v>-5.3337589999999997</v>
      </c>
      <c r="E381">
        <v>13.246924</v>
      </c>
      <c r="F381" t="s">
        <v>18</v>
      </c>
      <c r="G381" t="s">
        <v>11</v>
      </c>
    </row>
    <row r="382" spans="1:7" x14ac:dyDescent="0.25">
      <c r="A382" t="s">
        <v>396</v>
      </c>
      <c r="B382" t="s">
        <v>428</v>
      </c>
      <c r="C382" t="s">
        <v>37</v>
      </c>
      <c r="D382">
        <v>-8.1437910000000002</v>
      </c>
      <c r="E382">
        <v>28.946161</v>
      </c>
      <c r="F382" t="s">
        <v>14</v>
      </c>
      <c r="G382" t="s">
        <v>19</v>
      </c>
    </row>
    <row r="383" spans="1:7" x14ac:dyDescent="0.25">
      <c r="A383" t="s">
        <v>396</v>
      </c>
      <c r="B383" t="s">
        <v>429</v>
      </c>
      <c r="C383" t="s">
        <v>76</v>
      </c>
      <c r="D383">
        <v>4.0297190000000001</v>
      </c>
      <c r="E383">
        <v>20.699608000000001</v>
      </c>
      <c r="F383" t="s">
        <v>14</v>
      </c>
      <c r="G383" t="s">
        <v>11</v>
      </c>
    </row>
    <row r="384" spans="1:7" x14ac:dyDescent="0.25">
      <c r="A384" t="s">
        <v>396</v>
      </c>
      <c r="B384" t="s">
        <v>430</v>
      </c>
      <c r="C384" t="s">
        <v>37</v>
      </c>
      <c r="D384">
        <v>-3.2361680000000002</v>
      </c>
      <c r="E384">
        <v>13.523237999999999</v>
      </c>
      <c r="F384" t="s">
        <v>14</v>
      </c>
      <c r="G384" t="s">
        <v>15</v>
      </c>
    </row>
    <row r="385" spans="1:7" x14ac:dyDescent="0.25">
      <c r="A385" t="s">
        <v>396</v>
      </c>
      <c r="B385" t="s">
        <v>431</v>
      </c>
      <c r="C385" t="s">
        <v>27</v>
      </c>
      <c r="D385">
        <v>1.3006180000000001</v>
      </c>
      <c r="E385">
        <v>29.060970999999999</v>
      </c>
      <c r="F385" t="s">
        <v>18</v>
      </c>
      <c r="G385" t="s">
        <v>19</v>
      </c>
    </row>
    <row r="386" spans="1:7" x14ac:dyDescent="0.25">
      <c r="A386" t="s">
        <v>396</v>
      </c>
      <c r="B386" t="s">
        <v>432</v>
      </c>
      <c r="C386" t="s">
        <v>62</v>
      </c>
      <c r="D386">
        <v>1.178453</v>
      </c>
      <c r="E386">
        <v>17.479081000000001</v>
      </c>
      <c r="F386" t="s">
        <v>18</v>
      </c>
      <c r="G386" t="s">
        <v>11</v>
      </c>
    </row>
    <row r="387" spans="1:7" x14ac:dyDescent="0.25">
      <c r="A387" t="s">
        <v>396</v>
      </c>
      <c r="B387" t="s">
        <v>433</v>
      </c>
      <c r="C387" t="s">
        <v>93</v>
      </c>
      <c r="D387">
        <v>-11.542737000000001</v>
      </c>
      <c r="E387">
        <v>30.175912</v>
      </c>
      <c r="F387" t="s">
        <v>14</v>
      </c>
      <c r="G387" t="s">
        <v>35</v>
      </c>
    </row>
    <row r="388" spans="1:7" x14ac:dyDescent="0.25">
      <c r="A388" t="s">
        <v>396</v>
      </c>
      <c r="B388" t="s">
        <v>434</v>
      </c>
      <c r="C388" t="s">
        <v>93</v>
      </c>
      <c r="D388">
        <v>2.8552499999999998</v>
      </c>
      <c r="E388">
        <v>14.077933</v>
      </c>
      <c r="F388" t="s">
        <v>14</v>
      </c>
      <c r="G388" t="s">
        <v>19</v>
      </c>
    </row>
    <row r="389" spans="1:7" x14ac:dyDescent="0.25">
      <c r="A389" t="s">
        <v>396</v>
      </c>
      <c r="B389" t="s">
        <v>435</v>
      </c>
      <c r="C389" t="s">
        <v>55</v>
      </c>
      <c r="D389">
        <v>0.24369399999999999</v>
      </c>
      <c r="E389">
        <v>17.242912</v>
      </c>
      <c r="F389" t="s">
        <v>14</v>
      </c>
      <c r="G389" t="s">
        <v>35</v>
      </c>
    </row>
    <row r="390" spans="1:7" x14ac:dyDescent="0.25">
      <c r="A390" t="s">
        <v>396</v>
      </c>
      <c r="B390" t="s">
        <v>436</v>
      </c>
      <c r="C390" t="s">
        <v>82</v>
      </c>
      <c r="D390">
        <v>-12.013389999999999</v>
      </c>
      <c r="E390">
        <v>25.24456</v>
      </c>
      <c r="F390" t="s">
        <v>18</v>
      </c>
      <c r="G390" t="s">
        <v>15</v>
      </c>
    </row>
    <row r="391" spans="1:7" x14ac:dyDescent="0.25">
      <c r="A391" t="s">
        <v>396</v>
      </c>
      <c r="B391" t="s">
        <v>437</v>
      </c>
      <c r="C391" t="s">
        <v>67</v>
      </c>
      <c r="D391">
        <v>4.0157999999999996</v>
      </c>
      <c r="E391">
        <v>21.430246</v>
      </c>
      <c r="F391" t="s">
        <v>10</v>
      </c>
      <c r="G391" t="s">
        <v>35</v>
      </c>
    </row>
    <row r="392" spans="1:7" x14ac:dyDescent="0.25">
      <c r="A392" t="s">
        <v>396</v>
      </c>
      <c r="B392" t="s">
        <v>438</v>
      </c>
      <c r="C392" t="s">
        <v>21</v>
      </c>
      <c r="D392">
        <v>-0.85624699999999998</v>
      </c>
      <c r="E392">
        <v>28.624870000000001</v>
      </c>
      <c r="F392" t="s">
        <v>18</v>
      </c>
      <c r="G392" t="s">
        <v>11</v>
      </c>
    </row>
    <row r="393" spans="1:7" x14ac:dyDescent="0.25">
      <c r="A393" t="s">
        <v>396</v>
      </c>
      <c r="B393" t="s">
        <v>439</v>
      </c>
      <c r="C393" t="s">
        <v>93</v>
      </c>
      <c r="D393">
        <v>2.9836019999999999</v>
      </c>
      <c r="E393">
        <v>21.893065</v>
      </c>
      <c r="F393" t="s">
        <v>10</v>
      </c>
      <c r="G393" t="s">
        <v>35</v>
      </c>
    </row>
    <row r="394" spans="1:7" x14ac:dyDescent="0.25">
      <c r="A394" t="s">
        <v>396</v>
      </c>
      <c r="B394" t="s">
        <v>440</v>
      </c>
      <c r="C394" t="s">
        <v>62</v>
      </c>
      <c r="D394">
        <v>-11.002602</v>
      </c>
      <c r="E394">
        <v>23.918247999999998</v>
      </c>
      <c r="F394" t="s">
        <v>10</v>
      </c>
      <c r="G394" t="s">
        <v>19</v>
      </c>
    </row>
    <row r="395" spans="1:7" x14ac:dyDescent="0.25">
      <c r="A395" t="s">
        <v>396</v>
      </c>
      <c r="B395" t="s">
        <v>441</v>
      </c>
      <c r="C395" t="s">
        <v>21</v>
      </c>
      <c r="D395">
        <v>-6.419365</v>
      </c>
      <c r="E395">
        <v>17.570219000000002</v>
      </c>
      <c r="F395" t="s">
        <v>14</v>
      </c>
      <c r="G395" t="s">
        <v>15</v>
      </c>
    </row>
    <row r="396" spans="1:7" x14ac:dyDescent="0.25">
      <c r="A396" t="s">
        <v>396</v>
      </c>
      <c r="B396" t="s">
        <v>442</v>
      </c>
      <c r="C396" t="s">
        <v>34</v>
      </c>
      <c r="D396">
        <v>-1.8555980000000001</v>
      </c>
      <c r="E396">
        <v>30.421918000000002</v>
      </c>
      <c r="F396" t="s">
        <v>18</v>
      </c>
      <c r="G396" t="s">
        <v>19</v>
      </c>
    </row>
    <row r="397" spans="1:7" x14ac:dyDescent="0.25">
      <c r="A397" t="s">
        <v>396</v>
      </c>
      <c r="B397" t="s">
        <v>443</v>
      </c>
      <c r="C397" t="s">
        <v>55</v>
      </c>
      <c r="D397">
        <v>-6.4197189999999997</v>
      </c>
      <c r="E397">
        <v>22.287264</v>
      </c>
      <c r="F397" t="s">
        <v>18</v>
      </c>
      <c r="G397" t="s">
        <v>11</v>
      </c>
    </row>
    <row r="398" spans="1:7" x14ac:dyDescent="0.25">
      <c r="A398" t="s">
        <v>396</v>
      </c>
      <c r="B398" t="s">
        <v>444</v>
      </c>
      <c r="C398" t="s">
        <v>85</v>
      </c>
      <c r="D398">
        <v>-9.8451869999999992</v>
      </c>
      <c r="E398">
        <v>14.508520000000001</v>
      </c>
      <c r="F398" t="s">
        <v>10</v>
      </c>
      <c r="G398" t="s">
        <v>35</v>
      </c>
    </row>
    <row r="399" spans="1:7" x14ac:dyDescent="0.25">
      <c r="A399" t="s">
        <v>396</v>
      </c>
      <c r="B399" t="s">
        <v>445</v>
      </c>
      <c r="C399" t="s">
        <v>85</v>
      </c>
      <c r="D399">
        <v>-2.9417719999999998</v>
      </c>
      <c r="E399">
        <v>18.587305000000001</v>
      </c>
      <c r="F399" t="s">
        <v>10</v>
      </c>
      <c r="G399" t="s">
        <v>11</v>
      </c>
    </row>
    <row r="400" spans="1:7" x14ac:dyDescent="0.25">
      <c r="A400" t="s">
        <v>396</v>
      </c>
      <c r="B400" t="s">
        <v>446</v>
      </c>
      <c r="C400" t="s">
        <v>17</v>
      </c>
      <c r="D400">
        <v>-11.793894</v>
      </c>
      <c r="E400">
        <v>20.433340999999999</v>
      </c>
      <c r="F400" t="s">
        <v>10</v>
      </c>
      <c r="G400" t="s">
        <v>35</v>
      </c>
    </row>
    <row r="401" spans="1:7" x14ac:dyDescent="0.25">
      <c r="A401" t="s">
        <v>447</v>
      </c>
      <c r="B401" t="s">
        <v>448</v>
      </c>
      <c r="C401" t="s">
        <v>52</v>
      </c>
      <c r="D401">
        <v>0.114899</v>
      </c>
      <c r="E401">
        <v>30.510916000000002</v>
      </c>
      <c r="F401" t="s">
        <v>18</v>
      </c>
      <c r="G401" t="s">
        <v>35</v>
      </c>
    </row>
    <row r="402" spans="1:7" x14ac:dyDescent="0.25">
      <c r="A402" t="s">
        <v>447</v>
      </c>
      <c r="B402" t="s">
        <v>449</v>
      </c>
      <c r="C402" t="s">
        <v>85</v>
      </c>
      <c r="D402">
        <v>-5.5445120000000001</v>
      </c>
      <c r="E402">
        <v>27.547335</v>
      </c>
      <c r="F402" t="s">
        <v>14</v>
      </c>
      <c r="G402" t="s">
        <v>11</v>
      </c>
    </row>
    <row r="403" spans="1:7" x14ac:dyDescent="0.25">
      <c r="A403" t="s">
        <v>447</v>
      </c>
      <c r="B403" t="s">
        <v>450</v>
      </c>
      <c r="C403" t="s">
        <v>67</v>
      </c>
      <c r="D403">
        <v>2.0392079999999999</v>
      </c>
      <c r="E403">
        <v>19.090841999999999</v>
      </c>
      <c r="F403" t="s">
        <v>14</v>
      </c>
      <c r="G403" t="s">
        <v>35</v>
      </c>
    </row>
    <row r="404" spans="1:7" x14ac:dyDescent="0.25">
      <c r="A404" t="s">
        <v>447</v>
      </c>
      <c r="B404" t="s">
        <v>451</v>
      </c>
      <c r="C404" t="s">
        <v>45</v>
      </c>
      <c r="D404">
        <v>-2.2371569999999998</v>
      </c>
      <c r="E404">
        <v>25.926188</v>
      </c>
      <c r="F404" t="s">
        <v>18</v>
      </c>
      <c r="G404" t="s">
        <v>35</v>
      </c>
    </row>
    <row r="405" spans="1:7" x14ac:dyDescent="0.25">
      <c r="A405" t="s">
        <v>447</v>
      </c>
      <c r="B405" t="s">
        <v>452</v>
      </c>
      <c r="C405" t="s">
        <v>32</v>
      </c>
      <c r="D405">
        <v>-10.414493</v>
      </c>
      <c r="E405">
        <v>12.333356999999999</v>
      </c>
      <c r="F405" t="s">
        <v>18</v>
      </c>
      <c r="G405" t="s">
        <v>11</v>
      </c>
    </row>
    <row r="406" spans="1:7" x14ac:dyDescent="0.25">
      <c r="A406" t="s">
        <v>447</v>
      </c>
      <c r="B406" t="s">
        <v>453</v>
      </c>
      <c r="C406" t="s">
        <v>27</v>
      </c>
      <c r="D406">
        <v>-7.5418399999999997</v>
      </c>
      <c r="E406">
        <v>16.931206</v>
      </c>
      <c r="F406" t="s">
        <v>18</v>
      </c>
      <c r="G406" t="s">
        <v>35</v>
      </c>
    </row>
    <row r="407" spans="1:7" x14ac:dyDescent="0.25">
      <c r="A407" t="s">
        <v>447</v>
      </c>
      <c r="B407" t="s">
        <v>454</v>
      </c>
      <c r="C407" t="s">
        <v>96</v>
      </c>
      <c r="D407">
        <v>4.7908840000000001</v>
      </c>
      <c r="E407">
        <v>23.051435000000001</v>
      </c>
      <c r="F407" t="s">
        <v>18</v>
      </c>
      <c r="G407" t="s">
        <v>35</v>
      </c>
    </row>
    <row r="408" spans="1:7" x14ac:dyDescent="0.25">
      <c r="A408" t="s">
        <v>447</v>
      </c>
      <c r="B408" t="s">
        <v>455</v>
      </c>
      <c r="C408" t="s">
        <v>49</v>
      </c>
      <c r="D408">
        <v>-3.544581</v>
      </c>
      <c r="E408">
        <v>14.776605</v>
      </c>
      <c r="F408" t="s">
        <v>14</v>
      </c>
      <c r="G408" t="s">
        <v>35</v>
      </c>
    </row>
    <row r="409" spans="1:7" x14ac:dyDescent="0.25">
      <c r="A409" t="s">
        <v>447</v>
      </c>
      <c r="B409" t="s">
        <v>456</v>
      </c>
      <c r="C409" t="s">
        <v>9</v>
      </c>
      <c r="D409">
        <v>-6.9624990000000002</v>
      </c>
      <c r="E409">
        <v>20.759834999999999</v>
      </c>
      <c r="F409" t="s">
        <v>14</v>
      </c>
      <c r="G409" t="s">
        <v>15</v>
      </c>
    </row>
    <row r="410" spans="1:7" x14ac:dyDescent="0.25">
      <c r="A410" t="s">
        <v>447</v>
      </c>
      <c r="B410" t="s">
        <v>457</v>
      </c>
      <c r="C410" t="s">
        <v>30</v>
      </c>
      <c r="D410">
        <v>3.796754</v>
      </c>
      <c r="E410">
        <v>25.172377999999998</v>
      </c>
      <c r="F410" t="s">
        <v>14</v>
      </c>
      <c r="G410" t="s">
        <v>15</v>
      </c>
    </row>
    <row r="411" spans="1:7" x14ac:dyDescent="0.25">
      <c r="A411" t="s">
        <v>447</v>
      </c>
      <c r="B411" t="s">
        <v>458</v>
      </c>
      <c r="C411" t="s">
        <v>30</v>
      </c>
      <c r="D411">
        <v>-2.3677800000000002</v>
      </c>
      <c r="E411">
        <v>18.790323999999998</v>
      </c>
      <c r="F411" t="s">
        <v>10</v>
      </c>
      <c r="G411" t="s">
        <v>15</v>
      </c>
    </row>
    <row r="412" spans="1:7" x14ac:dyDescent="0.25">
      <c r="A412" t="s">
        <v>447</v>
      </c>
      <c r="B412" t="s">
        <v>459</v>
      </c>
      <c r="C412" t="s">
        <v>96</v>
      </c>
      <c r="D412">
        <v>-6.236097</v>
      </c>
      <c r="E412">
        <v>13.004878</v>
      </c>
      <c r="F412" t="s">
        <v>14</v>
      </c>
      <c r="G412" t="s">
        <v>11</v>
      </c>
    </row>
    <row r="413" spans="1:7" x14ac:dyDescent="0.25">
      <c r="A413" t="s">
        <v>447</v>
      </c>
      <c r="B413" t="s">
        <v>460</v>
      </c>
      <c r="C413" t="s">
        <v>21</v>
      </c>
      <c r="D413">
        <v>-12.88086</v>
      </c>
      <c r="E413">
        <v>18.862106000000001</v>
      </c>
      <c r="F413" t="s">
        <v>18</v>
      </c>
      <c r="G413" t="s">
        <v>35</v>
      </c>
    </row>
    <row r="414" spans="1:7" x14ac:dyDescent="0.25">
      <c r="A414" t="s">
        <v>447</v>
      </c>
      <c r="B414" t="s">
        <v>461</v>
      </c>
      <c r="C414" t="s">
        <v>34</v>
      </c>
      <c r="D414">
        <v>-1.501492</v>
      </c>
      <c r="E414">
        <v>24.088695999999999</v>
      </c>
      <c r="F414" t="s">
        <v>14</v>
      </c>
      <c r="G414" t="s">
        <v>35</v>
      </c>
    </row>
    <row r="415" spans="1:7" x14ac:dyDescent="0.25">
      <c r="A415" t="s">
        <v>447</v>
      </c>
      <c r="B415" t="s">
        <v>462</v>
      </c>
      <c r="C415" t="s">
        <v>32</v>
      </c>
      <c r="D415">
        <v>-8.0800809999999998</v>
      </c>
      <c r="E415">
        <v>30.147970999999998</v>
      </c>
      <c r="F415" t="s">
        <v>10</v>
      </c>
      <c r="G415" t="s">
        <v>15</v>
      </c>
    </row>
    <row r="416" spans="1:7" x14ac:dyDescent="0.25">
      <c r="A416" t="s">
        <v>447</v>
      </c>
      <c r="B416" t="s">
        <v>463</v>
      </c>
      <c r="C416" t="s">
        <v>55</v>
      </c>
      <c r="D416">
        <v>-9.8519260000000006</v>
      </c>
      <c r="E416">
        <v>12.925583</v>
      </c>
      <c r="F416" t="s">
        <v>10</v>
      </c>
      <c r="G416" t="s">
        <v>11</v>
      </c>
    </row>
    <row r="417" spans="1:7" x14ac:dyDescent="0.25">
      <c r="A417" t="s">
        <v>447</v>
      </c>
      <c r="B417" t="s">
        <v>464</v>
      </c>
      <c r="C417" t="s">
        <v>24</v>
      </c>
      <c r="D417">
        <v>-4.6818410000000004</v>
      </c>
      <c r="E417">
        <v>17.541618</v>
      </c>
      <c r="F417" t="s">
        <v>14</v>
      </c>
      <c r="G417" t="s">
        <v>11</v>
      </c>
    </row>
    <row r="418" spans="1:7" x14ac:dyDescent="0.25">
      <c r="A418" t="s">
        <v>447</v>
      </c>
      <c r="B418" t="s">
        <v>465</v>
      </c>
      <c r="C418" t="s">
        <v>43</v>
      </c>
      <c r="D418">
        <v>-2.7775059999999998</v>
      </c>
      <c r="E418">
        <v>24.139983999999998</v>
      </c>
      <c r="F418" t="s">
        <v>18</v>
      </c>
      <c r="G418" t="s">
        <v>11</v>
      </c>
    </row>
    <row r="419" spans="1:7" x14ac:dyDescent="0.25">
      <c r="A419" t="s">
        <v>447</v>
      </c>
      <c r="B419" t="s">
        <v>466</v>
      </c>
      <c r="C419" t="s">
        <v>43</v>
      </c>
      <c r="D419">
        <v>3.4676979999999999</v>
      </c>
      <c r="E419">
        <v>13.459707</v>
      </c>
      <c r="F419" t="s">
        <v>10</v>
      </c>
      <c r="G419" t="s">
        <v>15</v>
      </c>
    </row>
    <row r="420" spans="1:7" x14ac:dyDescent="0.25">
      <c r="A420" t="s">
        <v>447</v>
      </c>
      <c r="B420" t="s">
        <v>467</v>
      </c>
      <c r="C420" t="s">
        <v>21</v>
      </c>
      <c r="D420">
        <v>-9.4133639999999996</v>
      </c>
      <c r="E420">
        <v>15.682482</v>
      </c>
      <c r="F420" t="s">
        <v>14</v>
      </c>
      <c r="G420" t="s">
        <v>15</v>
      </c>
    </row>
    <row r="421" spans="1:7" x14ac:dyDescent="0.25">
      <c r="A421" t="s">
        <v>447</v>
      </c>
      <c r="B421" t="s">
        <v>468</v>
      </c>
      <c r="C421" t="s">
        <v>93</v>
      </c>
      <c r="D421">
        <v>1.981107</v>
      </c>
      <c r="E421">
        <v>23.932569000000001</v>
      </c>
      <c r="F421" t="s">
        <v>18</v>
      </c>
      <c r="G421" t="s">
        <v>35</v>
      </c>
    </row>
    <row r="422" spans="1:7" x14ac:dyDescent="0.25">
      <c r="A422" t="s">
        <v>447</v>
      </c>
      <c r="B422" t="s">
        <v>469</v>
      </c>
      <c r="C422" t="s">
        <v>30</v>
      </c>
      <c r="D422">
        <v>-7.789663</v>
      </c>
      <c r="E422">
        <v>26.529098000000001</v>
      </c>
      <c r="F422" t="s">
        <v>10</v>
      </c>
      <c r="G422" t="s">
        <v>35</v>
      </c>
    </row>
    <row r="423" spans="1:7" x14ac:dyDescent="0.25">
      <c r="A423" t="s">
        <v>447</v>
      </c>
      <c r="B423" t="s">
        <v>470</v>
      </c>
      <c r="C423" t="s">
        <v>41</v>
      </c>
      <c r="D423">
        <v>-4.1694589999999998</v>
      </c>
      <c r="E423">
        <v>23.376487000000001</v>
      </c>
      <c r="F423" t="s">
        <v>18</v>
      </c>
      <c r="G423" t="s">
        <v>35</v>
      </c>
    </row>
    <row r="424" spans="1:7" x14ac:dyDescent="0.25">
      <c r="A424" t="s">
        <v>447</v>
      </c>
      <c r="B424" t="s">
        <v>471</v>
      </c>
      <c r="C424" t="s">
        <v>34</v>
      </c>
      <c r="D424">
        <v>1.8103860000000001</v>
      </c>
      <c r="E424">
        <v>15.175582</v>
      </c>
      <c r="F424" t="s">
        <v>18</v>
      </c>
      <c r="G424" t="s">
        <v>15</v>
      </c>
    </row>
    <row r="425" spans="1:7" x14ac:dyDescent="0.25">
      <c r="A425" t="s">
        <v>447</v>
      </c>
      <c r="B425" t="s">
        <v>472</v>
      </c>
      <c r="C425" t="s">
        <v>76</v>
      </c>
      <c r="D425">
        <v>-7.5641280000000002</v>
      </c>
      <c r="E425">
        <v>18.129529999999999</v>
      </c>
      <c r="F425" t="s">
        <v>18</v>
      </c>
      <c r="G425" t="s">
        <v>15</v>
      </c>
    </row>
    <row r="426" spans="1:7" x14ac:dyDescent="0.25">
      <c r="A426" t="s">
        <v>447</v>
      </c>
      <c r="B426" t="s">
        <v>473</v>
      </c>
      <c r="C426" t="s">
        <v>17</v>
      </c>
      <c r="D426">
        <v>-2.4662510000000002</v>
      </c>
      <c r="E426">
        <v>18.007998000000001</v>
      </c>
      <c r="F426" t="s">
        <v>10</v>
      </c>
      <c r="G426" t="s">
        <v>11</v>
      </c>
    </row>
    <row r="427" spans="1:7" x14ac:dyDescent="0.25">
      <c r="A427" t="s">
        <v>447</v>
      </c>
      <c r="B427" t="s">
        <v>474</v>
      </c>
      <c r="C427" t="s">
        <v>62</v>
      </c>
      <c r="D427">
        <v>-4.1061909999999999</v>
      </c>
      <c r="E427">
        <v>28.054902999999999</v>
      </c>
      <c r="F427" t="s">
        <v>18</v>
      </c>
      <c r="G427" t="s">
        <v>15</v>
      </c>
    </row>
    <row r="428" spans="1:7" x14ac:dyDescent="0.25">
      <c r="A428" t="s">
        <v>447</v>
      </c>
      <c r="B428" t="s">
        <v>475</v>
      </c>
      <c r="C428" t="s">
        <v>41</v>
      </c>
      <c r="D428">
        <v>0.31740800000000002</v>
      </c>
      <c r="E428">
        <v>27.197666999999999</v>
      </c>
      <c r="F428" t="s">
        <v>10</v>
      </c>
      <c r="G428" t="s">
        <v>35</v>
      </c>
    </row>
    <row r="429" spans="1:7" x14ac:dyDescent="0.25">
      <c r="A429" t="s">
        <v>447</v>
      </c>
      <c r="B429" t="s">
        <v>476</v>
      </c>
      <c r="C429" t="s">
        <v>34</v>
      </c>
      <c r="D429">
        <v>-8.9586360000000003</v>
      </c>
      <c r="E429">
        <v>17.157720000000001</v>
      </c>
      <c r="F429" t="s">
        <v>18</v>
      </c>
      <c r="G429" t="s">
        <v>35</v>
      </c>
    </row>
    <row r="430" spans="1:7" x14ac:dyDescent="0.25">
      <c r="A430" t="s">
        <v>447</v>
      </c>
      <c r="B430" t="s">
        <v>477</v>
      </c>
      <c r="C430" t="s">
        <v>41</v>
      </c>
      <c r="D430">
        <v>1.2419519999999999</v>
      </c>
      <c r="E430">
        <v>25.261382999999999</v>
      </c>
      <c r="F430" t="s">
        <v>14</v>
      </c>
      <c r="G430" t="s">
        <v>15</v>
      </c>
    </row>
    <row r="431" spans="1:7" x14ac:dyDescent="0.25">
      <c r="A431" t="s">
        <v>447</v>
      </c>
      <c r="B431" t="s">
        <v>478</v>
      </c>
      <c r="C431" t="s">
        <v>27</v>
      </c>
      <c r="D431">
        <v>-10.227569000000001</v>
      </c>
      <c r="E431">
        <v>18.887930999999998</v>
      </c>
      <c r="F431" t="s">
        <v>18</v>
      </c>
      <c r="G431" t="s">
        <v>19</v>
      </c>
    </row>
    <row r="432" spans="1:7" x14ac:dyDescent="0.25">
      <c r="A432" t="s">
        <v>447</v>
      </c>
      <c r="B432" t="s">
        <v>479</v>
      </c>
      <c r="C432" t="s">
        <v>133</v>
      </c>
      <c r="D432">
        <v>-7.5969509999999998</v>
      </c>
      <c r="E432">
        <v>22.153986</v>
      </c>
      <c r="F432" t="s">
        <v>18</v>
      </c>
      <c r="G432" t="s">
        <v>11</v>
      </c>
    </row>
    <row r="433" spans="1:7" x14ac:dyDescent="0.25">
      <c r="A433" t="s">
        <v>447</v>
      </c>
      <c r="B433" t="s">
        <v>480</v>
      </c>
      <c r="C433" t="s">
        <v>41</v>
      </c>
      <c r="D433">
        <v>-1.4700059999999999</v>
      </c>
      <c r="E433">
        <v>18.680958</v>
      </c>
      <c r="F433" t="s">
        <v>18</v>
      </c>
      <c r="G433" t="s">
        <v>15</v>
      </c>
    </row>
    <row r="434" spans="1:7" x14ac:dyDescent="0.25">
      <c r="A434" t="s">
        <v>447</v>
      </c>
      <c r="B434" t="s">
        <v>481</v>
      </c>
      <c r="C434" t="s">
        <v>41</v>
      </c>
      <c r="D434">
        <v>-1.5419050000000001</v>
      </c>
      <c r="E434">
        <v>14.730632999999999</v>
      </c>
      <c r="F434" t="s">
        <v>18</v>
      </c>
      <c r="G434" t="s">
        <v>19</v>
      </c>
    </row>
    <row r="435" spans="1:7" x14ac:dyDescent="0.25">
      <c r="A435" t="s">
        <v>447</v>
      </c>
      <c r="B435" t="s">
        <v>482</v>
      </c>
      <c r="C435" t="s">
        <v>133</v>
      </c>
      <c r="D435">
        <v>-10.764815</v>
      </c>
      <c r="E435">
        <v>14.602039</v>
      </c>
      <c r="F435" t="s">
        <v>14</v>
      </c>
      <c r="G435" t="s">
        <v>35</v>
      </c>
    </row>
    <row r="436" spans="1:7" x14ac:dyDescent="0.25">
      <c r="A436" t="s">
        <v>447</v>
      </c>
      <c r="B436" t="s">
        <v>483</v>
      </c>
      <c r="C436" t="s">
        <v>9</v>
      </c>
      <c r="D436">
        <v>-1.013558</v>
      </c>
      <c r="E436">
        <v>17.346937</v>
      </c>
      <c r="F436" t="s">
        <v>10</v>
      </c>
      <c r="G436" t="s">
        <v>15</v>
      </c>
    </row>
    <row r="437" spans="1:7" x14ac:dyDescent="0.25">
      <c r="A437" t="s">
        <v>447</v>
      </c>
      <c r="B437" t="s">
        <v>484</v>
      </c>
      <c r="C437" t="s">
        <v>49</v>
      </c>
      <c r="D437">
        <v>-7.8215969999999997</v>
      </c>
      <c r="E437">
        <v>26.797349000000001</v>
      </c>
      <c r="F437" t="s">
        <v>18</v>
      </c>
      <c r="G437" t="s">
        <v>11</v>
      </c>
    </row>
    <row r="438" spans="1:7" x14ac:dyDescent="0.25">
      <c r="A438" t="s">
        <v>447</v>
      </c>
      <c r="B438" t="s">
        <v>485</v>
      </c>
      <c r="C438" t="s">
        <v>96</v>
      </c>
      <c r="D438">
        <v>-9.7712979999999998</v>
      </c>
      <c r="E438">
        <v>19.827895999999999</v>
      </c>
      <c r="F438" t="s">
        <v>18</v>
      </c>
      <c r="G438" t="s">
        <v>19</v>
      </c>
    </row>
    <row r="439" spans="1:7" x14ac:dyDescent="0.25">
      <c r="A439" t="s">
        <v>447</v>
      </c>
      <c r="B439" t="s">
        <v>486</v>
      </c>
      <c r="C439" t="s">
        <v>32</v>
      </c>
      <c r="D439">
        <v>3.3222779999999998</v>
      </c>
      <c r="E439">
        <v>29.497240000000001</v>
      </c>
      <c r="F439" t="s">
        <v>18</v>
      </c>
      <c r="G439" t="s">
        <v>19</v>
      </c>
    </row>
    <row r="440" spans="1:7" x14ac:dyDescent="0.25">
      <c r="A440" t="s">
        <v>447</v>
      </c>
      <c r="B440" t="s">
        <v>487</v>
      </c>
      <c r="C440" t="s">
        <v>82</v>
      </c>
      <c r="D440">
        <v>-1.3938550000000001</v>
      </c>
      <c r="E440">
        <v>15.097554000000001</v>
      </c>
      <c r="F440" t="s">
        <v>14</v>
      </c>
      <c r="G440" t="s">
        <v>15</v>
      </c>
    </row>
    <row r="441" spans="1:7" x14ac:dyDescent="0.25">
      <c r="A441" t="s">
        <v>447</v>
      </c>
      <c r="B441" t="s">
        <v>488</v>
      </c>
      <c r="C441" t="s">
        <v>9</v>
      </c>
      <c r="D441">
        <v>-12.488033</v>
      </c>
      <c r="E441">
        <v>16.139648000000001</v>
      </c>
      <c r="F441" t="s">
        <v>14</v>
      </c>
      <c r="G441" t="s">
        <v>15</v>
      </c>
    </row>
    <row r="442" spans="1:7" x14ac:dyDescent="0.25">
      <c r="A442" t="s">
        <v>447</v>
      </c>
      <c r="B442" t="s">
        <v>489</v>
      </c>
      <c r="C442" t="s">
        <v>82</v>
      </c>
      <c r="D442">
        <v>0.76493</v>
      </c>
      <c r="E442">
        <v>21.564274999999999</v>
      </c>
      <c r="F442" t="s">
        <v>18</v>
      </c>
      <c r="G442" t="s">
        <v>19</v>
      </c>
    </row>
    <row r="443" spans="1:7" x14ac:dyDescent="0.25">
      <c r="A443" t="s">
        <v>447</v>
      </c>
      <c r="B443" t="s">
        <v>490</v>
      </c>
      <c r="C443" t="s">
        <v>62</v>
      </c>
      <c r="D443">
        <v>-4.1250960000000001</v>
      </c>
      <c r="E443">
        <v>27.799897999999999</v>
      </c>
      <c r="F443" t="s">
        <v>18</v>
      </c>
      <c r="G443" t="s">
        <v>35</v>
      </c>
    </row>
    <row r="444" spans="1:7" x14ac:dyDescent="0.25">
      <c r="A444" t="s">
        <v>447</v>
      </c>
      <c r="B444" t="s">
        <v>491</v>
      </c>
      <c r="C444" t="s">
        <v>85</v>
      </c>
      <c r="D444">
        <v>4.4712560000000003</v>
      </c>
      <c r="E444">
        <v>27.107028</v>
      </c>
      <c r="F444" t="s">
        <v>18</v>
      </c>
      <c r="G444" t="s">
        <v>11</v>
      </c>
    </row>
    <row r="445" spans="1:7" x14ac:dyDescent="0.25">
      <c r="A445" t="s">
        <v>447</v>
      </c>
      <c r="B445" t="s">
        <v>492</v>
      </c>
      <c r="C445" t="s">
        <v>9</v>
      </c>
      <c r="D445">
        <v>-2.2199559999999998</v>
      </c>
      <c r="E445">
        <v>22.614449</v>
      </c>
      <c r="F445" t="s">
        <v>18</v>
      </c>
      <c r="G445" t="s">
        <v>35</v>
      </c>
    </row>
    <row r="446" spans="1:7" x14ac:dyDescent="0.25">
      <c r="A446" t="s">
        <v>447</v>
      </c>
      <c r="B446" t="s">
        <v>493</v>
      </c>
      <c r="C446" t="s">
        <v>133</v>
      </c>
      <c r="D446">
        <v>-6.4883290000000002</v>
      </c>
      <c r="E446">
        <v>25.103404000000001</v>
      </c>
      <c r="F446" t="s">
        <v>10</v>
      </c>
      <c r="G446" t="s">
        <v>19</v>
      </c>
    </row>
    <row r="447" spans="1:7" x14ac:dyDescent="0.25">
      <c r="A447" t="s">
        <v>447</v>
      </c>
      <c r="B447" t="s">
        <v>494</v>
      </c>
      <c r="C447" t="s">
        <v>47</v>
      </c>
      <c r="D447">
        <v>-4.351254</v>
      </c>
      <c r="E447">
        <v>30.097408999999999</v>
      </c>
      <c r="F447" t="s">
        <v>10</v>
      </c>
      <c r="G447" t="s">
        <v>35</v>
      </c>
    </row>
    <row r="448" spans="1:7" x14ac:dyDescent="0.25">
      <c r="A448" t="s">
        <v>447</v>
      </c>
      <c r="B448" t="s">
        <v>495</v>
      </c>
      <c r="C448" t="s">
        <v>85</v>
      </c>
      <c r="D448">
        <v>-5.1507670000000001</v>
      </c>
      <c r="E448">
        <v>28.075324999999999</v>
      </c>
      <c r="F448" t="s">
        <v>10</v>
      </c>
      <c r="G448" t="s">
        <v>15</v>
      </c>
    </row>
    <row r="449" spans="1:7" x14ac:dyDescent="0.25">
      <c r="A449" t="s">
        <v>447</v>
      </c>
      <c r="B449" t="s">
        <v>496</v>
      </c>
      <c r="C449" t="s">
        <v>82</v>
      </c>
      <c r="D449">
        <v>-8.3575920000000004</v>
      </c>
      <c r="E449">
        <v>25.538395000000001</v>
      </c>
      <c r="F449" t="s">
        <v>18</v>
      </c>
      <c r="G449" t="s">
        <v>19</v>
      </c>
    </row>
    <row r="450" spans="1:7" x14ac:dyDescent="0.25">
      <c r="A450" t="s">
        <v>447</v>
      </c>
      <c r="B450" t="s">
        <v>497</v>
      </c>
      <c r="C450" t="s">
        <v>62</v>
      </c>
      <c r="D450">
        <v>-0.65356899999999996</v>
      </c>
      <c r="E450">
        <v>25.343032999999998</v>
      </c>
      <c r="F450" t="s">
        <v>14</v>
      </c>
      <c r="G450" t="s">
        <v>11</v>
      </c>
    </row>
    <row r="451" spans="1:7" x14ac:dyDescent="0.25">
      <c r="A451" t="s">
        <v>498</v>
      </c>
      <c r="B451" t="s">
        <v>499</v>
      </c>
      <c r="C451" t="s">
        <v>93</v>
      </c>
      <c r="D451">
        <v>-2.290705</v>
      </c>
      <c r="E451">
        <v>19.150395</v>
      </c>
      <c r="F451" t="s">
        <v>10</v>
      </c>
      <c r="G451" t="s">
        <v>11</v>
      </c>
    </row>
    <row r="452" spans="1:7" x14ac:dyDescent="0.25">
      <c r="A452" t="s">
        <v>498</v>
      </c>
      <c r="B452" t="s">
        <v>500</v>
      </c>
      <c r="C452" t="s">
        <v>96</v>
      </c>
      <c r="D452">
        <v>4.8319039999999998</v>
      </c>
      <c r="E452">
        <v>20.733468999999999</v>
      </c>
      <c r="F452" t="s">
        <v>10</v>
      </c>
      <c r="G452" t="s">
        <v>11</v>
      </c>
    </row>
    <row r="453" spans="1:7" x14ac:dyDescent="0.25">
      <c r="A453" t="s">
        <v>498</v>
      </c>
      <c r="B453" t="s">
        <v>501</v>
      </c>
      <c r="C453" t="s">
        <v>24</v>
      </c>
      <c r="D453">
        <v>-10.790281</v>
      </c>
      <c r="E453">
        <v>12.624336</v>
      </c>
      <c r="F453" t="s">
        <v>14</v>
      </c>
      <c r="G453" t="s">
        <v>35</v>
      </c>
    </row>
    <row r="454" spans="1:7" x14ac:dyDescent="0.25">
      <c r="A454" t="s">
        <v>498</v>
      </c>
      <c r="B454" t="s">
        <v>502</v>
      </c>
      <c r="C454" t="s">
        <v>55</v>
      </c>
      <c r="D454">
        <v>2.0859640000000002</v>
      </c>
      <c r="E454">
        <v>22.576664000000001</v>
      </c>
      <c r="F454" t="s">
        <v>14</v>
      </c>
      <c r="G454" t="s">
        <v>19</v>
      </c>
    </row>
    <row r="455" spans="1:7" x14ac:dyDescent="0.25">
      <c r="A455" t="s">
        <v>498</v>
      </c>
      <c r="B455" t="s">
        <v>503</v>
      </c>
      <c r="C455" t="s">
        <v>13</v>
      </c>
      <c r="D455">
        <v>5.3608999999999997E-2</v>
      </c>
      <c r="E455">
        <v>28.346852999999999</v>
      </c>
      <c r="F455" t="s">
        <v>18</v>
      </c>
      <c r="G455" t="s">
        <v>19</v>
      </c>
    </row>
    <row r="456" spans="1:7" x14ac:dyDescent="0.25">
      <c r="A456" t="s">
        <v>498</v>
      </c>
      <c r="B456" t="s">
        <v>504</v>
      </c>
      <c r="C456" t="s">
        <v>34</v>
      </c>
      <c r="D456">
        <v>-7.9866700000000002</v>
      </c>
      <c r="E456">
        <v>17.757847000000002</v>
      </c>
      <c r="F456" t="s">
        <v>10</v>
      </c>
      <c r="G456" t="s">
        <v>15</v>
      </c>
    </row>
    <row r="457" spans="1:7" x14ac:dyDescent="0.25">
      <c r="A457" t="s">
        <v>498</v>
      </c>
      <c r="B457" t="s">
        <v>505</v>
      </c>
      <c r="C457" t="s">
        <v>133</v>
      </c>
      <c r="D457">
        <v>-0.157111</v>
      </c>
      <c r="E457">
        <v>25.415125</v>
      </c>
      <c r="F457" t="s">
        <v>14</v>
      </c>
      <c r="G457" t="s">
        <v>11</v>
      </c>
    </row>
    <row r="458" spans="1:7" x14ac:dyDescent="0.25">
      <c r="A458" t="s">
        <v>498</v>
      </c>
      <c r="B458" t="s">
        <v>506</v>
      </c>
      <c r="C458" t="s">
        <v>9</v>
      </c>
      <c r="D458">
        <v>-2.5254650000000001</v>
      </c>
      <c r="E458">
        <v>21.338113</v>
      </c>
      <c r="F458" t="s">
        <v>10</v>
      </c>
      <c r="G458" t="s">
        <v>35</v>
      </c>
    </row>
    <row r="459" spans="1:7" x14ac:dyDescent="0.25">
      <c r="A459" t="s">
        <v>498</v>
      </c>
      <c r="B459" t="s">
        <v>507</v>
      </c>
      <c r="C459" t="s">
        <v>43</v>
      </c>
      <c r="D459">
        <v>-8.0864899999999995</v>
      </c>
      <c r="E459">
        <v>14.555277</v>
      </c>
      <c r="F459" t="s">
        <v>18</v>
      </c>
      <c r="G459" t="s">
        <v>11</v>
      </c>
    </row>
    <row r="460" spans="1:7" x14ac:dyDescent="0.25">
      <c r="A460" t="s">
        <v>498</v>
      </c>
      <c r="B460" t="s">
        <v>508</v>
      </c>
      <c r="C460" t="s">
        <v>82</v>
      </c>
      <c r="D460">
        <v>1.210869</v>
      </c>
      <c r="E460">
        <v>25.598741</v>
      </c>
      <c r="F460" t="s">
        <v>14</v>
      </c>
      <c r="G460" t="s">
        <v>11</v>
      </c>
    </row>
    <row r="461" spans="1:7" x14ac:dyDescent="0.25">
      <c r="A461" t="s">
        <v>498</v>
      </c>
      <c r="B461" t="s">
        <v>509</v>
      </c>
      <c r="C461" t="s">
        <v>133</v>
      </c>
      <c r="D461">
        <v>-1.4110389999999999</v>
      </c>
      <c r="E461">
        <v>21.261644</v>
      </c>
      <c r="F461" t="s">
        <v>14</v>
      </c>
      <c r="G461" t="s">
        <v>19</v>
      </c>
    </row>
    <row r="462" spans="1:7" x14ac:dyDescent="0.25">
      <c r="A462" t="s">
        <v>498</v>
      </c>
      <c r="B462" t="s">
        <v>510</v>
      </c>
      <c r="C462" t="s">
        <v>30</v>
      </c>
      <c r="D462">
        <v>-5.7957599999999996</v>
      </c>
      <c r="E462">
        <v>14.078258</v>
      </c>
      <c r="F462" t="s">
        <v>10</v>
      </c>
      <c r="G462" t="s">
        <v>11</v>
      </c>
    </row>
    <row r="463" spans="1:7" x14ac:dyDescent="0.25">
      <c r="A463" t="s">
        <v>498</v>
      </c>
      <c r="B463" t="s">
        <v>511</v>
      </c>
      <c r="C463" t="s">
        <v>9</v>
      </c>
      <c r="D463">
        <v>-4.4351269999999996</v>
      </c>
      <c r="E463">
        <v>24.825467</v>
      </c>
      <c r="F463" t="s">
        <v>14</v>
      </c>
      <c r="G463" t="s">
        <v>15</v>
      </c>
    </row>
    <row r="464" spans="1:7" x14ac:dyDescent="0.25">
      <c r="A464" t="s">
        <v>498</v>
      </c>
      <c r="B464" t="s">
        <v>512</v>
      </c>
      <c r="C464" t="s">
        <v>52</v>
      </c>
      <c r="D464">
        <v>-2.1430220000000002</v>
      </c>
      <c r="E464">
        <v>24.541492999999999</v>
      </c>
      <c r="F464" t="s">
        <v>14</v>
      </c>
      <c r="G464" t="s">
        <v>19</v>
      </c>
    </row>
    <row r="465" spans="1:7" x14ac:dyDescent="0.25">
      <c r="A465" t="s">
        <v>498</v>
      </c>
      <c r="B465" t="s">
        <v>513</v>
      </c>
      <c r="C465" t="s">
        <v>49</v>
      </c>
      <c r="D465">
        <v>-5.7200150000000001</v>
      </c>
      <c r="E465">
        <v>25.022109</v>
      </c>
      <c r="F465" t="s">
        <v>10</v>
      </c>
      <c r="G465" t="s">
        <v>19</v>
      </c>
    </row>
    <row r="466" spans="1:7" x14ac:dyDescent="0.25">
      <c r="A466" t="s">
        <v>498</v>
      </c>
      <c r="B466" t="s">
        <v>514</v>
      </c>
      <c r="C466" t="s">
        <v>62</v>
      </c>
      <c r="D466">
        <v>-4.2784089999999999</v>
      </c>
      <c r="E466">
        <v>22.871994000000001</v>
      </c>
      <c r="F466" t="s">
        <v>18</v>
      </c>
      <c r="G466" t="s">
        <v>11</v>
      </c>
    </row>
    <row r="467" spans="1:7" x14ac:dyDescent="0.25">
      <c r="A467" t="s">
        <v>498</v>
      </c>
      <c r="B467" t="s">
        <v>515</v>
      </c>
      <c r="C467" t="s">
        <v>133</v>
      </c>
      <c r="D467">
        <v>-7.9799689999999996</v>
      </c>
      <c r="E467">
        <v>21.042310000000001</v>
      </c>
      <c r="F467" t="s">
        <v>14</v>
      </c>
      <c r="G467" t="s">
        <v>19</v>
      </c>
    </row>
    <row r="468" spans="1:7" x14ac:dyDescent="0.25">
      <c r="A468" t="s">
        <v>498</v>
      </c>
      <c r="B468" t="s">
        <v>516</v>
      </c>
      <c r="C468" t="s">
        <v>62</v>
      </c>
      <c r="D468">
        <v>0.82399199999999995</v>
      </c>
      <c r="E468">
        <v>28.232678</v>
      </c>
      <c r="F468" t="s">
        <v>18</v>
      </c>
      <c r="G468" t="s">
        <v>15</v>
      </c>
    </row>
    <row r="469" spans="1:7" x14ac:dyDescent="0.25">
      <c r="A469" t="s">
        <v>498</v>
      </c>
      <c r="B469" t="s">
        <v>517</v>
      </c>
      <c r="C469" t="s">
        <v>32</v>
      </c>
      <c r="D469">
        <v>-11.055339999999999</v>
      </c>
      <c r="E469">
        <v>21.627016000000001</v>
      </c>
      <c r="F469" t="s">
        <v>10</v>
      </c>
      <c r="G469" t="s">
        <v>35</v>
      </c>
    </row>
    <row r="470" spans="1:7" x14ac:dyDescent="0.25">
      <c r="A470" t="s">
        <v>498</v>
      </c>
      <c r="B470" t="s">
        <v>518</v>
      </c>
      <c r="C470" t="s">
        <v>85</v>
      </c>
      <c r="D470">
        <v>-4.0490719999999998</v>
      </c>
      <c r="E470">
        <v>21.399131000000001</v>
      </c>
      <c r="F470" t="s">
        <v>18</v>
      </c>
      <c r="G470" t="s">
        <v>19</v>
      </c>
    </row>
    <row r="471" spans="1:7" x14ac:dyDescent="0.25">
      <c r="A471" t="s">
        <v>498</v>
      </c>
      <c r="B471" t="s">
        <v>519</v>
      </c>
      <c r="C471" t="s">
        <v>55</v>
      </c>
      <c r="D471">
        <v>-1.6893210000000001</v>
      </c>
      <c r="E471">
        <v>30.446543999999999</v>
      </c>
      <c r="F471" t="s">
        <v>14</v>
      </c>
      <c r="G471" t="s">
        <v>15</v>
      </c>
    </row>
    <row r="472" spans="1:7" x14ac:dyDescent="0.25">
      <c r="A472" t="s">
        <v>498</v>
      </c>
      <c r="B472" t="s">
        <v>520</v>
      </c>
      <c r="C472" t="s">
        <v>30</v>
      </c>
      <c r="D472">
        <v>-10.577049000000001</v>
      </c>
      <c r="E472">
        <v>23.721854</v>
      </c>
      <c r="F472" t="s">
        <v>14</v>
      </c>
      <c r="G472" t="s">
        <v>19</v>
      </c>
    </row>
    <row r="473" spans="1:7" x14ac:dyDescent="0.25">
      <c r="A473" t="s">
        <v>498</v>
      </c>
      <c r="B473" t="s">
        <v>521</v>
      </c>
      <c r="C473" t="s">
        <v>41</v>
      </c>
      <c r="D473">
        <v>-11.207139</v>
      </c>
      <c r="E473">
        <v>18.702511999999999</v>
      </c>
      <c r="F473" t="s">
        <v>10</v>
      </c>
      <c r="G473" t="s">
        <v>11</v>
      </c>
    </row>
    <row r="474" spans="1:7" x14ac:dyDescent="0.25">
      <c r="A474" t="s">
        <v>498</v>
      </c>
      <c r="B474" t="s">
        <v>522</v>
      </c>
      <c r="C474" t="s">
        <v>47</v>
      </c>
      <c r="D474">
        <v>-12.048655999999999</v>
      </c>
      <c r="E474">
        <v>30.577876</v>
      </c>
      <c r="F474" t="s">
        <v>10</v>
      </c>
      <c r="G474" t="s">
        <v>19</v>
      </c>
    </row>
    <row r="475" spans="1:7" x14ac:dyDescent="0.25">
      <c r="A475" t="s">
        <v>498</v>
      </c>
      <c r="B475" t="s">
        <v>523</v>
      </c>
      <c r="C475" t="s">
        <v>27</v>
      </c>
      <c r="D475">
        <v>-11.771884</v>
      </c>
      <c r="E475">
        <v>18.089172999999999</v>
      </c>
      <c r="F475" t="s">
        <v>14</v>
      </c>
      <c r="G475" t="s">
        <v>35</v>
      </c>
    </row>
    <row r="476" spans="1:7" x14ac:dyDescent="0.25">
      <c r="A476" t="s">
        <v>498</v>
      </c>
      <c r="B476" t="s">
        <v>524</v>
      </c>
      <c r="C476" t="s">
        <v>30</v>
      </c>
      <c r="D476">
        <v>-0.79406600000000005</v>
      </c>
      <c r="E476">
        <v>12.534793000000001</v>
      </c>
      <c r="F476" t="s">
        <v>18</v>
      </c>
      <c r="G476" t="s">
        <v>15</v>
      </c>
    </row>
    <row r="477" spans="1:7" x14ac:dyDescent="0.25">
      <c r="A477" t="s">
        <v>498</v>
      </c>
      <c r="B477" t="s">
        <v>525</v>
      </c>
      <c r="C477" t="s">
        <v>55</v>
      </c>
      <c r="D477">
        <v>4.497306</v>
      </c>
      <c r="E477">
        <v>12.857251</v>
      </c>
      <c r="F477" t="s">
        <v>10</v>
      </c>
      <c r="G477" t="s">
        <v>11</v>
      </c>
    </row>
    <row r="478" spans="1:7" x14ac:dyDescent="0.25">
      <c r="A478" t="s">
        <v>498</v>
      </c>
      <c r="B478" t="s">
        <v>526</v>
      </c>
      <c r="C478" t="s">
        <v>30</v>
      </c>
      <c r="D478">
        <v>-6.1126060000000004</v>
      </c>
      <c r="E478">
        <v>27.901748999999999</v>
      </c>
      <c r="F478" t="s">
        <v>14</v>
      </c>
      <c r="G478" t="s">
        <v>19</v>
      </c>
    </row>
    <row r="479" spans="1:7" x14ac:dyDescent="0.25">
      <c r="A479" t="s">
        <v>498</v>
      </c>
      <c r="B479" t="s">
        <v>527</v>
      </c>
      <c r="C479" t="s">
        <v>13</v>
      </c>
      <c r="D479">
        <v>-0.77432100000000004</v>
      </c>
      <c r="E479">
        <v>18.628658999999999</v>
      </c>
      <c r="F479" t="s">
        <v>14</v>
      </c>
      <c r="G479" t="s">
        <v>15</v>
      </c>
    </row>
    <row r="480" spans="1:7" x14ac:dyDescent="0.25">
      <c r="A480" t="s">
        <v>498</v>
      </c>
      <c r="B480" t="s">
        <v>528</v>
      </c>
      <c r="C480" t="s">
        <v>34</v>
      </c>
      <c r="D480">
        <v>-10.25074</v>
      </c>
      <c r="E480">
        <v>26.099086</v>
      </c>
      <c r="F480" t="s">
        <v>14</v>
      </c>
      <c r="G480" t="s">
        <v>15</v>
      </c>
    </row>
    <row r="481" spans="1:7" x14ac:dyDescent="0.25">
      <c r="A481" t="s">
        <v>498</v>
      </c>
      <c r="B481" t="s">
        <v>529</v>
      </c>
      <c r="C481" t="s">
        <v>9</v>
      </c>
      <c r="D481">
        <v>-1.8045979999999999</v>
      </c>
      <c r="E481">
        <v>12.511096999999999</v>
      </c>
      <c r="F481" t="s">
        <v>18</v>
      </c>
      <c r="G481" t="s">
        <v>15</v>
      </c>
    </row>
    <row r="482" spans="1:7" x14ac:dyDescent="0.25">
      <c r="A482" t="s">
        <v>498</v>
      </c>
      <c r="B482" t="s">
        <v>530</v>
      </c>
      <c r="C482" t="s">
        <v>21</v>
      </c>
      <c r="D482">
        <v>-11.265995</v>
      </c>
      <c r="E482">
        <v>28.935514999999999</v>
      </c>
      <c r="F482" t="s">
        <v>14</v>
      </c>
      <c r="G482" t="s">
        <v>11</v>
      </c>
    </row>
    <row r="483" spans="1:7" x14ac:dyDescent="0.25">
      <c r="A483" t="s">
        <v>498</v>
      </c>
      <c r="B483" t="s">
        <v>531</v>
      </c>
      <c r="C483" t="s">
        <v>30</v>
      </c>
      <c r="D483">
        <v>-11.622688999999999</v>
      </c>
      <c r="E483">
        <v>18.483874</v>
      </c>
      <c r="F483" t="s">
        <v>10</v>
      </c>
      <c r="G483" t="s">
        <v>19</v>
      </c>
    </row>
    <row r="484" spans="1:7" x14ac:dyDescent="0.25">
      <c r="A484" t="s">
        <v>498</v>
      </c>
      <c r="B484" t="s">
        <v>532</v>
      </c>
      <c r="C484" t="s">
        <v>30</v>
      </c>
      <c r="D484">
        <v>0.52897499999999997</v>
      </c>
      <c r="E484">
        <v>13.849651</v>
      </c>
      <c r="F484" t="s">
        <v>18</v>
      </c>
      <c r="G484" t="s">
        <v>19</v>
      </c>
    </row>
    <row r="485" spans="1:7" x14ac:dyDescent="0.25">
      <c r="A485" t="s">
        <v>498</v>
      </c>
      <c r="B485" t="s">
        <v>533</v>
      </c>
      <c r="C485" t="s">
        <v>96</v>
      </c>
      <c r="D485">
        <v>0.81629799999999997</v>
      </c>
      <c r="E485">
        <v>18.557718000000001</v>
      </c>
      <c r="F485" t="s">
        <v>10</v>
      </c>
      <c r="G485" t="s">
        <v>11</v>
      </c>
    </row>
    <row r="486" spans="1:7" x14ac:dyDescent="0.25">
      <c r="A486" t="s">
        <v>498</v>
      </c>
      <c r="B486" t="s">
        <v>534</v>
      </c>
      <c r="C486" t="s">
        <v>13</v>
      </c>
      <c r="D486">
        <v>1.2691650000000001</v>
      </c>
      <c r="E486">
        <v>18.789956</v>
      </c>
      <c r="F486" t="s">
        <v>18</v>
      </c>
      <c r="G486" t="s">
        <v>35</v>
      </c>
    </row>
    <row r="487" spans="1:7" x14ac:dyDescent="0.25">
      <c r="A487" t="s">
        <v>498</v>
      </c>
      <c r="B487" t="s">
        <v>535</v>
      </c>
      <c r="C487" t="s">
        <v>76</v>
      </c>
      <c r="D487">
        <v>-9.3652280000000001</v>
      </c>
      <c r="E487">
        <v>18.674116000000001</v>
      </c>
      <c r="F487" t="s">
        <v>14</v>
      </c>
      <c r="G487" t="s">
        <v>15</v>
      </c>
    </row>
    <row r="488" spans="1:7" x14ac:dyDescent="0.25">
      <c r="A488" t="s">
        <v>498</v>
      </c>
      <c r="B488" t="s">
        <v>536</v>
      </c>
      <c r="C488" t="s">
        <v>34</v>
      </c>
      <c r="D488">
        <v>-1.082322</v>
      </c>
      <c r="E488">
        <v>24.563559999999999</v>
      </c>
      <c r="F488" t="s">
        <v>14</v>
      </c>
      <c r="G488" t="s">
        <v>19</v>
      </c>
    </row>
    <row r="489" spans="1:7" x14ac:dyDescent="0.25">
      <c r="A489" t="s">
        <v>498</v>
      </c>
      <c r="B489" t="s">
        <v>537</v>
      </c>
      <c r="C489" t="s">
        <v>34</v>
      </c>
      <c r="D489">
        <v>-4.1754939999999996</v>
      </c>
      <c r="E489">
        <v>16.704664999999999</v>
      </c>
      <c r="F489" t="s">
        <v>18</v>
      </c>
      <c r="G489" t="s">
        <v>11</v>
      </c>
    </row>
    <row r="490" spans="1:7" x14ac:dyDescent="0.25">
      <c r="A490" t="s">
        <v>498</v>
      </c>
      <c r="B490" t="s">
        <v>538</v>
      </c>
      <c r="C490" t="s">
        <v>17</v>
      </c>
      <c r="D490">
        <v>-8.290025</v>
      </c>
      <c r="E490">
        <v>24.313573999999999</v>
      </c>
      <c r="F490" t="s">
        <v>14</v>
      </c>
      <c r="G490" t="s">
        <v>11</v>
      </c>
    </row>
    <row r="491" spans="1:7" x14ac:dyDescent="0.25">
      <c r="A491" t="s">
        <v>498</v>
      </c>
      <c r="B491" t="s">
        <v>539</v>
      </c>
      <c r="C491" t="s">
        <v>37</v>
      </c>
      <c r="D491">
        <v>-6.8149179999999996</v>
      </c>
      <c r="E491">
        <v>23.258102000000001</v>
      </c>
      <c r="F491" t="s">
        <v>10</v>
      </c>
      <c r="G491" t="s">
        <v>15</v>
      </c>
    </row>
    <row r="492" spans="1:7" x14ac:dyDescent="0.25">
      <c r="A492" t="s">
        <v>498</v>
      </c>
      <c r="B492" t="s">
        <v>540</v>
      </c>
      <c r="C492" t="s">
        <v>13</v>
      </c>
      <c r="D492">
        <v>2.4741019999999998</v>
      </c>
      <c r="E492">
        <v>29.297391000000001</v>
      </c>
      <c r="F492" t="s">
        <v>14</v>
      </c>
      <c r="G492" t="s">
        <v>11</v>
      </c>
    </row>
    <row r="493" spans="1:7" x14ac:dyDescent="0.25">
      <c r="A493" t="s">
        <v>498</v>
      </c>
      <c r="B493" t="s">
        <v>541</v>
      </c>
      <c r="C493" t="s">
        <v>82</v>
      </c>
      <c r="D493">
        <v>-3.1608390000000002</v>
      </c>
      <c r="E493">
        <v>13.244503999999999</v>
      </c>
      <c r="F493" t="s">
        <v>18</v>
      </c>
      <c r="G493" t="s">
        <v>15</v>
      </c>
    </row>
    <row r="494" spans="1:7" x14ac:dyDescent="0.25">
      <c r="A494" t="s">
        <v>498</v>
      </c>
      <c r="B494" t="s">
        <v>542</v>
      </c>
      <c r="C494" t="s">
        <v>47</v>
      </c>
      <c r="D494">
        <v>4.1464489999999996</v>
      </c>
      <c r="E494">
        <v>17.793337000000001</v>
      </c>
      <c r="F494" t="s">
        <v>10</v>
      </c>
      <c r="G494" t="s">
        <v>19</v>
      </c>
    </row>
    <row r="495" spans="1:7" x14ac:dyDescent="0.25">
      <c r="A495" t="s">
        <v>498</v>
      </c>
      <c r="B495" t="s">
        <v>543</v>
      </c>
      <c r="C495" t="s">
        <v>96</v>
      </c>
      <c r="D495">
        <v>-12.431227</v>
      </c>
      <c r="E495">
        <v>18.414290999999999</v>
      </c>
      <c r="F495" t="s">
        <v>10</v>
      </c>
      <c r="G495" t="s">
        <v>15</v>
      </c>
    </row>
    <row r="496" spans="1:7" x14ac:dyDescent="0.25">
      <c r="A496" t="s">
        <v>498</v>
      </c>
      <c r="B496" t="s">
        <v>544</v>
      </c>
      <c r="C496" t="s">
        <v>41</v>
      </c>
      <c r="D496">
        <v>-5.2526849999999996</v>
      </c>
      <c r="E496">
        <v>12.374528</v>
      </c>
      <c r="F496" t="s">
        <v>18</v>
      </c>
      <c r="G496" t="s">
        <v>35</v>
      </c>
    </row>
    <row r="497" spans="1:7" x14ac:dyDescent="0.25">
      <c r="A497" t="s">
        <v>498</v>
      </c>
      <c r="B497" t="s">
        <v>545</v>
      </c>
      <c r="C497" t="s">
        <v>32</v>
      </c>
      <c r="D497">
        <v>3.4689049999999999</v>
      </c>
      <c r="E497">
        <v>18.19622</v>
      </c>
      <c r="F497" t="s">
        <v>10</v>
      </c>
      <c r="G497" t="s">
        <v>15</v>
      </c>
    </row>
    <row r="498" spans="1:7" x14ac:dyDescent="0.25">
      <c r="A498" t="s">
        <v>498</v>
      </c>
      <c r="B498" t="s">
        <v>546</v>
      </c>
      <c r="C498" t="s">
        <v>24</v>
      </c>
      <c r="D498">
        <v>-6.0946619999999996</v>
      </c>
      <c r="E498">
        <v>20.757277999999999</v>
      </c>
      <c r="F498" t="s">
        <v>10</v>
      </c>
      <c r="G498" t="s">
        <v>15</v>
      </c>
    </row>
    <row r="499" spans="1:7" x14ac:dyDescent="0.25">
      <c r="A499" t="s">
        <v>498</v>
      </c>
      <c r="B499" t="s">
        <v>547</v>
      </c>
      <c r="C499" t="s">
        <v>32</v>
      </c>
      <c r="D499">
        <v>-7.3379339999999997</v>
      </c>
      <c r="E499">
        <v>28.404001999999998</v>
      </c>
      <c r="F499" t="s">
        <v>18</v>
      </c>
      <c r="G499" t="s">
        <v>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A7AC-AC59-4C25-A92F-D23BB598A810}">
  <sheetPr>
    <tabColor rgb="FFFF0000"/>
  </sheetPr>
  <dimension ref="A1:H1069"/>
  <sheetViews>
    <sheetView workbookViewId="0">
      <selection sqref="A1:A1048576"/>
    </sheetView>
  </sheetViews>
  <sheetFormatPr baseColWidth="10" defaultRowHeight="15" x14ac:dyDescent="0.25"/>
  <cols>
    <col min="1" max="1" width="20.5703125" bestFit="1" customWidth="1"/>
    <col min="2" max="2" width="21.85546875" bestFit="1" customWidth="1"/>
    <col min="3" max="3" width="9.85546875" bestFit="1" customWidth="1"/>
    <col min="4" max="4" width="19.5703125" bestFit="1" customWidth="1"/>
    <col min="5" max="5" width="19.5703125" customWidth="1"/>
    <col min="6" max="8" width="22" bestFit="1" customWidth="1"/>
  </cols>
  <sheetData>
    <row r="1" spans="1:8" x14ac:dyDescent="0.25">
      <c r="A1" t="s">
        <v>1307</v>
      </c>
      <c r="B1" t="s">
        <v>1676</v>
      </c>
      <c r="C1" t="s">
        <v>1308</v>
      </c>
      <c r="D1" t="s">
        <v>1309</v>
      </c>
      <c r="E1" t="s">
        <v>1310</v>
      </c>
      <c r="F1" t="s">
        <v>2</v>
      </c>
      <c r="G1" t="s">
        <v>5</v>
      </c>
      <c r="H1" t="s">
        <v>6</v>
      </c>
    </row>
    <row r="2" spans="1:8" x14ac:dyDescent="0.25">
      <c r="A2" s="1">
        <v>45205.013888888891</v>
      </c>
      <c r="B2" s="4">
        <f>Log_Reseau_Master[[#This Row],[Duree_Panne_Min]]/1440</f>
        <v>2.4305555555555556E-2</v>
      </c>
      <c r="C2" t="s">
        <v>428</v>
      </c>
      <c r="D2">
        <v>35</v>
      </c>
      <c r="E2" t="s">
        <v>1312</v>
      </c>
      <c r="F2" t="str">
        <f>_xlfn.XLOOKUP(Log_Reseau_Master[[#This Row],[Cell_ID]],_29_03_2026_Registre_Maintenance_V2[ID_Antenne],_29_03_2026_Registre_Maintenance_V2[Province_RDC],"Pas de correspondance")</f>
        <v>Nord-Ubangi</v>
      </c>
      <c r="G2" t="str">
        <f>_xlfn.XLOOKUP(Log_Reseau_Master[[#This Row],[Cell_ID]],_29_03_2026_Registre_Maintenance_V2[ID_Antenne],_29_03_2026_Registre_Maintenance_V2[Technologie],"Pas de correspondance")</f>
        <v>4G</v>
      </c>
      <c r="H2" t="str">
        <f>_xlfn.XLOOKUP(Log_Reseau_Master[[#This Row],[Cell_ID]],_29_03_2026_Registre_Maintenance_V2[ID_Antenne],_29_03_2026_Registre_Maintenance_V2[Equipementier],"Pas de correspondance")</f>
        <v>ZTE</v>
      </c>
    </row>
    <row r="3" spans="1:8" x14ac:dyDescent="0.25">
      <c r="A3" s="1">
        <v>45203.517361111109</v>
      </c>
      <c r="B3" s="4">
        <f>Log_Reseau_Master[[#This Row],[Duree_Panne_Min]]/1440</f>
        <v>1.8055555555555554E-2</v>
      </c>
      <c r="C3" t="s">
        <v>428</v>
      </c>
      <c r="D3">
        <v>26</v>
      </c>
      <c r="E3" t="s">
        <v>1314</v>
      </c>
      <c r="F3" t="str">
        <f>_xlfn.XLOOKUP(Log_Reseau_Master[[#This Row],[Cell_ID]],_29_03_2026_Registre_Maintenance_V2[ID_Antenne],_29_03_2026_Registre_Maintenance_V2[Province_RDC],"Pas de correspondance")</f>
        <v>Nord-Ubangi</v>
      </c>
      <c r="G3" t="str">
        <f>_xlfn.XLOOKUP(Log_Reseau_Master[[#This Row],[Cell_ID]],_29_03_2026_Registre_Maintenance_V2[ID_Antenne],_29_03_2026_Registre_Maintenance_V2[Technologie],"Pas de correspondance")</f>
        <v>4G</v>
      </c>
      <c r="H3" t="str">
        <f>_xlfn.XLOOKUP(Log_Reseau_Master[[#This Row],[Cell_ID]],_29_03_2026_Registre_Maintenance_V2[ID_Antenne],_29_03_2026_Registre_Maintenance_V2[Equipementier],"Pas de correspondance")</f>
        <v>ZTE</v>
      </c>
    </row>
    <row r="4" spans="1:8" x14ac:dyDescent="0.25">
      <c r="A4" s="1">
        <v>45211.279166666667</v>
      </c>
      <c r="B4" s="4">
        <f>Log_Reseau_Master[[#This Row],[Duree_Panne_Min]]/1440</f>
        <v>5.2083333333333336E-2</v>
      </c>
      <c r="C4" t="s">
        <v>428</v>
      </c>
      <c r="D4">
        <v>75</v>
      </c>
      <c r="E4" t="s">
        <v>1314</v>
      </c>
      <c r="F4" t="str">
        <f>_xlfn.XLOOKUP(Log_Reseau_Master[[#This Row],[Cell_ID]],_29_03_2026_Registre_Maintenance_V2[ID_Antenne],_29_03_2026_Registre_Maintenance_V2[Province_RDC],"Pas de correspondance")</f>
        <v>Nord-Ubangi</v>
      </c>
      <c r="G4" t="str">
        <f>_xlfn.XLOOKUP(Log_Reseau_Master[[#This Row],[Cell_ID]],_29_03_2026_Registre_Maintenance_V2[ID_Antenne],_29_03_2026_Registre_Maintenance_V2[Technologie],"Pas de correspondance")</f>
        <v>4G</v>
      </c>
      <c r="H4" t="str">
        <f>_xlfn.XLOOKUP(Log_Reseau_Master[[#This Row],[Cell_ID]],_29_03_2026_Registre_Maintenance_V2[ID_Antenne],_29_03_2026_Registre_Maintenance_V2[Equipementier],"Pas de correspondance")</f>
        <v>ZTE</v>
      </c>
    </row>
    <row r="5" spans="1:8" x14ac:dyDescent="0.25">
      <c r="A5" s="1">
        <v>45224.568055555559</v>
      </c>
      <c r="B5" s="4">
        <f>Log_Reseau_Master[[#This Row],[Duree_Panne_Min]]/1440</f>
        <v>1.8749999999999999E-2</v>
      </c>
      <c r="C5" t="s">
        <v>298</v>
      </c>
      <c r="D5">
        <v>27</v>
      </c>
      <c r="E5" t="s">
        <v>1314</v>
      </c>
      <c r="F5" t="str">
        <f>_xlfn.XLOOKUP(Log_Reseau_Master[[#This Row],[Cell_ID]],_29_03_2026_Registre_Maintenance_V2[ID_Antenne],_29_03_2026_Registre_Maintenance_V2[Province_RDC],"Pas de correspondance")</f>
        <v>Mai-Ndombe</v>
      </c>
      <c r="G5" t="str">
        <f>_xlfn.XLOOKUP(Log_Reseau_Master[[#This Row],[Cell_ID]],_29_03_2026_Registre_Maintenance_V2[ID_Antenne],_29_03_2026_Registre_Maintenance_V2[Technologie],"Pas de correspondance")</f>
        <v>4G</v>
      </c>
      <c r="H5" t="str">
        <f>_xlfn.XLOOKUP(Log_Reseau_Master[[#This Row],[Cell_ID]],_29_03_2026_Registre_Maintenance_V2[ID_Antenne],_29_03_2026_Registre_Maintenance_V2[Equipementier],"Pas de correspondance")</f>
        <v>Nokia</v>
      </c>
    </row>
    <row r="6" spans="1:8" hidden="1" x14ac:dyDescent="0.25">
      <c r="A6" s="1">
        <v>45208.301388888889</v>
      </c>
      <c r="B6">
        <f>Log_Reseau_Master[[#This Row],[Duree_Panne_Min]]/1440</f>
        <v>2.6388888888888889E-2</v>
      </c>
      <c r="C6" t="s">
        <v>1317</v>
      </c>
      <c r="D6">
        <v>38</v>
      </c>
      <c r="E6" t="s">
        <v>1314</v>
      </c>
      <c r="F6" t="str">
        <f>_xlfn.XLOOKUP(Log_Reseau_Master[[#This Row],[Cell_ID]],_29_03_2026_Registre_Maintenance_V2[ID_Antenne],_29_03_2026_Registre_Maintenance_V2[Province_RDC],"Pas de correspondance")</f>
        <v>Pas de correspondance</v>
      </c>
      <c r="G6" t="str">
        <f>_xlfn.XLOOKUP(Log_Reseau_Master[[#This Row],[Cell_ID]],_29_03_2026_Registre_Maintenance_V2[ID_Antenne],_29_03_2026_Registre_Maintenance_V2[Technologie],"Pas de correspondance")</f>
        <v>Pas de correspondance</v>
      </c>
      <c r="H6" t="str">
        <f>_xlfn.XLOOKUP(Log_Reseau_Master[[#This Row],[Cell_ID]],_29_03_2026_Registre_Maintenance_V2[ID_Antenne],_29_03_2026_Registre_Maintenance_V2[Equipementier],"Pas de correspondance")</f>
        <v>Pas de correspondance</v>
      </c>
    </row>
    <row r="7" spans="1:8" hidden="1" x14ac:dyDescent="0.25">
      <c r="A7" s="1">
        <v>45216.950694444444</v>
      </c>
      <c r="B7">
        <f>Log_Reseau_Master[[#This Row],[Duree_Panne_Min]]/1440</f>
        <v>8.3333333333333332E-3</v>
      </c>
      <c r="C7" t="s">
        <v>1317</v>
      </c>
      <c r="D7">
        <v>12</v>
      </c>
      <c r="E7" t="s">
        <v>1314</v>
      </c>
      <c r="F7" t="str">
        <f>_xlfn.XLOOKUP(Log_Reseau_Master[[#This Row],[Cell_ID]],_29_03_2026_Registre_Maintenance_V2[ID_Antenne],_29_03_2026_Registre_Maintenance_V2[Province_RDC],"Pas de correspondance")</f>
        <v>Pas de correspondance</v>
      </c>
      <c r="G7" t="str">
        <f>_xlfn.XLOOKUP(Log_Reseau_Master[[#This Row],[Cell_ID]],_29_03_2026_Registre_Maintenance_V2[ID_Antenne],_29_03_2026_Registre_Maintenance_V2[Technologie],"Pas de correspondance")</f>
        <v>Pas de correspondance</v>
      </c>
      <c r="H7" t="str">
        <f>_xlfn.XLOOKUP(Log_Reseau_Master[[#This Row],[Cell_ID]],_29_03_2026_Registre_Maintenance_V2[ID_Antenne],_29_03_2026_Registre_Maintenance_V2[Equipementier],"Pas de correspondance")</f>
        <v>Pas de correspondance</v>
      </c>
    </row>
    <row r="8" spans="1:8" hidden="1" x14ac:dyDescent="0.25">
      <c r="A8" s="1">
        <v>45226.003472222219</v>
      </c>
      <c r="B8">
        <f>Log_Reseau_Master[[#This Row],[Duree_Panne_Min]]/1440</f>
        <v>7.7083333333333337E-2</v>
      </c>
      <c r="C8" t="s">
        <v>1317</v>
      </c>
      <c r="D8">
        <v>111</v>
      </c>
      <c r="E8" t="s">
        <v>1314</v>
      </c>
      <c r="F8" t="str">
        <f>_xlfn.XLOOKUP(Log_Reseau_Master[[#This Row],[Cell_ID]],_29_03_2026_Registre_Maintenance_V2[ID_Antenne],_29_03_2026_Registre_Maintenance_V2[Province_RDC],"Pas de correspondance")</f>
        <v>Pas de correspondance</v>
      </c>
      <c r="G8" t="str">
        <f>_xlfn.XLOOKUP(Log_Reseau_Master[[#This Row],[Cell_ID]],_29_03_2026_Registre_Maintenance_V2[ID_Antenne],_29_03_2026_Registre_Maintenance_V2[Technologie],"Pas de correspondance")</f>
        <v>Pas de correspondance</v>
      </c>
      <c r="H8" t="str">
        <f>_xlfn.XLOOKUP(Log_Reseau_Master[[#This Row],[Cell_ID]],_29_03_2026_Registre_Maintenance_V2[ID_Antenne],_29_03_2026_Registre_Maintenance_V2[Equipementier],"Pas de correspondance")</f>
        <v>Pas de correspondance</v>
      </c>
    </row>
    <row r="9" spans="1:8" x14ac:dyDescent="0.25">
      <c r="A9" s="1">
        <v>45230.868055555555</v>
      </c>
      <c r="B9" s="4">
        <f>Log_Reseau_Master[[#This Row],[Duree_Panne_Min]]/1440</f>
        <v>7.1527777777777773E-2</v>
      </c>
      <c r="C9" t="s">
        <v>329</v>
      </c>
      <c r="D9">
        <v>103</v>
      </c>
      <c r="E9" t="s">
        <v>1321</v>
      </c>
      <c r="F9" t="str">
        <f>_xlfn.XLOOKUP(Log_Reseau_Master[[#This Row],[Cell_ID]],_29_03_2026_Registre_Maintenance_V2[ID_Antenne],_29_03_2026_Registre_Maintenance_V2[Province_RDC],"Pas de correspondance")</f>
        <v>Bas-Uele</v>
      </c>
      <c r="G9" t="str">
        <f>_xlfn.XLOOKUP(Log_Reseau_Master[[#This Row],[Cell_ID]],_29_03_2026_Registre_Maintenance_V2[ID_Antenne],_29_03_2026_Registre_Maintenance_V2[Technologie],"Pas de correspondance")</f>
        <v>5G</v>
      </c>
      <c r="H9" t="str">
        <f>_xlfn.XLOOKUP(Log_Reseau_Master[[#This Row],[Cell_ID]],_29_03_2026_Registre_Maintenance_V2[ID_Antenne],_29_03_2026_Registre_Maintenance_V2[Equipementier],"Pas de correspondance")</f>
        <v>Huawei</v>
      </c>
    </row>
    <row r="10" spans="1:8" x14ac:dyDescent="0.25">
      <c r="A10" s="1">
        <v>45230.429166666669</v>
      </c>
      <c r="B10" s="4">
        <f>Log_Reseau_Master[[#This Row],[Duree_Panne_Min]]/1440</f>
        <v>7.6388888888888886E-3</v>
      </c>
      <c r="C10" t="s">
        <v>329</v>
      </c>
      <c r="D10">
        <v>11</v>
      </c>
      <c r="E10" t="s">
        <v>1321</v>
      </c>
      <c r="F10" t="str">
        <f>_xlfn.XLOOKUP(Log_Reseau_Master[[#This Row],[Cell_ID]],_29_03_2026_Registre_Maintenance_V2[ID_Antenne],_29_03_2026_Registre_Maintenance_V2[Province_RDC],"Pas de correspondance")</f>
        <v>Bas-Uele</v>
      </c>
      <c r="G10" t="str">
        <f>_xlfn.XLOOKUP(Log_Reseau_Master[[#This Row],[Cell_ID]],_29_03_2026_Registre_Maintenance_V2[ID_Antenne],_29_03_2026_Registre_Maintenance_V2[Technologie],"Pas de correspondance")</f>
        <v>5G</v>
      </c>
      <c r="H10" t="str">
        <f>_xlfn.XLOOKUP(Log_Reseau_Master[[#This Row],[Cell_ID]],_29_03_2026_Registre_Maintenance_V2[ID_Antenne],_29_03_2026_Registre_Maintenance_V2[Equipementier],"Pas de correspondance")</f>
        <v>Huawei</v>
      </c>
    </row>
    <row r="11" spans="1:8" x14ac:dyDescent="0.25">
      <c r="A11" s="1">
        <v>45221.565972222219</v>
      </c>
      <c r="B11" s="4">
        <f>Log_Reseau_Master[[#This Row],[Duree_Panne_Min]]/1440</f>
        <v>6.0416666666666667E-2</v>
      </c>
      <c r="C11" t="s">
        <v>180</v>
      </c>
      <c r="D11">
        <v>87</v>
      </c>
      <c r="E11" t="s">
        <v>1312</v>
      </c>
      <c r="F11" t="str">
        <f>_xlfn.XLOOKUP(Log_Reseau_Master[[#This Row],[Cell_ID]],_29_03_2026_Registre_Maintenance_V2[ID_Antenne],_29_03_2026_Registre_Maintenance_V2[Province_RDC],"Pas de correspondance")</f>
        <v>Tshopo</v>
      </c>
      <c r="G11" t="str">
        <f>_xlfn.XLOOKUP(Log_Reseau_Master[[#This Row],[Cell_ID]],_29_03_2026_Registre_Maintenance_V2[ID_Antenne],_29_03_2026_Registre_Maintenance_V2[Technologie],"Pas de correspondance")</f>
        <v>5G</v>
      </c>
      <c r="H11" t="str">
        <f>_xlfn.XLOOKUP(Log_Reseau_Master[[#This Row],[Cell_ID]],_29_03_2026_Registre_Maintenance_V2[ID_Antenne],_29_03_2026_Registre_Maintenance_V2[Equipementier],"Pas de correspondance")</f>
        <v>ZTE</v>
      </c>
    </row>
    <row r="12" spans="1:8" x14ac:dyDescent="0.25">
      <c r="A12" s="1">
        <v>45222.501388888886</v>
      </c>
      <c r="B12" s="4">
        <f>Log_Reseau_Master[[#This Row],[Duree_Panne_Min]]/1440</f>
        <v>2.7083333333333334E-2</v>
      </c>
      <c r="C12" t="s">
        <v>330</v>
      </c>
      <c r="D12">
        <v>39</v>
      </c>
      <c r="E12" t="s">
        <v>1314</v>
      </c>
      <c r="F12" t="str">
        <f>_xlfn.XLOOKUP(Log_Reseau_Master[[#This Row],[Cell_ID]],_29_03_2026_Registre_Maintenance_V2[ID_Antenne],_29_03_2026_Registre_Maintenance_V2[Province_RDC],"Pas de correspondance")</f>
        <v>Haut-Lomami</v>
      </c>
      <c r="G12" t="str">
        <f>_xlfn.XLOOKUP(Log_Reseau_Master[[#This Row],[Cell_ID]],_29_03_2026_Registre_Maintenance_V2[ID_Antenne],_29_03_2026_Registre_Maintenance_V2[Technologie],"Pas de correspondance")</f>
        <v>3G</v>
      </c>
      <c r="H12" t="str">
        <f>_xlfn.XLOOKUP(Log_Reseau_Master[[#This Row],[Cell_ID]],_29_03_2026_Registre_Maintenance_V2[ID_Antenne],_29_03_2026_Registre_Maintenance_V2[Equipementier],"Pas de correspondance")</f>
        <v>ZTE</v>
      </c>
    </row>
    <row r="13" spans="1:8" x14ac:dyDescent="0.25">
      <c r="A13" s="1">
        <v>45210.835416666669</v>
      </c>
      <c r="B13" s="4">
        <f>Log_Reseau_Master[[#This Row],[Duree_Panne_Min]]/1440</f>
        <v>5.5555555555555552E-2</v>
      </c>
      <c r="C13" t="s">
        <v>491</v>
      </c>
      <c r="D13">
        <v>80</v>
      </c>
      <c r="E13" t="s">
        <v>1312</v>
      </c>
      <c r="F13" t="str">
        <f>_xlfn.XLOOKUP(Log_Reseau_Master[[#This Row],[Cell_ID]],_29_03_2026_Registre_Maintenance_V2[ID_Antenne],_29_03_2026_Registre_Maintenance_V2[Province_RDC],"Pas de correspondance")</f>
        <v>Haut-Katanga</v>
      </c>
      <c r="G13" t="str">
        <f>_xlfn.XLOOKUP(Log_Reseau_Master[[#This Row],[Cell_ID]],_29_03_2026_Registre_Maintenance_V2[ID_Antenne],_29_03_2026_Registre_Maintenance_V2[Technologie],"Pas de correspondance")</f>
        <v>3G</v>
      </c>
      <c r="H13" t="str">
        <f>_xlfn.XLOOKUP(Log_Reseau_Master[[#This Row],[Cell_ID]],_29_03_2026_Registre_Maintenance_V2[ID_Antenne],_29_03_2026_Registre_Maintenance_V2[Equipementier],"Pas de correspondance")</f>
        <v>Ericsson</v>
      </c>
    </row>
    <row r="14" spans="1:8" x14ac:dyDescent="0.25">
      <c r="A14" s="1">
        <v>45223.418749999997</v>
      </c>
      <c r="B14" s="4">
        <f>Log_Reseau_Master[[#This Row],[Duree_Panne_Min]]/1440</f>
        <v>6.1805555555555558E-2</v>
      </c>
      <c r="C14" t="s">
        <v>491</v>
      </c>
      <c r="D14">
        <v>89</v>
      </c>
      <c r="E14" t="s">
        <v>1314</v>
      </c>
      <c r="F14" t="str">
        <f>_xlfn.XLOOKUP(Log_Reseau_Master[[#This Row],[Cell_ID]],_29_03_2026_Registre_Maintenance_V2[ID_Antenne],_29_03_2026_Registre_Maintenance_V2[Province_RDC],"Pas de correspondance")</f>
        <v>Haut-Katanga</v>
      </c>
      <c r="G14" t="str">
        <f>_xlfn.XLOOKUP(Log_Reseau_Master[[#This Row],[Cell_ID]],_29_03_2026_Registre_Maintenance_V2[ID_Antenne],_29_03_2026_Registre_Maintenance_V2[Technologie],"Pas de correspondance")</f>
        <v>3G</v>
      </c>
      <c r="H14" t="str">
        <f>_xlfn.XLOOKUP(Log_Reseau_Master[[#This Row],[Cell_ID]],_29_03_2026_Registre_Maintenance_V2[ID_Antenne],_29_03_2026_Registre_Maintenance_V2[Equipementier],"Pas de correspondance")</f>
        <v>Ericsson</v>
      </c>
    </row>
    <row r="15" spans="1:8" x14ac:dyDescent="0.25">
      <c r="A15" s="1">
        <v>45202.852083333331</v>
      </c>
      <c r="B15" s="4">
        <f>Log_Reseau_Master[[#This Row],[Duree_Panne_Min]]/1440</f>
        <v>5.7638888888888892E-2</v>
      </c>
      <c r="C15" t="s">
        <v>98</v>
      </c>
      <c r="D15">
        <v>83</v>
      </c>
      <c r="E15" t="s">
        <v>1314</v>
      </c>
      <c r="F15" t="str">
        <f>_xlfn.XLOOKUP(Log_Reseau_Master[[#This Row],[Cell_ID]],_29_03_2026_Registre_Maintenance_V2[ID_Antenne],_29_03_2026_Registre_Maintenance_V2[Province_RDC],"Pas de correspondance")</f>
        <v>Mai-Ndombe</v>
      </c>
      <c r="G15" t="str">
        <f>_xlfn.XLOOKUP(Log_Reseau_Master[[#This Row],[Cell_ID]],_29_03_2026_Registre_Maintenance_V2[ID_Antenne],_29_03_2026_Registre_Maintenance_V2[Technologie],"Pas de correspondance")</f>
        <v>4G</v>
      </c>
      <c r="H15" t="str">
        <f>_xlfn.XLOOKUP(Log_Reseau_Master[[#This Row],[Cell_ID]],_29_03_2026_Registre_Maintenance_V2[ID_Antenne],_29_03_2026_Registre_Maintenance_V2[Equipementier],"Pas de correspondance")</f>
        <v>Ericsson</v>
      </c>
    </row>
    <row r="16" spans="1:8" hidden="1" x14ac:dyDescent="0.25">
      <c r="A16" s="1">
        <v>45213.922222222223</v>
      </c>
      <c r="B16">
        <f>Log_Reseau_Master[[#This Row],[Duree_Panne_Min]]/1440</f>
        <v>2.7777777777777776E-2</v>
      </c>
      <c r="C16" t="s">
        <v>1328</v>
      </c>
      <c r="D16">
        <v>40</v>
      </c>
      <c r="E16" t="s">
        <v>1314</v>
      </c>
      <c r="F16" t="str">
        <f>_xlfn.XLOOKUP(Log_Reseau_Master[[#This Row],[Cell_ID]],_29_03_2026_Registre_Maintenance_V2[ID_Antenne],_29_03_2026_Registre_Maintenance_V2[Province_RDC],"Pas de correspondance")</f>
        <v>Pas de correspondance</v>
      </c>
      <c r="G16" t="str">
        <f>_xlfn.XLOOKUP(Log_Reseau_Master[[#This Row],[Cell_ID]],_29_03_2026_Registre_Maintenance_V2[ID_Antenne],_29_03_2026_Registre_Maintenance_V2[Technologie],"Pas de correspondance")</f>
        <v>Pas de correspondance</v>
      </c>
      <c r="H16" t="str">
        <f>_xlfn.XLOOKUP(Log_Reseau_Master[[#This Row],[Cell_ID]],_29_03_2026_Registre_Maintenance_V2[ID_Antenne],_29_03_2026_Registre_Maintenance_V2[Equipementier],"Pas de correspondance")</f>
        <v>Pas de correspondance</v>
      </c>
    </row>
    <row r="17" spans="1:8" hidden="1" x14ac:dyDescent="0.25">
      <c r="A17" s="1">
        <v>45222.55972222222</v>
      </c>
      <c r="B17">
        <f>Log_Reseau_Master[[#This Row],[Duree_Panne_Min]]/1440</f>
        <v>1.8055555555555554E-2</v>
      </c>
      <c r="C17" t="s">
        <v>1328</v>
      </c>
      <c r="D17">
        <v>26</v>
      </c>
      <c r="E17" t="s">
        <v>1321</v>
      </c>
      <c r="F17" t="str">
        <f>_xlfn.XLOOKUP(Log_Reseau_Master[[#This Row],[Cell_ID]],_29_03_2026_Registre_Maintenance_V2[ID_Antenne],_29_03_2026_Registre_Maintenance_V2[Province_RDC],"Pas de correspondance")</f>
        <v>Pas de correspondance</v>
      </c>
      <c r="G17" t="str">
        <f>_xlfn.XLOOKUP(Log_Reseau_Master[[#This Row],[Cell_ID]],_29_03_2026_Registre_Maintenance_V2[ID_Antenne],_29_03_2026_Registre_Maintenance_V2[Technologie],"Pas de correspondance")</f>
        <v>Pas de correspondance</v>
      </c>
      <c r="H17" t="str">
        <f>_xlfn.XLOOKUP(Log_Reseau_Master[[#This Row],[Cell_ID]],_29_03_2026_Registre_Maintenance_V2[ID_Antenne],_29_03_2026_Registre_Maintenance_V2[Equipementier],"Pas de correspondance")</f>
        <v>Pas de correspondance</v>
      </c>
    </row>
    <row r="18" spans="1:8" hidden="1" x14ac:dyDescent="0.25">
      <c r="A18" s="1">
        <v>45219.989583333336</v>
      </c>
      <c r="B18">
        <f>Log_Reseau_Master[[#This Row],[Duree_Panne_Min]]/1440</f>
        <v>2.5000000000000001E-2</v>
      </c>
      <c r="C18" t="s">
        <v>1329</v>
      </c>
      <c r="D18">
        <v>36</v>
      </c>
      <c r="E18" t="s">
        <v>1314</v>
      </c>
      <c r="F18" t="str">
        <f>_xlfn.XLOOKUP(Log_Reseau_Master[[#This Row],[Cell_ID]],_29_03_2026_Registre_Maintenance_V2[ID_Antenne],_29_03_2026_Registre_Maintenance_V2[Province_RDC],"Pas de correspondance")</f>
        <v>Pas de correspondance</v>
      </c>
      <c r="G18" t="str">
        <f>_xlfn.XLOOKUP(Log_Reseau_Master[[#This Row],[Cell_ID]],_29_03_2026_Registre_Maintenance_V2[ID_Antenne],_29_03_2026_Registre_Maintenance_V2[Technologie],"Pas de correspondance")</f>
        <v>Pas de correspondance</v>
      </c>
      <c r="H18" t="str">
        <f>_xlfn.XLOOKUP(Log_Reseau_Master[[#This Row],[Cell_ID]],_29_03_2026_Registre_Maintenance_V2[ID_Antenne],_29_03_2026_Registre_Maintenance_V2[Equipementier],"Pas de correspondance")</f>
        <v>Pas de correspondance</v>
      </c>
    </row>
    <row r="19" spans="1:8" hidden="1" x14ac:dyDescent="0.25">
      <c r="A19" s="1">
        <v>45230.565972222219</v>
      </c>
      <c r="B19">
        <f>Log_Reseau_Master[[#This Row],[Duree_Panne_Min]]/1440</f>
        <v>5.1388888888888887E-2</v>
      </c>
      <c r="C19" t="s">
        <v>1329</v>
      </c>
      <c r="D19">
        <v>74</v>
      </c>
      <c r="E19" t="s">
        <v>1314</v>
      </c>
      <c r="F19" t="str">
        <f>_xlfn.XLOOKUP(Log_Reseau_Master[[#This Row],[Cell_ID]],_29_03_2026_Registre_Maintenance_V2[ID_Antenne],_29_03_2026_Registre_Maintenance_V2[Province_RDC],"Pas de correspondance")</f>
        <v>Pas de correspondance</v>
      </c>
      <c r="G19" t="str">
        <f>_xlfn.XLOOKUP(Log_Reseau_Master[[#This Row],[Cell_ID]],_29_03_2026_Registre_Maintenance_V2[ID_Antenne],_29_03_2026_Registre_Maintenance_V2[Technologie],"Pas de correspondance")</f>
        <v>Pas de correspondance</v>
      </c>
      <c r="H19" t="str">
        <f>_xlfn.XLOOKUP(Log_Reseau_Master[[#This Row],[Cell_ID]],_29_03_2026_Registre_Maintenance_V2[ID_Antenne],_29_03_2026_Registre_Maintenance_V2[Equipementier],"Pas de correspondance")</f>
        <v>Pas de correspondance</v>
      </c>
    </row>
    <row r="20" spans="1:8" hidden="1" x14ac:dyDescent="0.25">
      <c r="A20" s="1">
        <v>45204.39166666667</v>
      </c>
      <c r="B20">
        <f>Log_Reseau_Master[[#This Row],[Duree_Panne_Min]]/1440</f>
        <v>6.805555555555555E-2</v>
      </c>
      <c r="C20" t="s">
        <v>1329</v>
      </c>
      <c r="D20">
        <v>98</v>
      </c>
      <c r="E20" t="s">
        <v>1321</v>
      </c>
      <c r="F20" t="str">
        <f>_xlfn.XLOOKUP(Log_Reseau_Master[[#This Row],[Cell_ID]],_29_03_2026_Registre_Maintenance_V2[ID_Antenne],_29_03_2026_Registre_Maintenance_V2[Province_RDC],"Pas de correspondance")</f>
        <v>Pas de correspondance</v>
      </c>
      <c r="G20" t="str">
        <f>_xlfn.XLOOKUP(Log_Reseau_Master[[#This Row],[Cell_ID]],_29_03_2026_Registre_Maintenance_V2[ID_Antenne],_29_03_2026_Registre_Maintenance_V2[Technologie],"Pas de correspondance")</f>
        <v>Pas de correspondance</v>
      </c>
      <c r="H20" t="str">
        <f>_xlfn.XLOOKUP(Log_Reseau_Master[[#This Row],[Cell_ID]],_29_03_2026_Registre_Maintenance_V2[ID_Antenne],_29_03_2026_Registre_Maintenance_V2[Equipementier],"Pas de correspondance")</f>
        <v>Pas de correspondance</v>
      </c>
    </row>
    <row r="21" spans="1:8" hidden="1" x14ac:dyDescent="0.25">
      <c r="A21" s="1">
        <v>45213.963194444441</v>
      </c>
      <c r="B21">
        <f>Log_Reseau_Master[[#This Row],[Duree_Panne_Min]]/1440</f>
        <v>1.7361111111111112E-2</v>
      </c>
      <c r="C21" t="s">
        <v>1330</v>
      </c>
      <c r="D21">
        <v>25</v>
      </c>
      <c r="E21" t="s">
        <v>1312</v>
      </c>
      <c r="F21" t="str">
        <f>_xlfn.XLOOKUP(Log_Reseau_Master[[#This Row],[Cell_ID]],_29_03_2026_Registre_Maintenance_V2[ID_Antenne],_29_03_2026_Registre_Maintenance_V2[Province_RDC],"Pas de correspondance")</f>
        <v>Pas de correspondance</v>
      </c>
      <c r="G21" t="str">
        <f>_xlfn.XLOOKUP(Log_Reseau_Master[[#This Row],[Cell_ID]],_29_03_2026_Registre_Maintenance_V2[ID_Antenne],_29_03_2026_Registre_Maintenance_V2[Technologie],"Pas de correspondance")</f>
        <v>Pas de correspondance</v>
      </c>
      <c r="H21" t="str">
        <f>_xlfn.XLOOKUP(Log_Reseau_Master[[#This Row],[Cell_ID]],_29_03_2026_Registre_Maintenance_V2[ID_Antenne],_29_03_2026_Registre_Maintenance_V2[Equipementier],"Pas de correspondance")</f>
        <v>Pas de correspondance</v>
      </c>
    </row>
    <row r="22" spans="1:8" x14ac:dyDescent="0.25">
      <c r="A22" s="1">
        <v>45217.96875</v>
      </c>
      <c r="B22" s="4">
        <f>Log_Reseau_Master[[#This Row],[Duree_Panne_Min]]/1440</f>
        <v>6.7361111111111108E-2</v>
      </c>
      <c r="C22" t="s">
        <v>46</v>
      </c>
      <c r="D22">
        <v>97</v>
      </c>
      <c r="E22" t="s">
        <v>1312</v>
      </c>
      <c r="F22" t="str">
        <f>_xlfn.XLOOKUP(Log_Reseau_Master[[#This Row],[Cell_ID]],_29_03_2026_Registre_Maintenance_V2[ID_Antenne],_29_03_2026_Registre_Maintenance_V2[Province_RDC],"Pas de correspondance")</f>
        <v>Kasai</v>
      </c>
      <c r="G22" t="str">
        <f>_xlfn.XLOOKUP(Log_Reseau_Master[[#This Row],[Cell_ID]],_29_03_2026_Registre_Maintenance_V2[ID_Antenne],_29_03_2026_Registre_Maintenance_V2[Technologie],"Pas de correspondance")</f>
        <v>4G</v>
      </c>
      <c r="H22" t="str">
        <f>_xlfn.XLOOKUP(Log_Reseau_Master[[#This Row],[Cell_ID]],_29_03_2026_Registre_Maintenance_V2[ID_Antenne],_29_03_2026_Registre_Maintenance_V2[Equipementier],"Pas de correspondance")</f>
        <v>Huawei</v>
      </c>
    </row>
    <row r="23" spans="1:8" hidden="1" x14ac:dyDescent="0.25">
      <c r="A23" s="1">
        <v>45217.640277777777</v>
      </c>
      <c r="B23">
        <f>Log_Reseau_Master[[#This Row],[Duree_Panne_Min]]/1440</f>
        <v>7.8472222222222221E-2</v>
      </c>
      <c r="C23" t="s">
        <v>1331</v>
      </c>
      <c r="D23">
        <v>113</v>
      </c>
      <c r="E23" t="s">
        <v>1321</v>
      </c>
      <c r="F23" t="str">
        <f>_xlfn.XLOOKUP(Log_Reseau_Master[[#This Row],[Cell_ID]],_29_03_2026_Registre_Maintenance_V2[ID_Antenne],_29_03_2026_Registre_Maintenance_V2[Province_RDC],"Pas de correspondance")</f>
        <v>Pas de correspondance</v>
      </c>
      <c r="G23" t="str">
        <f>_xlfn.XLOOKUP(Log_Reseau_Master[[#This Row],[Cell_ID]],_29_03_2026_Registre_Maintenance_V2[ID_Antenne],_29_03_2026_Registre_Maintenance_V2[Technologie],"Pas de correspondance")</f>
        <v>Pas de correspondance</v>
      </c>
      <c r="H23" t="str">
        <f>_xlfn.XLOOKUP(Log_Reseau_Master[[#This Row],[Cell_ID]],_29_03_2026_Registre_Maintenance_V2[ID_Antenne],_29_03_2026_Registre_Maintenance_V2[Equipementier],"Pas de correspondance")</f>
        <v>Pas de correspondance</v>
      </c>
    </row>
    <row r="24" spans="1:8" hidden="1" x14ac:dyDescent="0.25">
      <c r="A24" s="1">
        <v>45220.093055555553</v>
      </c>
      <c r="B24">
        <f>Log_Reseau_Master[[#This Row],[Duree_Panne_Min]]/1440</f>
        <v>3.3333333333333333E-2</v>
      </c>
      <c r="C24" t="s">
        <v>1331</v>
      </c>
      <c r="D24">
        <v>48</v>
      </c>
      <c r="E24" t="s">
        <v>1314</v>
      </c>
      <c r="F24" t="str">
        <f>_xlfn.XLOOKUP(Log_Reseau_Master[[#This Row],[Cell_ID]],_29_03_2026_Registre_Maintenance_V2[ID_Antenne],_29_03_2026_Registre_Maintenance_V2[Province_RDC],"Pas de correspondance")</f>
        <v>Pas de correspondance</v>
      </c>
      <c r="G24" t="str">
        <f>_xlfn.XLOOKUP(Log_Reseau_Master[[#This Row],[Cell_ID]],_29_03_2026_Registre_Maintenance_V2[ID_Antenne],_29_03_2026_Registre_Maintenance_V2[Technologie],"Pas de correspondance")</f>
        <v>Pas de correspondance</v>
      </c>
      <c r="H24" t="str">
        <f>_xlfn.XLOOKUP(Log_Reseau_Master[[#This Row],[Cell_ID]],_29_03_2026_Registre_Maintenance_V2[ID_Antenne],_29_03_2026_Registre_Maintenance_V2[Equipementier],"Pas de correspondance")</f>
        <v>Pas de correspondance</v>
      </c>
    </row>
    <row r="25" spans="1:8" hidden="1" x14ac:dyDescent="0.25">
      <c r="A25" s="1">
        <v>45204.895833333336</v>
      </c>
      <c r="B25">
        <f>Log_Reseau_Master[[#This Row],[Duree_Panne_Min]]/1440</f>
        <v>2.9166666666666667E-2</v>
      </c>
      <c r="C25" t="s">
        <v>1333</v>
      </c>
      <c r="D25">
        <v>42</v>
      </c>
      <c r="E25" t="s">
        <v>1312</v>
      </c>
      <c r="F25" t="str">
        <f>_xlfn.XLOOKUP(Log_Reseau_Master[[#This Row],[Cell_ID]],_29_03_2026_Registre_Maintenance_V2[ID_Antenne],_29_03_2026_Registre_Maintenance_V2[Province_RDC],"Pas de correspondance")</f>
        <v>Pas de correspondance</v>
      </c>
      <c r="G25" t="str">
        <f>_xlfn.XLOOKUP(Log_Reseau_Master[[#This Row],[Cell_ID]],_29_03_2026_Registre_Maintenance_V2[ID_Antenne],_29_03_2026_Registre_Maintenance_V2[Technologie],"Pas de correspondance")</f>
        <v>Pas de correspondance</v>
      </c>
      <c r="H25" t="str">
        <f>_xlfn.XLOOKUP(Log_Reseau_Master[[#This Row],[Cell_ID]],_29_03_2026_Registre_Maintenance_V2[ID_Antenne],_29_03_2026_Registre_Maintenance_V2[Equipementier],"Pas de correspondance")</f>
        <v>Pas de correspondance</v>
      </c>
    </row>
    <row r="26" spans="1:8" hidden="1" x14ac:dyDescent="0.25">
      <c r="A26" s="1">
        <v>45205.775694444441</v>
      </c>
      <c r="B26">
        <f>Log_Reseau_Master[[#This Row],[Duree_Panne_Min]]/1440</f>
        <v>3.888888888888889E-2</v>
      </c>
      <c r="C26" t="s">
        <v>1335</v>
      </c>
      <c r="D26">
        <v>56</v>
      </c>
      <c r="E26" t="s">
        <v>1321</v>
      </c>
      <c r="F26" t="str">
        <f>_xlfn.XLOOKUP(Log_Reseau_Master[[#This Row],[Cell_ID]],_29_03_2026_Registre_Maintenance_V2[ID_Antenne],_29_03_2026_Registre_Maintenance_V2[Province_RDC],"Pas de correspondance")</f>
        <v>Pas de correspondance</v>
      </c>
      <c r="G26" t="str">
        <f>_xlfn.XLOOKUP(Log_Reseau_Master[[#This Row],[Cell_ID]],_29_03_2026_Registre_Maintenance_V2[ID_Antenne],_29_03_2026_Registre_Maintenance_V2[Technologie],"Pas de correspondance")</f>
        <v>Pas de correspondance</v>
      </c>
      <c r="H26" t="str">
        <f>_xlfn.XLOOKUP(Log_Reseau_Master[[#This Row],[Cell_ID]],_29_03_2026_Registre_Maintenance_V2[ID_Antenne],_29_03_2026_Registre_Maintenance_V2[Equipementier],"Pas de correspondance")</f>
        <v>Pas de correspondance</v>
      </c>
    </row>
    <row r="27" spans="1:8" hidden="1" x14ac:dyDescent="0.25">
      <c r="A27" s="1">
        <v>45220.390972222223</v>
      </c>
      <c r="B27">
        <f>Log_Reseau_Master[[#This Row],[Duree_Panne_Min]]/1440</f>
        <v>9.0277777777777769E-3</v>
      </c>
      <c r="C27" t="s">
        <v>1335</v>
      </c>
      <c r="D27">
        <v>13</v>
      </c>
      <c r="E27" t="s">
        <v>1312</v>
      </c>
      <c r="F27" t="str">
        <f>_xlfn.XLOOKUP(Log_Reseau_Master[[#This Row],[Cell_ID]],_29_03_2026_Registre_Maintenance_V2[ID_Antenne],_29_03_2026_Registre_Maintenance_V2[Province_RDC],"Pas de correspondance")</f>
        <v>Pas de correspondance</v>
      </c>
      <c r="G27" t="str">
        <f>_xlfn.XLOOKUP(Log_Reseau_Master[[#This Row],[Cell_ID]],_29_03_2026_Registre_Maintenance_V2[ID_Antenne],_29_03_2026_Registre_Maintenance_V2[Technologie],"Pas de correspondance")</f>
        <v>Pas de correspondance</v>
      </c>
      <c r="H27" t="str">
        <f>_xlfn.XLOOKUP(Log_Reseau_Master[[#This Row],[Cell_ID]],_29_03_2026_Registre_Maintenance_V2[ID_Antenne],_29_03_2026_Registre_Maintenance_V2[Equipementier],"Pas de correspondance")</f>
        <v>Pas de correspondance</v>
      </c>
    </row>
    <row r="28" spans="1:8" hidden="1" x14ac:dyDescent="0.25">
      <c r="A28" s="1">
        <v>45225.839583333334</v>
      </c>
      <c r="B28">
        <f>Log_Reseau_Master[[#This Row],[Duree_Panne_Min]]/1440</f>
        <v>4.1666666666666664E-2</v>
      </c>
      <c r="C28" t="s">
        <v>1337</v>
      </c>
      <c r="D28">
        <v>60</v>
      </c>
      <c r="E28" t="s">
        <v>1321</v>
      </c>
      <c r="F28" t="str">
        <f>_xlfn.XLOOKUP(Log_Reseau_Master[[#This Row],[Cell_ID]],_29_03_2026_Registre_Maintenance_V2[ID_Antenne],_29_03_2026_Registre_Maintenance_V2[Province_RDC],"Pas de correspondance")</f>
        <v>Pas de correspondance</v>
      </c>
      <c r="G28" t="str">
        <f>_xlfn.XLOOKUP(Log_Reseau_Master[[#This Row],[Cell_ID]],_29_03_2026_Registre_Maintenance_V2[ID_Antenne],_29_03_2026_Registre_Maintenance_V2[Technologie],"Pas de correspondance")</f>
        <v>Pas de correspondance</v>
      </c>
      <c r="H28" t="str">
        <f>_xlfn.XLOOKUP(Log_Reseau_Master[[#This Row],[Cell_ID]],_29_03_2026_Registre_Maintenance_V2[ID_Antenne],_29_03_2026_Registre_Maintenance_V2[Equipementier],"Pas de correspondance")</f>
        <v>Pas de correspondance</v>
      </c>
    </row>
    <row r="29" spans="1:8" hidden="1" x14ac:dyDescent="0.25">
      <c r="A29" s="1">
        <v>45224.961805555555</v>
      </c>
      <c r="B29">
        <f>Log_Reseau_Master[[#This Row],[Duree_Panne_Min]]/1440</f>
        <v>5.7638888888888892E-2</v>
      </c>
      <c r="C29" t="s">
        <v>1337</v>
      </c>
      <c r="D29">
        <v>83</v>
      </c>
      <c r="E29" t="s">
        <v>1321</v>
      </c>
      <c r="F29" t="str">
        <f>_xlfn.XLOOKUP(Log_Reseau_Master[[#This Row],[Cell_ID]],_29_03_2026_Registre_Maintenance_V2[ID_Antenne],_29_03_2026_Registre_Maintenance_V2[Province_RDC],"Pas de correspondance")</f>
        <v>Pas de correspondance</v>
      </c>
      <c r="G29" t="str">
        <f>_xlfn.XLOOKUP(Log_Reseau_Master[[#This Row],[Cell_ID]],_29_03_2026_Registre_Maintenance_V2[ID_Antenne],_29_03_2026_Registre_Maintenance_V2[Technologie],"Pas de correspondance")</f>
        <v>Pas de correspondance</v>
      </c>
      <c r="H29" t="str">
        <f>_xlfn.XLOOKUP(Log_Reseau_Master[[#This Row],[Cell_ID]],_29_03_2026_Registre_Maintenance_V2[ID_Antenne],_29_03_2026_Registre_Maintenance_V2[Equipementier],"Pas de correspondance")</f>
        <v>Pas de correspondance</v>
      </c>
    </row>
    <row r="30" spans="1:8" x14ac:dyDescent="0.25">
      <c r="A30" s="1">
        <v>45206.515972222223</v>
      </c>
      <c r="B30" s="4">
        <f>Log_Reseau_Master[[#This Row],[Duree_Panne_Min]]/1440</f>
        <v>7.4999999999999997E-2</v>
      </c>
      <c r="C30" t="s">
        <v>478</v>
      </c>
      <c r="D30">
        <v>108</v>
      </c>
      <c r="E30" t="s">
        <v>1314</v>
      </c>
      <c r="F30" t="str">
        <f>_xlfn.XLOOKUP(Log_Reseau_Master[[#This Row],[Cell_ID]],_29_03_2026_Registre_Maintenance_V2[ID_Antenne],_29_03_2026_Registre_Maintenance_V2[Province_RDC],"Pas de correspondance")</f>
        <v>Kinshasa</v>
      </c>
      <c r="G30" t="str">
        <f>_xlfn.XLOOKUP(Log_Reseau_Master[[#This Row],[Cell_ID]],_29_03_2026_Registre_Maintenance_V2[ID_Antenne],_29_03_2026_Registre_Maintenance_V2[Technologie],"Pas de correspondance")</f>
        <v>3G</v>
      </c>
      <c r="H30" t="str">
        <f>_xlfn.XLOOKUP(Log_Reseau_Master[[#This Row],[Cell_ID]],_29_03_2026_Registre_Maintenance_V2[ID_Antenne],_29_03_2026_Registre_Maintenance_V2[Equipementier],"Pas de correspondance")</f>
        <v>ZTE</v>
      </c>
    </row>
    <row r="31" spans="1:8" hidden="1" x14ac:dyDescent="0.25">
      <c r="A31" s="1">
        <v>45222.511805555558</v>
      </c>
      <c r="B31">
        <f>Log_Reseau_Master[[#This Row],[Duree_Panne_Min]]/1440</f>
        <v>3.888888888888889E-2</v>
      </c>
      <c r="C31" t="s">
        <v>1338</v>
      </c>
      <c r="D31">
        <v>56</v>
      </c>
      <c r="E31" t="s">
        <v>1314</v>
      </c>
      <c r="F31" t="str">
        <f>_xlfn.XLOOKUP(Log_Reseau_Master[[#This Row],[Cell_ID]],_29_03_2026_Registre_Maintenance_V2[ID_Antenne],_29_03_2026_Registre_Maintenance_V2[Province_RDC],"Pas de correspondance")</f>
        <v>Pas de correspondance</v>
      </c>
      <c r="G31" t="str">
        <f>_xlfn.XLOOKUP(Log_Reseau_Master[[#This Row],[Cell_ID]],_29_03_2026_Registre_Maintenance_V2[ID_Antenne],_29_03_2026_Registre_Maintenance_V2[Technologie],"Pas de correspondance")</f>
        <v>Pas de correspondance</v>
      </c>
      <c r="H31" t="str">
        <f>_xlfn.XLOOKUP(Log_Reseau_Master[[#This Row],[Cell_ID]],_29_03_2026_Registre_Maintenance_V2[ID_Antenne],_29_03_2026_Registre_Maintenance_V2[Equipementier],"Pas de correspondance")</f>
        <v>Pas de correspondance</v>
      </c>
    </row>
    <row r="32" spans="1:8" x14ac:dyDescent="0.25">
      <c r="A32" s="1">
        <v>45222.652777777781</v>
      </c>
      <c r="B32" s="4">
        <f>Log_Reseau_Master[[#This Row],[Duree_Panne_Min]]/1440</f>
        <v>3.1944444444444442E-2</v>
      </c>
      <c r="C32" t="s">
        <v>53</v>
      </c>
      <c r="D32">
        <v>46</v>
      </c>
      <c r="E32" t="s">
        <v>1321</v>
      </c>
      <c r="F32" t="str">
        <f>_xlfn.XLOOKUP(Log_Reseau_Master[[#This Row],[Cell_ID]],_29_03_2026_Registre_Maintenance_V2[ID_Antenne],_29_03_2026_Registre_Maintenance_V2[Province_RDC],"Pas de correspondance")</f>
        <v>Lomami</v>
      </c>
      <c r="G32" t="str">
        <f>_xlfn.XLOOKUP(Log_Reseau_Master[[#This Row],[Cell_ID]],_29_03_2026_Registre_Maintenance_V2[ID_Antenne],_29_03_2026_Registre_Maintenance_V2[Technologie],"Pas de correspondance")</f>
        <v>3G</v>
      </c>
      <c r="H32" t="str">
        <f>_xlfn.XLOOKUP(Log_Reseau_Master[[#This Row],[Cell_ID]],_29_03_2026_Registre_Maintenance_V2[ID_Antenne],_29_03_2026_Registre_Maintenance_V2[Equipementier],"Pas de correspondance")</f>
        <v>Ericsson</v>
      </c>
    </row>
    <row r="33" spans="1:8" hidden="1" x14ac:dyDescent="0.25">
      <c r="A33" s="1">
        <v>45214.752083333333</v>
      </c>
      <c r="B33">
        <f>Log_Reseau_Master[[#This Row],[Duree_Panne_Min]]/1440</f>
        <v>6.1805555555555558E-2</v>
      </c>
      <c r="C33" t="s">
        <v>1340</v>
      </c>
      <c r="D33">
        <v>89</v>
      </c>
      <c r="E33" t="s">
        <v>1312</v>
      </c>
      <c r="F33" t="str">
        <f>_xlfn.XLOOKUP(Log_Reseau_Master[[#This Row],[Cell_ID]],_29_03_2026_Registre_Maintenance_V2[ID_Antenne],_29_03_2026_Registre_Maintenance_V2[Province_RDC],"Pas de correspondance")</f>
        <v>Pas de correspondance</v>
      </c>
      <c r="G33" t="str">
        <f>_xlfn.XLOOKUP(Log_Reseau_Master[[#This Row],[Cell_ID]],_29_03_2026_Registre_Maintenance_V2[ID_Antenne],_29_03_2026_Registre_Maintenance_V2[Technologie],"Pas de correspondance")</f>
        <v>Pas de correspondance</v>
      </c>
      <c r="H33" t="str">
        <f>_xlfn.XLOOKUP(Log_Reseau_Master[[#This Row],[Cell_ID]],_29_03_2026_Registre_Maintenance_V2[ID_Antenne],_29_03_2026_Registre_Maintenance_V2[Equipementier],"Pas de correspondance")</f>
        <v>Pas de correspondance</v>
      </c>
    </row>
    <row r="34" spans="1:8" hidden="1" x14ac:dyDescent="0.25">
      <c r="A34" s="1">
        <v>45225.415277777778</v>
      </c>
      <c r="B34">
        <f>Log_Reseau_Master[[#This Row],[Duree_Panne_Min]]/1440</f>
        <v>1.0416666666666666E-2</v>
      </c>
      <c r="C34" t="s">
        <v>1342</v>
      </c>
      <c r="D34">
        <v>15</v>
      </c>
      <c r="E34" t="s">
        <v>1314</v>
      </c>
      <c r="F34" t="str">
        <f>_xlfn.XLOOKUP(Log_Reseau_Master[[#This Row],[Cell_ID]],_29_03_2026_Registre_Maintenance_V2[ID_Antenne],_29_03_2026_Registre_Maintenance_V2[Province_RDC],"Pas de correspondance")</f>
        <v>Pas de correspondance</v>
      </c>
      <c r="G34" t="str">
        <f>_xlfn.XLOOKUP(Log_Reseau_Master[[#This Row],[Cell_ID]],_29_03_2026_Registre_Maintenance_V2[ID_Antenne],_29_03_2026_Registre_Maintenance_V2[Technologie],"Pas de correspondance")</f>
        <v>Pas de correspondance</v>
      </c>
      <c r="H34" t="str">
        <f>_xlfn.XLOOKUP(Log_Reseau_Master[[#This Row],[Cell_ID]],_29_03_2026_Registre_Maintenance_V2[ID_Antenne],_29_03_2026_Registre_Maintenance_V2[Equipementier],"Pas de correspondance")</f>
        <v>Pas de correspondance</v>
      </c>
    </row>
    <row r="35" spans="1:8" x14ac:dyDescent="0.25">
      <c r="A35" s="1">
        <v>45208.443749999999</v>
      </c>
      <c r="B35" s="4">
        <f>Log_Reseau_Master[[#This Row],[Duree_Panne_Min]]/1440</f>
        <v>4.8611111111111112E-3</v>
      </c>
      <c r="C35" t="s">
        <v>419</v>
      </c>
      <c r="D35">
        <v>7</v>
      </c>
      <c r="E35" t="s">
        <v>1321</v>
      </c>
      <c r="F35" t="str">
        <f>_xlfn.XLOOKUP(Log_Reseau_Master[[#This Row],[Cell_ID]],_29_03_2026_Registre_Maintenance_V2[ID_Antenne],_29_03_2026_Registre_Maintenance_V2[Province_RDC],"Pas de correspondance")</f>
        <v>Haut-Lomami</v>
      </c>
      <c r="G35" t="str">
        <f>_xlfn.XLOOKUP(Log_Reseau_Master[[#This Row],[Cell_ID]],_29_03_2026_Registre_Maintenance_V2[ID_Antenne],_29_03_2026_Registre_Maintenance_V2[Technologie],"Pas de correspondance")</f>
        <v>4G</v>
      </c>
      <c r="H35" t="str">
        <f>_xlfn.XLOOKUP(Log_Reseau_Master[[#This Row],[Cell_ID]],_29_03_2026_Registre_Maintenance_V2[ID_Antenne],_29_03_2026_Registre_Maintenance_V2[Equipementier],"Pas de correspondance")</f>
        <v>ZTE</v>
      </c>
    </row>
    <row r="36" spans="1:8" hidden="1" x14ac:dyDescent="0.25">
      <c r="A36" s="1">
        <v>45206.572222222225</v>
      </c>
      <c r="B36">
        <f>Log_Reseau_Master[[#This Row],[Duree_Panne_Min]]/1440</f>
        <v>6.9444444444444441E-3</v>
      </c>
      <c r="C36" t="s">
        <v>1345</v>
      </c>
      <c r="D36">
        <v>10</v>
      </c>
      <c r="E36" t="s">
        <v>1314</v>
      </c>
      <c r="F36" t="str">
        <f>_xlfn.XLOOKUP(Log_Reseau_Master[[#This Row],[Cell_ID]],_29_03_2026_Registre_Maintenance_V2[ID_Antenne],_29_03_2026_Registre_Maintenance_V2[Province_RDC],"Pas de correspondance")</f>
        <v>Pas de correspondance</v>
      </c>
      <c r="G36" t="str">
        <f>_xlfn.XLOOKUP(Log_Reseau_Master[[#This Row],[Cell_ID]],_29_03_2026_Registre_Maintenance_V2[ID_Antenne],_29_03_2026_Registre_Maintenance_V2[Technologie],"Pas de correspondance")</f>
        <v>Pas de correspondance</v>
      </c>
      <c r="H36" t="str">
        <f>_xlfn.XLOOKUP(Log_Reseau_Master[[#This Row],[Cell_ID]],_29_03_2026_Registre_Maintenance_V2[ID_Antenne],_29_03_2026_Registre_Maintenance_V2[Equipementier],"Pas de correspondance")</f>
        <v>Pas de correspondance</v>
      </c>
    </row>
    <row r="37" spans="1:8" hidden="1" x14ac:dyDescent="0.25">
      <c r="A37" s="1">
        <v>45226.729166666664</v>
      </c>
      <c r="B37">
        <f>Log_Reseau_Master[[#This Row],[Duree_Panne_Min]]/1440</f>
        <v>4.3055555555555555E-2</v>
      </c>
      <c r="C37" t="s">
        <v>1345</v>
      </c>
      <c r="D37">
        <v>62</v>
      </c>
      <c r="E37" t="s">
        <v>1312</v>
      </c>
      <c r="F37" t="str">
        <f>_xlfn.XLOOKUP(Log_Reseau_Master[[#This Row],[Cell_ID]],_29_03_2026_Registre_Maintenance_V2[ID_Antenne],_29_03_2026_Registre_Maintenance_V2[Province_RDC],"Pas de correspondance")</f>
        <v>Pas de correspondance</v>
      </c>
      <c r="G37" t="str">
        <f>_xlfn.XLOOKUP(Log_Reseau_Master[[#This Row],[Cell_ID]],_29_03_2026_Registre_Maintenance_V2[ID_Antenne],_29_03_2026_Registre_Maintenance_V2[Technologie],"Pas de correspondance")</f>
        <v>Pas de correspondance</v>
      </c>
      <c r="H37" t="str">
        <f>_xlfn.XLOOKUP(Log_Reseau_Master[[#This Row],[Cell_ID]],_29_03_2026_Registre_Maintenance_V2[ID_Antenne],_29_03_2026_Registre_Maintenance_V2[Equipementier],"Pas de correspondance")</f>
        <v>Pas de correspondance</v>
      </c>
    </row>
    <row r="38" spans="1:8" x14ac:dyDescent="0.25">
      <c r="A38" s="1">
        <v>45211.61041666667</v>
      </c>
      <c r="B38" s="4">
        <f>Log_Reseau_Master[[#This Row],[Duree_Panne_Min]]/1440</f>
        <v>7.9166666666666663E-2</v>
      </c>
      <c r="C38" t="s">
        <v>425</v>
      </c>
      <c r="D38">
        <v>114</v>
      </c>
      <c r="E38" t="s">
        <v>1314</v>
      </c>
      <c r="F38" t="str">
        <f>_xlfn.XLOOKUP(Log_Reseau_Master[[#This Row],[Cell_ID]],_29_03_2026_Registre_Maintenance_V2[ID_Antenne],_29_03_2026_Registre_Maintenance_V2[Province_RDC],"Pas de correspondance")</f>
        <v>Ituri</v>
      </c>
      <c r="G38" t="str">
        <f>_xlfn.XLOOKUP(Log_Reseau_Master[[#This Row],[Cell_ID]],_29_03_2026_Registre_Maintenance_V2[ID_Antenne],_29_03_2026_Registre_Maintenance_V2[Technologie],"Pas de correspondance")</f>
        <v>3G</v>
      </c>
      <c r="H38" t="str">
        <f>_xlfn.XLOOKUP(Log_Reseau_Master[[#This Row],[Cell_ID]],_29_03_2026_Registre_Maintenance_V2[ID_Antenne],_29_03_2026_Registre_Maintenance_V2[Equipementier],"Pas de correspondance")</f>
        <v>Nokia</v>
      </c>
    </row>
    <row r="39" spans="1:8" x14ac:dyDescent="0.25">
      <c r="A39" s="1">
        <v>45219.101388888892</v>
      </c>
      <c r="B39" s="4">
        <f>Log_Reseau_Master[[#This Row],[Duree_Panne_Min]]/1440</f>
        <v>5.2083333333333336E-2</v>
      </c>
      <c r="C39" t="s">
        <v>425</v>
      </c>
      <c r="D39">
        <v>75</v>
      </c>
      <c r="E39" t="s">
        <v>1314</v>
      </c>
      <c r="F39" t="str">
        <f>_xlfn.XLOOKUP(Log_Reseau_Master[[#This Row],[Cell_ID]],_29_03_2026_Registre_Maintenance_V2[ID_Antenne],_29_03_2026_Registre_Maintenance_V2[Province_RDC],"Pas de correspondance")</f>
        <v>Ituri</v>
      </c>
      <c r="G39" t="str">
        <f>_xlfn.XLOOKUP(Log_Reseau_Master[[#This Row],[Cell_ID]],_29_03_2026_Registre_Maintenance_V2[ID_Antenne],_29_03_2026_Registre_Maintenance_V2[Technologie],"Pas de correspondance")</f>
        <v>3G</v>
      </c>
      <c r="H39" t="str">
        <f>_xlfn.XLOOKUP(Log_Reseau_Master[[#This Row],[Cell_ID]],_29_03_2026_Registre_Maintenance_V2[ID_Antenne],_29_03_2026_Registre_Maintenance_V2[Equipementier],"Pas de correspondance")</f>
        <v>Nokia</v>
      </c>
    </row>
    <row r="40" spans="1:8" x14ac:dyDescent="0.25">
      <c r="A40" s="1">
        <v>45202.35</v>
      </c>
      <c r="B40" s="4">
        <f>Log_Reseau_Master[[#This Row],[Duree_Panne_Min]]/1440</f>
        <v>5.4166666666666669E-2</v>
      </c>
      <c r="C40" t="s">
        <v>403</v>
      </c>
      <c r="D40">
        <v>78</v>
      </c>
      <c r="E40" t="s">
        <v>1314</v>
      </c>
      <c r="F40" t="str">
        <f>_xlfn.XLOOKUP(Log_Reseau_Master[[#This Row],[Cell_ID]],_29_03_2026_Registre_Maintenance_V2[ID_Antenne],_29_03_2026_Registre_Maintenance_V2[Province_RDC],"Pas de correspondance")</f>
        <v>Mongala</v>
      </c>
      <c r="G40" t="str">
        <f>_xlfn.XLOOKUP(Log_Reseau_Master[[#This Row],[Cell_ID]],_29_03_2026_Registre_Maintenance_V2[ID_Antenne],_29_03_2026_Registre_Maintenance_V2[Technologie],"Pas de correspondance")</f>
        <v>3G</v>
      </c>
      <c r="H40" t="str">
        <f>_xlfn.XLOOKUP(Log_Reseau_Master[[#This Row],[Cell_ID]],_29_03_2026_Registre_Maintenance_V2[ID_Antenne],_29_03_2026_Registre_Maintenance_V2[Equipementier],"Pas de correspondance")</f>
        <v>Huawei</v>
      </c>
    </row>
    <row r="41" spans="1:8" x14ac:dyDescent="0.25">
      <c r="A41" s="1">
        <v>45223.736111111109</v>
      </c>
      <c r="B41" s="4">
        <f>Log_Reseau_Master[[#This Row],[Duree_Panne_Min]]/1440</f>
        <v>8.0555555555555561E-2</v>
      </c>
      <c r="C41" t="s">
        <v>143</v>
      </c>
      <c r="D41">
        <v>116</v>
      </c>
      <c r="E41" t="s">
        <v>1312</v>
      </c>
      <c r="F41" t="str">
        <f>_xlfn.XLOOKUP(Log_Reseau_Master[[#This Row],[Cell_ID]],_29_03_2026_Registre_Maintenance_V2[ID_Antenne],_29_03_2026_Registre_Maintenance_V2[Province_RDC],"Pas de correspondance")</f>
        <v>Haut-Katanga</v>
      </c>
      <c r="G41" t="str">
        <f>_xlfn.XLOOKUP(Log_Reseau_Master[[#This Row],[Cell_ID]],_29_03_2026_Registre_Maintenance_V2[ID_Antenne],_29_03_2026_Registre_Maintenance_V2[Technologie],"Pas de correspondance")</f>
        <v>5G</v>
      </c>
      <c r="H41" t="str">
        <f>_xlfn.XLOOKUP(Log_Reseau_Master[[#This Row],[Cell_ID]],_29_03_2026_Registre_Maintenance_V2[ID_Antenne],_29_03_2026_Registre_Maintenance_V2[Equipementier],"Pas de correspondance")</f>
        <v>Huawei</v>
      </c>
    </row>
    <row r="42" spans="1:8" x14ac:dyDescent="0.25">
      <c r="A42" s="1">
        <v>45216.583333333336</v>
      </c>
      <c r="B42" s="4">
        <f>Log_Reseau_Master[[#This Row],[Duree_Panne_Min]]/1440</f>
        <v>5.4166666666666669E-2</v>
      </c>
      <c r="C42" t="s">
        <v>143</v>
      </c>
      <c r="D42">
        <v>78</v>
      </c>
      <c r="E42" t="s">
        <v>1321</v>
      </c>
      <c r="F42" t="str">
        <f>_xlfn.XLOOKUP(Log_Reseau_Master[[#This Row],[Cell_ID]],_29_03_2026_Registre_Maintenance_V2[ID_Antenne],_29_03_2026_Registre_Maintenance_V2[Province_RDC],"Pas de correspondance")</f>
        <v>Haut-Katanga</v>
      </c>
      <c r="G42" t="str">
        <f>_xlfn.XLOOKUP(Log_Reseau_Master[[#This Row],[Cell_ID]],_29_03_2026_Registre_Maintenance_V2[ID_Antenne],_29_03_2026_Registre_Maintenance_V2[Technologie],"Pas de correspondance")</f>
        <v>5G</v>
      </c>
      <c r="H42" t="str">
        <f>_xlfn.XLOOKUP(Log_Reseau_Master[[#This Row],[Cell_ID]],_29_03_2026_Registre_Maintenance_V2[ID_Antenne],_29_03_2026_Registre_Maintenance_V2[Equipementier],"Pas de correspondance")</f>
        <v>Huawei</v>
      </c>
    </row>
    <row r="43" spans="1:8" x14ac:dyDescent="0.25">
      <c r="A43" s="1">
        <v>45217.578472222223</v>
      </c>
      <c r="B43" s="4">
        <f>Log_Reseau_Master[[#This Row],[Duree_Panne_Min]]/1440</f>
        <v>6.458333333333334E-2</v>
      </c>
      <c r="C43" t="s">
        <v>121</v>
      </c>
      <c r="D43">
        <v>93</v>
      </c>
      <c r="E43" t="s">
        <v>1312</v>
      </c>
      <c r="F43" t="str">
        <f>_xlfn.XLOOKUP(Log_Reseau_Master[[#This Row],[Cell_ID]],_29_03_2026_Registre_Maintenance_V2[ID_Antenne],_29_03_2026_Registre_Maintenance_V2[Province_RDC],"Pas de correspondance")</f>
        <v>Kasai-Central</v>
      </c>
      <c r="G43" t="str">
        <f>_xlfn.XLOOKUP(Log_Reseau_Master[[#This Row],[Cell_ID]],_29_03_2026_Registre_Maintenance_V2[ID_Antenne],_29_03_2026_Registre_Maintenance_V2[Technologie],"Pas de correspondance")</f>
        <v>3G</v>
      </c>
      <c r="H43" t="str">
        <f>_xlfn.XLOOKUP(Log_Reseau_Master[[#This Row],[Cell_ID]],_29_03_2026_Registre_Maintenance_V2[ID_Antenne],_29_03_2026_Registre_Maintenance_V2[Equipementier],"Pas de correspondance")</f>
        <v>Ericsson</v>
      </c>
    </row>
    <row r="44" spans="1:8" hidden="1" x14ac:dyDescent="0.25">
      <c r="A44" s="1">
        <v>45228.269444444442</v>
      </c>
      <c r="B44">
        <f>Log_Reseau_Master[[#This Row],[Duree_Panne_Min]]/1440</f>
        <v>7.5694444444444439E-2</v>
      </c>
      <c r="C44" t="s">
        <v>1346</v>
      </c>
      <c r="D44">
        <v>109</v>
      </c>
      <c r="E44" t="s">
        <v>1312</v>
      </c>
      <c r="F44" t="str">
        <f>_xlfn.XLOOKUP(Log_Reseau_Master[[#This Row],[Cell_ID]],_29_03_2026_Registre_Maintenance_V2[ID_Antenne],_29_03_2026_Registre_Maintenance_V2[Province_RDC],"Pas de correspondance")</f>
        <v>Pas de correspondance</v>
      </c>
      <c r="G44" t="str">
        <f>_xlfn.XLOOKUP(Log_Reseau_Master[[#This Row],[Cell_ID]],_29_03_2026_Registre_Maintenance_V2[ID_Antenne],_29_03_2026_Registre_Maintenance_V2[Technologie],"Pas de correspondance")</f>
        <v>Pas de correspondance</v>
      </c>
      <c r="H44" t="str">
        <f>_xlfn.XLOOKUP(Log_Reseau_Master[[#This Row],[Cell_ID]],_29_03_2026_Registre_Maintenance_V2[ID_Antenne],_29_03_2026_Registre_Maintenance_V2[Equipementier],"Pas de correspondance")</f>
        <v>Pas de correspondance</v>
      </c>
    </row>
    <row r="45" spans="1:8" hidden="1" x14ac:dyDescent="0.25">
      <c r="A45" s="1">
        <v>45224.083333333336</v>
      </c>
      <c r="B45">
        <f>Log_Reseau_Master[[#This Row],[Duree_Panne_Min]]/1440</f>
        <v>2.1527777777777778E-2</v>
      </c>
      <c r="C45" t="s">
        <v>1346</v>
      </c>
      <c r="D45">
        <v>31</v>
      </c>
      <c r="E45" t="s">
        <v>1314</v>
      </c>
      <c r="F45" t="str">
        <f>_xlfn.XLOOKUP(Log_Reseau_Master[[#This Row],[Cell_ID]],_29_03_2026_Registre_Maintenance_V2[ID_Antenne],_29_03_2026_Registre_Maintenance_V2[Province_RDC],"Pas de correspondance")</f>
        <v>Pas de correspondance</v>
      </c>
      <c r="G45" t="str">
        <f>_xlfn.XLOOKUP(Log_Reseau_Master[[#This Row],[Cell_ID]],_29_03_2026_Registre_Maintenance_V2[ID_Antenne],_29_03_2026_Registre_Maintenance_V2[Technologie],"Pas de correspondance")</f>
        <v>Pas de correspondance</v>
      </c>
      <c r="H45" t="str">
        <f>_xlfn.XLOOKUP(Log_Reseau_Master[[#This Row],[Cell_ID]],_29_03_2026_Registre_Maintenance_V2[ID_Antenne],_29_03_2026_Registre_Maintenance_V2[Equipementier],"Pas de correspondance")</f>
        <v>Pas de correspondance</v>
      </c>
    </row>
    <row r="46" spans="1:8" x14ac:dyDescent="0.25">
      <c r="A46" s="1">
        <v>45202.161805555559</v>
      </c>
      <c r="B46" s="4">
        <f>Log_Reseau_Master[[#This Row],[Duree_Panne_Min]]/1440</f>
        <v>4.2361111111111113E-2</v>
      </c>
      <c r="C46" t="s">
        <v>130</v>
      </c>
      <c r="D46">
        <v>61</v>
      </c>
      <c r="E46" t="s">
        <v>1312</v>
      </c>
      <c r="F46" t="str">
        <f>_xlfn.XLOOKUP(Log_Reseau_Master[[#This Row],[Cell_ID]],_29_03_2026_Registre_Maintenance_V2[ID_Antenne],_29_03_2026_Registre_Maintenance_V2[Province_RDC],"Pas de correspondance")</f>
        <v>Nord-Kivu</v>
      </c>
      <c r="G46" t="str">
        <f>_xlfn.XLOOKUP(Log_Reseau_Master[[#This Row],[Cell_ID]],_29_03_2026_Registre_Maintenance_V2[ID_Antenne],_29_03_2026_Registre_Maintenance_V2[Technologie],"Pas de correspondance")</f>
        <v>3G</v>
      </c>
      <c r="H46" t="str">
        <f>_xlfn.XLOOKUP(Log_Reseau_Master[[#This Row],[Cell_ID]],_29_03_2026_Registre_Maintenance_V2[ID_Antenne],_29_03_2026_Registre_Maintenance_V2[Equipementier],"Pas de correspondance")</f>
        <v>Huawei</v>
      </c>
    </row>
    <row r="47" spans="1:8" x14ac:dyDescent="0.25">
      <c r="A47" s="1">
        <v>45205.463888888888</v>
      </c>
      <c r="B47" s="4">
        <f>Log_Reseau_Master[[#This Row],[Duree_Panne_Min]]/1440</f>
        <v>7.1527777777777773E-2</v>
      </c>
      <c r="C47" t="s">
        <v>218</v>
      </c>
      <c r="D47">
        <v>103</v>
      </c>
      <c r="E47" t="s">
        <v>1314</v>
      </c>
      <c r="F47" t="str">
        <f>_xlfn.XLOOKUP(Log_Reseau_Master[[#This Row],[Cell_ID]],_29_03_2026_Registre_Maintenance_V2[ID_Antenne],_29_03_2026_Registre_Maintenance_V2[Province_RDC],"Pas de correspondance")</f>
        <v>Nord-Kivu</v>
      </c>
      <c r="G47" t="str">
        <f>_xlfn.XLOOKUP(Log_Reseau_Master[[#This Row],[Cell_ID]],_29_03_2026_Registre_Maintenance_V2[ID_Antenne],_29_03_2026_Registre_Maintenance_V2[Technologie],"Pas de correspondance")</f>
        <v>5G</v>
      </c>
      <c r="H47" t="str">
        <f>_xlfn.XLOOKUP(Log_Reseau_Master[[#This Row],[Cell_ID]],_29_03_2026_Registre_Maintenance_V2[ID_Antenne],_29_03_2026_Registre_Maintenance_V2[Equipementier],"Pas de correspondance")</f>
        <v>Nokia</v>
      </c>
    </row>
    <row r="48" spans="1:8" hidden="1" x14ac:dyDescent="0.25">
      <c r="A48" s="1">
        <v>45201.856944444444</v>
      </c>
      <c r="B48">
        <f>Log_Reseau_Master[[#This Row],[Duree_Panne_Min]]/1440</f>
        <v>4.2361111111111113E-2</v>
      </c>
      <c r="C48" t="s">
        <v>1348</v>
      </c>
      <c r="D48">
        <v>61</v>
      </c>
      <c r="E48" t="s">
        <v>1314</v>
      </c>
      <c r="F48" t="str">
        <f>_xlfn.XLOOKUP(Log_Reseau_Master[[#This Row],[Cell_ID]],_29_03_2026_Registre_Maintenance_V2[ID_Antenne],_29_03_2026_Registre_Maintenance_V2[Province_RDC],"Pas de correspondance")</f>
        <v>Pas de correspondance</v>
      </c>
      <c r="G48" t="str">
        <f>_xlfn.XLOOKUP(Log_Reseau_Master[[#This Row],[Cell_ID]],_29_03_2026_Registre_Maintenance_V2[ID_Antenne],_29_03_2026_Registre_Maintenance_V2[Technologie],"Pas de correspondance")</f>
        <v>Pas de correspondance</v>
      </c>
      <c r="H48" t="str">
        <f>_xlfn.XLOOKUP(Log_Reseau_Master[[#This Row],[Cell_ID]],_29_03_2026_Registre_Maintenance_V2[ID_Antenne],_29_03_2026_Registre_Maintenance_V2[Equipementier],"Pas de correspondance")</f>
        <v>Pas de correspondance</v>
      </c>
    </row>
    <row r="49" spans="1:8" hidden="1" x14ac:dyDescent="0.25">
      <c r="A49" s="1">
        <v>45211.324305555558</v>
      </c>
      <c r="B49">
        <f>Log_Reseau_Master[[#This Row],[Duree_Panne_Min]]/1440</f>
        <v>8.3333333333333329E-2</v>
      </c>
      <c r="C49" t="s">
        <v>1349</v>
      </c>
      <c r="D49">
        <v>120</v>
      </c>
      <c r="E49" t="s">
        <v>1321</v>
      </c>
      <c r="F49" t="str">
        <f>_xlfn.XLOOKUP(Log_Reseau_Master[[#This Row],[Cell_ID]],_29_03_2026_Registre_Maintenance_V2[ID_Antenne],_29_03_2026_Registre_Maintenance_V2[Province_RDC],"Pas de correspondance")</f>
        <v>Pas de correspondance</v>
      </c>
      <c r="G49" t="str">
        <f>_xlfn.XLOOKUP(Log_Reseau_Master[[#This Row],[Cell_ID]],_29_03_2026_Registre_Maintenance_V2[ID_Antenne],_29_03_2026_Registre_Maintenance_V2[Technologie],"Pas de correspondance")</f>
        <v>Pas de correspondance</v>
      </c>
      <c r="H49" t="str">
        <f>_xlfn.XLOOKUP(Log_Reseau_Master[[#This Row],[Cell_ID]],_29_03_2026_Registre_Maintenance_V2[ID_Antenne],_29_03_2026_Registre_Maintenance_V2[Equipementier],"Pas de correspondance")</f>
        <v>Pas de correspondance</v>
      </c>
    </row>
    <row r="50" spans="1:8" hidden="1" x14ac:dyDescent="0.25">
      <c r="A50" s="1">
        <v>45205.480555555558</v>
      </c>
      <c r="B50">
        <f>Log_Reseau_Master[[#This Row],[Duree_Panne_Min]]/1440</f>
        <v>2.9861111111111113E-2</v>
      </c>
      <c r="C50" t="s">
        <v>1350</v>
      </c>
      <c r="D50">
        <v>43</v>
      </c>
      <c r="E50" t="s">
        <v>1312</v>
      </c>
      <c r="F50" t="str">
        <f>_xlfn.XLOOKUP(Log_Reseau_Master[[#This Row],[Cell_ID]],_29_03_2026_Registre_Maintenance_V2[ID_Antenne],_29_03_2026_Registre_Maintenance_V2[Province_RDC],"Pas de correspondance")</f>
        <v>Pas de correspondance</v>
      </c>
      <c r="G50" t="str">
        <f>_xlfn.XLOOKUP(Log_Reseau_Master[[#This Row],[Cell_ID]],_29_03_2026_Registre_Maintenance_V2[ID_Antenne],_29_03_2026_Registre_Maintenance_V2[Technologie],"Pas de correspondance")</f>
        <v>Pas de correspondance</v>
      </c>
      <c r="H50" t="str">
        <f>_xlfn.XLOOKUP(Log_Reseau_Master[[#This Row],[Cell_ID]],_29_03_2026_Registre_Maintenance_V2[ID_Antenne],_29_03_2026_Registre_Maintenance_V2[Equipementier],"Pas de correspondance")</f>
        <v>Pas de correspondance</v>
      </c>
    </row>
    <row r="51" spans="1:8" hidden="1" x14ac:dyDescent="0.25">
      <c r="A51" s="1">
        <v>45201.043055555558</v>
      </c>
      <c r="B51">
        <f>Log_Reseau_Master[[#This Row],[Duree_Panne_Min]]/1440</f>
        <v>3.125E-2</v>
      </c>
      <c r="C51" t="s">
        <v>1350</v>
      </c>
      <c r="D51">
        <v>45</v>
      </c>
      <c r="E51" t="s">
        <v>1312</v>
      </c>
      <c r="F51" t="str">
        <f>_xlfn.XLOOKUP(Log_Reseau_Master[[#This Row],[Cell_ID]],_29_03_2026_Registre_Maintenance_V2[ID_Antenne],_29_03_2026_Registre_Maintenance_V2[Province_RDC],"Pas de correspondance")</f>
        <v>Pas de correspondance</v>
      </c>
      <c r="G51" t="str">
        <f>_xlfn.XLOOKUP(Log_Reseau_Master[[#This Row],[Cell_ID]],_29_03_2026_Registre_Maintenance_V2[ID_Antenne],_29_03_2026_Registre_Maintenance_V2[Technologie],"Pas de correspondance")</f>
        <v>Pas de correspondance</v>
      </c>
      <c r="H51" t="str">
        <f>_xlfn.XLOOKUP(Log_Reseau_Master[[#This Row],[Cell_ID]],_29_03_2026_Registre_Maintenance_V2[ID_Antenne],_29_03_2026_Registre_Maintenance_V2[Equipementier],"Pas de correspondance")</f>
        <v>Pas de correspondance</v>
      </c>
    </row>
    <row r="52" spans="1:8" hidden="1" x14ac:dyDescent="0.25">
      <c r="A52" s="1">
        <v>45214.113194444442</v>
      </c>
      <c r="B52">
        <f>Log_Reseau_Master[[#This Row],[Duree_Panne_Min]]/1440</f>
        <v>3.2638888888888891E-2</v>
      </c>
      <c r="C52" t="s">
        <v>1351</v>
      </c>
      <c r="D52">
        <v>47</v>
      </c>
      <c r="E52" t="s">
        <v>1321</v>
      </c>
      <c r="F52" t="str">
        <f>_xlfn.XLOOKUP(Log_Reseau_Master[[#This Row],[Cell_ID]],_29_03_2026_Registre_Maintenance_V2[ID_Antenne],_29_03_2026_Registre_Maintenance_V2[Province_RDC],"Pas de correspondance")</f>
        <v>Pas de correspondance</v>
      </c>
      <c r="G52" t="str">
        <f>_xlfn.XLOOKUP(Log_Reseau_Master[[#This Row],[Cell_ID]],_29_03_2026_Registre_Maintenance_V2[ID_Antenne],_29_03_2026_Registre_Maintenance_V2[Technologie],"Pas de correspondance")</f>
        <v>Pas de correspondance</v>
      </c>
      <c r="H52" t="str">
        <f>_xlfn.XLOOKUP(Log_Reseau_Master[[#This Row],[Cell_ID]],_29_03_2026_Registre_Maintenance_V2[ID_Antenne],_29_03_2026_Registre_Maintenance_V2[Equipementier],"Pas de correspondance")</f>
        <v>Pas de correspondance</v>
      </c>
    </row>
    <row r="53" spans="1:8" hidden="1" x14ac:dyDescent="0.25">
      <c r="A53" s="1">
        <v>45227.135416666664</v>
      </c>
      <c r="B53">
        <f>Log_Reseau_Master[[#This Row],[Duree_Panne_Min]]/1440</f>
        <v>9.0277777777777769E-3</v>
      </c>
      <c r="C53" t="s">
        <v>1351</v>
      </c>
      <c r="D53">
        <v>13</v>
      </c>
      <c r="E53" t="s">
        <v>1312</v>
      </c>
      <c r="F53" t="str">
        <f>_xlfn.XLOOKUP(Log_Reseau_Master[[#This Row],[Cell_ID]],_29_03_2026_Registre_Maintenance_V2[ID_Antenne],_29_03_2026_Registre_Maintenance_V2[Province_RDC],"Pas de correspondance")</f>
        <v>Pas de correspondance</v>
      </c>
      <c r="G53" t="str">
        <f>_xlfn.XLOOKUP(Log_Reseau_Master[[#This Row],[Cell_ID]],_29_03_2026_Registre_Maintenance_V2[ID_Antenne],_29_03_2026_Registre_Maintenance_V2[Technologie],"Pas de correspondance")</f>
        <v>Pas de correspondance</v>
      </c>
      <c r="H53" t="str">
        <f>_xlfn.XLOOKUP(Log_Reseau_Master[[#This Row],[Cell_ID]],_29_03_2026_Registre_Maintenance_V2[ID_Antenne],_29_03_2026_Registre_Maintenance_V2[Equipementier],"Pas de correspondance")</f>
        <v>Pas de correspondance</v>
      </c>
    </row>
    <row r="54" spans="1:8" hidden="1" x14ac:dyDescent="0.25">
      <c r="A54" s="1">
        <v>45220.230555555558</v>
      </c>
      <c r="B54">
        <f>Log_Reseau_Master[[#This Row],[Duree_Panne_Min]]/1440</f>
        <v>7.7083333333333337E-2</v>
      </c>
      <c r="C54" t="s">
        <v>1351</v>
      </c>
      <c r="D54">
        <v>111</v>
      </c>
      <c r="E54" t="s">
        <v>1321</v>
      </c>
      <c r="F54" t="str">
        <f>_xlfn.XLOOKUP(Log_Reseau_Master[[#This Row],[Cell_ID]],_29_03_2026_Registre_Maintenance_V2[ID_Antenne],_29_03_2026_Registre_Maintenance_V2[Province_RDC],"Pas de correspondance")</f>
        <v>Pas de correspondance</v>
      </c>
      <c r="G54" t="str">
        <f>_xlfn.XLOOKUP(Log_Reseau_Master[[#This Row],[Cell_ID]],_29_03_2026_Registre_Maintenance_V2[ID_Antenne],_29_03_2026_Registre_Maintenance_V2[Technologie],"Pas de correspondance")</f>
        <v>Pas de correspondance</v>
      </c>
      <c r="H54" t="str">
        <f>_xlfn.XLOOKUP(Log_Reseau_Master[[#This Row],[Cell_ID]],_29_03_2026_Registre_Maintenance_V2[ID_Antenne],_29_03_2026_Registre_Maintenance_V2[Equipementier],"Pas de correspondance")</f>
        <v>Pas de correspondance</v>
      </c>
    </row>
    <row r="55" spans="1:8" x14ac:dyDescent="0.25">
      <c r="A55" s="1">
        <v>45221.505555555559</v>
      </c>
      <c r="B55" s="4">
        <f>Log_Reseau_Master[[#This Row],[Duree_Panne_Min]]/1440</f>
        <v>3.5416666666666666E-2</v>
      </c>
      <c r="C55" t="s">
        <v>385</v>
      </c>
      <c r="D55">
        <v>51</v>
      </c>
      <c r="E55" t="s">
        <v>1314</v>
      </c>
      <c r="F55" t="str">
        <f>_xlfn.XLOOKUP(Log_Reseau_Master[[#This Row],[Cell_ID]],_29_03_2026_Registre_Maintenance_V2[ID_Antenne],_29_03_2026_Registre_Maintenance_V2[Province_RDC],"Pas de correspondance")</f>
        <v>Mongala</v>
      </c>
      <c r="G55" t="str">
        <f>_xlfn.XLOOKUP(Log_Reseau_Master[[#This Row],[Cell_ID]],_29_03_2026_Registre_Maintenance_V2[ID_Antenne],_29_03_2026_Registre_Maintenance_V2[Technologie],"Pas de correspondance")</f>
        <v>3G</v>
      </c>
      <c r="H55" t="str">
        <f>_xlfn.XLOOKUP(Log_Reseau_Master[[#This Row],[Cell_ID]],_29_03_2026_Registre_Maintenance_V2[ID_Antenne],_29_03_2026_Registre_Maintenance_V2[Equipementier],"Pas de correspondance")</f>
        <v>Ericsson</v>
      </c>
    </row>
    <row r="56" spans="1:8" x14ac:dyDescent="0.25">
      <c r="A56" s="1">
        <v>45223.400694444441</v>
      </c>
      <c r="B56" s="4">
        <f>Log_Reseau_Master[[#This Row],[Duree_Panne_Min]]/1440</f>
        <v>2.8472222222222222E-2</v>
      </c>
      <c r="C56" t="s">
        <v>385</v>
      </c>
      <c r="D56">
        <v>41</v>
      </c>
      <c r="E56" t="s">
        <v>1321</v>
      </c>
      <c r="F56" t="str">
        <f>_xlfn.XLOOKUP(Log_Reseau_Master[[#This Row],[Cell_ID]],_29_03_2026_Registre_Maintenance_V2[ID_Antenne],_29_03_2026_Registre_Maintenance_V2[Province_RDC],"Pas de correspondance")</f>
        <v>Mongala</v>
      </c>
      <c r="G56" t="str">
        <f>_xlfn.XLOOKUP(Log_Reseau_Master[[#This Row],[Cell_ID]],_29_03_2026_Registre_Maintenance_V2[ID_Antenne],_29_03_2026_Registre_Maintenance_V2[Technologie],"Pas de correspondance")</f>
        <v>3G</v>
      </c>
      <c r="H56" t="str">
        <f>_xlfn.XLOOKUP(Log_Reseau_Master[[#This Row],[Cell_ID]],_29_03_2026_Registre_Maintenance_V2[ID_Antenne],_29_03_2026_Registre_Maintenance_V2[Equipementier],"Pas de correspondance")</f>
        <v>Ericsson</v>
      </c>
    </row>
    <row r="57" spans="1:8" x14ac:dyDescent="0.25">
      <c r="A57" s="1">
        <v>45206.956944444442</v>
      </c>
      <c r="B57" s="4">
        <f>Log_Reseau_Master[[#This Row],[Duree_Panne_Min]]/1440</f>
        <v>2.2222222222222223E-2</v>
      </c>
      <c r="C57" t="s">
        <v>535</v>
      </c>
      <c r="D57">
        <v>32</v>
      </c>
      <c r="E57" t="s">
        <v>1312</v>
      </c>
      <c r="F57" t="str">
        <f>_xlfn.XLOOKUP(Log_Reseau_Master[[#This Row],[Cell_ID]],_29_03_2026_Registre_Maintenance_V2[ID_Antenne],_29_03_2026_Registre_Maintenance_V2[Province_RDC],"Pas de correspondance")</f>
        <v>Mai-Ndombe</v>
      </c>
      <c r="G57" t="str">
        <f>_xlfn.XLOOKUP(Log_Reseau_Master[[#This Row],[Cell_ID]],_29_03_2026_Registre_Maintenance_V2[ID_Antenne],_29_03_2026_Registre_Maintenance_V2[Technologie],"Pas de correspondance")</f>
        <v>4G</v>
      </c>
      <c r="H57" t="str">
        <f>_xlfn.XLOOKUP(Log_Reseau_Master[[#This Row],[Cell_ID]],_29_03_2026_Registre_Maintenance_V2[ID_Antenne],_29_03_2026_Registre_Maintenance_V2[Equipementier],"Pas de correspondance")</f>
        <v>Huawei</v>
      </c>
    </row>
    <row r="58" spans="1:8" x14ac:dyDescent="0.25">
      <c r="A58" s="1">
        <v>45201.824305555558</v>
      </c>
      <c r="B58" s="4">
        <f>Log_Reseau_Master[[#This Row],[Duree_Panne_Min]]/1440</f>
        <v>1.9444444444444445E-2</v>
      </c>
      <c r="C58" t="s">
        <v>535</v>
      </c>
      <c r="D58">
        <v>28</v>
      </c>
      <c r="E58" t="s">
        <v>1312</v>
      </c>
      <c r="F58" t="str">
        <f>_xlfn.XLOOKUP(Log_Reseau_Master[[#This Row],[Cell_ID]],_29_03_2026_Registre_Maintenance_V2[ID_Antenne],_29_03_2026_Registre_Maintenance_V2[Province_RDC],"Pas de correspondance")</f>
        <v>Mai-Ndombe</v>
      </c>
      <c r="G58" t="str">
        <f>_xlfn.XLOOKUP(Log_Reseau_Master[[#This Row],[Cell_ID]],_29_03_2026_Registre_Maintenance_V2[ID_Antenne],_29_03_2026_Registre_Maintenance_V2[Technologie],"Pas de correspondance")</f>
        <v>4G</v>
      </c>
      <c r="H58" t="str">
        <f>_xlfn.XLOOKUP(Log_Reseau_Master[[#This Row],[Cell_ID]],_29_03_2026_Registre_Maintenance_V2[ID_Antenne],_29_03_2026_Registre_Maintenance_V2[Equipementier],"Pas de correspondance")</f>
        <v>Huawei</v>
      </c>
    </row>
    <row r="59" spans="1:8" x14ac:dyDescent="0.25">
      <c r="A59" s="1">
        <v>45224.98333333333</v>
      </c>
      <c r="B59" s="4">
        <f>Log_Reseau_Master[[#This Row],[Duree_Panne_Min]]/1440</f>
        <v>7.4305555555555555E-2</v>
      </c>
      <c r="C59" t="s">
        <v>535</v>
      </c>
      <c r="D59">
        <v>107</v>
      </c>
      <c r="E59" t="s">
        <v>1321</v>
      </c>
      <c r="F59" t="str">
        <f>_xlfn.XLOOKUP(Log_Reseau_Master[[#This Row],[Cell_ID]],_29_03_2026_Registre_Maintenance_V2[ID_Antenne],_29_03_2026_Registre_Maintenance_V2[Province_RDC],"Pas de correspondance")</f>
        <v>Mai-Ndombe</v>
      </c>
      <c r="G59" t="str">
        <f>_xlfn.XLOOKUP(Log_Reseau_Master[[#This Row],[Cell_ID]],_29_03_2026_Registre_Maintenance_V2[ID_Antenne],_29_03_2026_Registre_Maintenance_V2[Technologie],"Pas de correspondance")</f>
        <v>4G</v>
      </c>
      <c r="H59" t="str">
        <f>_xlfn.XLOOKUP(Log_Reseau_Master[[#This Row],[Cell_ID]],_29_03_2026_Registre_Maintenance_V2[ID_Antenne],_29_03_2026_Registre_Maintenance_V2[Equipementier],"Pas de correspondance")</f>
        <v>Huawei</v>
      </c>
    </row>
    <row r="60" spans="1:8" x14ac:dyDescent="0.25">
      <c r="A60" s="1">
        <v>45223.570138888892</v>
      </c>
      <c r="B60" s="4">
        <f>Log_Reseau_Master[[#This Row],[Duree_Panne_Min]]/1440</f>
        <v>6.9444444444444441E-3</v>
      </c>
      <c r="C60" t="s">
        <v>535</v>
      </c>
      <c r="D60">
        <v>10</v>
      </c>
      <c r="E60" t="s">
        <v>1312</v>
      </c>
      <c r="F60" t="str">
        <f>_xlfn.XLOOKUP(Log_Reseau_Master[[#This Row],[Cell_ID]],_29_03_2026_Registre_Maintenance_V2[ID_Antenne],_29_03_2026_Registre_Maintenance_V2[Province_RDC],"Pas de correspondance")</f>
        <v>Mai-Ndombe</v>
      </c>
      <c r="G60" t="str">
        <f>_xlfn.XLOOKUP(Log_Reseau_Master[[#This Row],[Cell_ID]],_29_03_2026_Registre_Maintenance_V2[ID_Antenne],_29_03_2026_Registre_Maintenance_V2[Technologie],"Pas de correspondance")</f>
        <v>4G</v>
      </c>
      <c r="H60" t="str">
        <f>_xlfn.XLOOKUP(Log_Reseau_Master[[#This Row],[Cell_ID]],_29_03_2026_Registre_Maintenance_V2[ID_Antenne],_29_03_2026_Registre_Maintenance_V2[Equipementier],"Pas de correspondance")</f>
        <v>Huawei</v>
      </c>
    </row>
    <row r="61" spans="1:8" x14ac:dyDescent="0.25">
      <c r="A61" s="1">
        <v>45220.677083333336</v>
      </c>
      <c r="B61" s="4">
        <f>Log_Reseau_Master[[#This Row],[Duree_Panne_Min]]/1440</f>
        <v>7.4305555555555555E-2</v>
      </c>
      <c r="C61" t="s">
        <v>229</v>
      </c>
      <c r="D61">
        <v>107</v>
      </c>
      <c r="E61" t="s">
        <v>1321</v>
      </c>
      <c r="F61" t="str">
        <f>_xlfn.XLOOKUP(Log_Reseau_Master[[#This Row],[Cell_ID]],_29_03_2026_Registre_Maintenance_V2[ID_Antenne],_29_03_2026_Registre_Maintenance_V2[Province_RDC],"Pas de correspondance")</f>
        <v>Tshopo</v>
      </c>
      <c r="G61" t="str">
        <f>_xlfn.XLOOKUP(Log_Reseau_Master[[#This Row],[Cell_ID]],_29_03_2026_Registre_Maintenance_V2[ID_Antenne],_29_03_2026_Registre_Maintenance_V2[Technologie],"Pas de correspondance")</f>
        <v>4G</v>
      </c>
      <c r="H61" t="str">
        <f>_xlfn.XLOOKUP(Log_Reseau_Master[[#This Row],[Cell_ID]],_29_03_2026_Registre_Maintenance_V2[ID_Antenne],_29_03_2026_Registre_Maintenance_V2[Equipementier],"Pas de correspondance")</f>
        <v>ZTE</v>
      </c>
    </row>
    <row r="62" spans="1:8" x14ac:dyDescent="0.25">
      <c r="A62" s="1">
        <v>45216.709027777775</v>
      </c>
      <c r="B62" s="4">
        <f>Log_Reseau_Master[[#This Row],[Duree_Panne_Min]]/1440</f>
        <v>2.7083333333333334E-2</v>
      </c>
      <c r="C62" t="s">
        <v>410</v>
      </c>
      <c r="D62">
        <v>39</v>
      </c>
      <c r="E62" t="s">
        <v>1314</v>
      </c>
      <c r="F62" t="str">
        <f>_xlfn.XLOOKUP(Log_Reseau_Master[[#This Row],[Cell_ID]],_29_03_2026_Registre_Maintenance_V2[ID_Antenne],_29_03_2026_Registre_Maintenance_V2[Province_RDC],"Pas de correspondance")</f>
        <v>Ituri</v>
      </c>
      <c r="G62" t="str">
        <f>_xlfn.XLOOKUP(Log_Reseau_Master[[#This Row],[Cell_ID]],_29_03_2026_Registre_Maintenance_V2[ID_Antenne],_29_03_2026_Registre_Maintenance_V2[Technologie],"Pas de correspondance")</f>
        <v>5G</v>
      </c>
      <c r="H62" t="str">
        <f>_xlfn.XLOOKUP(Log_Reseau_Master[[#This Row],[Cell_ID]],_29_03_2026_Registre_Maintenance_V2[ID_Antenne],_29_03_2026_Registre_Maintenance_V2[Equipementier],"Pas de correspondance")</f>
        <v>Ericsson</v>
      </c>
    </row>
    <row r="63" spans="1:8" x14ac:dyDescent="0.25">
      <c r="A63" s="1">
        <v>45201.245833333334</v>
      </c>
      <c r="B63" s="4">
        <f>Log_Reseau_Master[[#This Row],[Duree_Panne_Min]]/1440</f>
        <v>6.3194444444444442E-2</v>
      </c>
      <c r="C63" t="s">
        <v>410</v>
      </c>
      <c r="D63">
        <v>91</v>
      </c>
      <c r="E63" t="s">
        <v>1312</v>
      </c>
      <c r="F63" t="str">
        <f>_xlfn.XLOOKUP(Log_Reseau_Master[[#This Row],[Cell_ID]],_29_03_2026_Registre_Maintenance_V2[ID_Antenne],_29_03_2026_Registre_Maintenance_V2[Province_RDC],"Pas de correspondance")</f>
        <v>Ituri</v>
      </c>
      <c r="G63" t="str">
        <f>_xlfn.XLOOKUP(Log_Reseau_Master[[#This Row],[Cell_ID]],_29_03_2026_Registre_Maintenance_V2[ID_Antenne],_29_03_2026_Registre_Maintenance_V2[Technologie],"Pas de correspondance")</f>
        <v>5G</v>
      </c>
      <c r="H63" t="str">
        <f>_xlfn.XLOOKUP(Log_Reseau_Master[[#This Row],[Cell_ID]],_29_03_2026_Registre_Maintenance_V2[ID_Antenne],_29_03_2026_Registre_Maintenance_V2[Equipementier],"Pas de correspondance")</f>
        <v>Ericsson</v>
      </c>
    </row>
    <row r="64" spans="1:8" hidden="1" x14ac:dyDescent="0.25">
      <c r="A64" s="1">
        <v>45222.425694444442</v>
      </c>
      <c r="B64">
        <f>Log_Reseau_Master[[#This Row],[Duree_Panne_Min]]/1440</f>
        <v>3.3333333333333333E-2</v>
      </c>
      <c r="C64" t="s">
        <v>1354</v>
      </c>
      <c r="D64">
        <v>48</v>
      </c>
      <c r="E64" t="s">
        <v>1314</v>
      </c>
      <c r="F64" t="str">
        <f>_xlfn.XLOOKUP(Log_Reseau_Master[[#This Row],[Cell_ID]],_29_03_2026_Registre_Maintenance_V2[ID_Antenne],_29_03_2026_Registre_Maintenance_V2[Province_RDC],"Pas de correspondance")</f>
        <v>Pas de correspondance</v>
      </c>
      <c r="G64" t="str">
        <f>_xlfn.XLOOKUP(Log_Reseau_Master[[#This Row],[Cell_ID]],_29_03_2026_Registre_Maintenance_V2[ID_Antenne],_29_03_2026_Registre_Maintenance_V2[Technologie],"Pas de correspondance")</f>
        <v>Pas de correspondance</v>
      </c>
      <c r="H64" t="str">
        <f>_xlfn.XLOOKUP(Log_Reseau_Master[[#This Row],[Cell_ID]],_29_03_2026_Registre_Maintenance_V2[ID_Antenne],_29_03_2026_Registre_Maintenance_V2[Equipementier],"Pas de correspondance")</f>
        <v>Pas de correspondance</v>
      </c>
    </row>
    <row r="65" spans="1:8" hidden="1" x14ac:dyDescent="0.25">
      <c r="A65" s="1">
        <v>45217.488194444442</v>
      </c>
      <c r="B65">
        <f>Log_Reseau_Master[[#This Row],[Duree_Panne_Min]]/1440</f>
        <v>6.5277777777777782E-2</v>
      </c>
      <c r="C65" t="s">
        <v>1355</v>
      </c>
      <c r="D65">
        <v>94</v>
      </c>
      <c r="E65" t="s">
        <v>1314</v>
      </c>
      <c r="F65" t="str">
        <f>_xlfn.XLOOKUP(Log_Reseau_Master[[#This Row],[Cell_ID]],_29_03_2026_Registre_Maintenance_V2[ID_Antenne],_29_03_2026_Registre_Maintenance_V2[Province_RDC],"Pas de correspondance")</f>
        <v>Pas de correspondance</v>
      </c>
      <c r="G65" t="str">
        <f>_xlfn.XLOOKUP(Log_Reseau_Master[[#This Row],[Cell_ID]],_29_03_2026_Registre_Maintenance_V2[ID_Antenne],_29_03_2026_Registre_Maintenance_V2[Technologie],"Pas de correspondance")</f>
        <v>Pas de correspondance</v>
      </c>
      <c r="H65" t="str">
        <f>_xlfn.XLOOKUP(Log_Reseau_Master[[#This Row],[Cell_ID]],_29_03_2026_Registre_Maintenance_V2[ID_Antenne],_29_03_2026_Registre_Maintenance_V2[Equipementier],"Pas de correspondance")</f>
        <v>Pas de correspondance</v>
      </c>
    </row>
    <row r="66" spans="1:8" hidden="1" x14ac:dyDescent="0.25">
      <c r="A66" s="1">
        <v>45221.96597222222</v>
      </c>
      <c r="B66">
        <f>Log_Reseau_Master[[#This Row],[Duree_Panne_Min]]/1440</f>
        <v>5.8333333333333334E-2</v>
      </c>
      <c r="C66" t="s">
        <v>1356</v>
      </c>
      <c r="D66">
        <v>84</v>
      </c>
      <c r="E66" t="s">
        <v>1321</v>
      </c>
      <c r="F66" t="str">
        <f>_xlfn.XLOOKUP(Log_Reseau_Master[[#This Row],[Cell_ID]],_29_03_2026_Registre_Maintenance_V2[ID_Antenne],_29_03_2026_Registre_Maintenance_V2[Province_RDC],"Pas de correspondance")</f>
        <v>Pas de correspondance</v>
      </c>
      <c r="G66" t="str">
        <f>_xlfn.XLOOKUP(Log_Reseau_Master[[#This Row],[Cell_ID]],_29_03_2026_Registre_Maintenance_V2[ID_Antenne],_29_03_2026_Registre_Maintenance_V2[Technologie],"Pas de correspondance")</f>
        <v>Pas de correspondance</v>
      </c>
      <c r="H66" t="str">
        <f>_xlfn.XLOOKUP(Log_Reseau_Master[[#This Row],[Cell_ID]],_29_03_2026_Registre_Maintenance_V2[ID_Antenne],_29_03_2026_Registre_Maintenance_V2[Equipementier],"Pas de correspondance")</f>
        <v>Pas de correspondance</v>
      </c>
    </row>
    <row r="67" spans="1:8" hidden="1" x14ac:dyDescent="0.25">
      <c r="A67" s="1">
        <v>45203.958333333336</v>
      </c>
      <c r="B67">
        <f>Log_Reseau_Master[[#This Row],[Duree_Panne_Min]]/1440</f>
        <v>4.5138888888888888E-2</v>
      </c>
      <c r="C67" t="s">
        <v>1357</v>
      </c>
      <c r="D67">
        <v>65</v>
      </c>
      <c r="E67" t="s">
        <v>1321</v>
      </c>
      <c r="F67" t="str">
        <f>_xlfn.XLOOKUP(Log_Reseau_Master[[#This Row],[Cell_ID]],_29_03_2026_Registre_Maintenance_V2[ID_Antenne],_29_03_2026_Registre_Maintenance_V2[Province_RDC],"Pas de correspondance")</f>
        <v>Pas de correspondance</v>
      </c>
      <c r="G67" t="str">
        <f>_xlfn.XLOOKUP(Log_Reseau_Master[[#This Row],[Cell_ID]],_29_03_2026_Registre_Maintenance_V2[ID_Antenne],_29_03_2026_Registre_Maintenance_V2[Technologie],"Pas de correspondance")</f>
        <v>Pas de correspondance</v>
      </c>
      <c r="H67" t="str">
        <f>_xlfn.XLOOKUP(Log_Reseau_Master[[#This Row],[Cell_ID]],_29_03_2026_Registre_Maintenance_V2[ID_Antenne],_29_03_2026_Registre_Maintenance_V2[Equipementier],"Pas de correspondance")</f>
        <v>Pas de correspondance</v>
      </c>
    </row>
    <row r="68" spans="1:8" hidden="1" x14ac:dyDescent="0.25">
      <c r="A68" s="1">
        <v>45209.174305555556</v>
      </c>
      <c r="B68">
        <f>Log_Reseau_Master[[#This Row],[Duree_Panne_Min]]/1440</f>
        <v>3.472222222222222E-3</v>
      </c>
      <c r="C68" t="s">
        <v>1358</v>
      </c>
      <c r="D68">
        <v>5</v>
      </c>
      <c r="E68" t="s">
        <v>1314</v>
      </c>
      <c r="F68" t="str">
        <f>_xlfn.XLOOKUP(Log_Reseau_Master[[#This Row],[Cell_ID]],_29_03_2026_Registre_Maintenance_V2[ID_Antenne],_29_03_2026_Registre_Maintenance_V2[Province_RDC],"Pas de correspondance")</f>
        <v>Pas de correspondance</v>
      </c>
      <c r="G68" t="str">
        <f>_xlfn.XLOOKUP(Log_Reseau_Master[[#This Row],[Cell_ID]],_29_03_2026_Registre_Maintenance_V2[ID_Antenne],_29_03_2026_Registre_Maintenance_V2[Technologie],"Pas de correspondance")</f>
        <v>Pas de correspondance</v>
      </c>
      <c r="H68" t="str">
        <f>_xlfn.XLOOKUP(Log_Reseau_Master[[#This Row],[Cell_ID]],_29_03_2026_Registre_Maintenance_V2[ID_Antenne],_29_03_2026_Registre_Maintenance_V2[Equipementier],"Pas de correspondance")</f>
        <v>Pas de correspondance</v>
      </c>
    </row>
    <row r="69" spans="1:8" hidden="1" x14ac:dyDescent="0.25">
      <c r="A69" s="1">
        <v>45211.147222222222</v>
      </c>
      <c r="B69">
        <f>Log_Reseau_Master[[#This Row],[Duree_Panne_Min]]/1440</f>
        <v>6.1805555555555558E-2</v>
      </c>
      <c r="C69" t="s">
        <v>1358</v>
      </c>
      <c r="D69">
        <v>89</v>
      </c>
      <c r="E69" t="s">
        <v>1312</v>
      </c>
      <c r="F69" t="str">
        <f>_xlfn.XLOOKUP(Log_Reseau_Master[[#This Row],[Cell_ID]],_29_03_2026_Registre_Maintenance_V2[ID_Antenne],_29_03_2026_Registre_Maintenance_V2[Province_RDC],"Pas de correspondance")</f>
        <v>Pas de correspondance</v>
      </c>
      <c r="G69" t="str">
        <f>_xlfn.XLOOKUP(Log_Reseau_Master[[#This Row],[Cell_ID]],_29_03_2026_Registre_Maintenance_V2[ID_Antenne],_29_03_2026_Registre_Maintenance_V2[Technologie],"Pas de correspondance")</f>
        <v>Pas de correspondance</v>
      </c>
      <c r="H69" t="str">
        <f>_xlfn.XLOOKUP(Log_Reseau_Master[[#This Row],[Cell_ID]],_29_03_2026_Registre_Maintenance_V2[ID_Antenne],_29_03_2026_Registre_Maintenance_V2[Equipementier],"Pas de correspondance")</f>
        <v>Pas de correspondance</v>
      </c>
    </row>
    <row r="70" spans="1:8" x14ac:dyDescent="0.25">
      <c r="A70" s="1">
        <v>45211.063888888886</v>
      </c>
      <c r="B70" s="4">
        <f>Log_Reseau_Master[[#This Row],[Duree_Panne_Min]]/1440</f>
        <v>4.1666666666666666E-3</v>
      </c>
      <c r="C70" t="s">
        <v>397</v>
      </c>
      <c r="D70">
        <v>6</v>
      </c>
      <c r="E70" t="s">
        <v>1321</v>
      </c>
      <c r="F70" t="str">
        <f>_xlfn.XLOOKUP(Log_Reseau_Master[[#This Row],[Cell_ID]],_29_03_2026_Registre_Maintenance_V2[ID_Antenne],_29_03_2026_Registre_Maintenance_V2[Province_RDC],"Pas de correspondance")</f>
        <v>Kasai-Oriental</v>
      </c>
      <c r="G70" t="str">
        <f>_xlfn.XLOOKUP(Log_Reseau_Master[[#This Row],[Cell_ID]],_29_03_2026_Registre_Maintenance_V2[ID_Antenne],_29_03_2026_Registre_Maintenance_V2[Technologie],"Pas de correspondance")</f>
        <v>5G</v>
      </c>
      <c r="H70" t="str">
        <f>_xlfn.XLOOKUP(Log_Reseau_Master[[#This Row],[Cell_ID]],_29_03_2026_Registre_Maintenance_V2[ID_Antenne],_29_03_2026_Registre_Maintenance_V2[Equipementier],"Pas de correspondance")</f>
        <v>Huawei</v>
      </c>
    </row>
    <row r="71" spans="1:8" hidden="1" x14ac:dyDescent="0.25">
      <c r="A71" s="1">
        <v>45221.481944444444</v>
      </c>
      <c r="B71">
        <f>Log_Reseau_Master[[#This Row],[Duree_Panne_Min]]/1440</f>
        <v>5.5555555555555552E-2</v>
      </c>
      <c r="C71" t="s">
        <v>1360</v>
      </c>
      <c r="D71">
        <v>80</v>
      </c>
      <c r="E71" t="s">
        <v>1321</v>
      </c>
      <c r="F71" t="str">
        <f>_xlfn.XLOOKUP(Log_Reseau_Master[[#This Row],[Cell_ID]],_29_03_2026_Registre_Maintenance_V2[ID_Antenne],_29_03_2026_Registre_Maintenance_V2[Province_RDC],"Pas de correspondance")</f>
        <v>Pas de correspondance</v>
      </c>
      <c r="G71" t="str">
        <f>_xlfn.XLOOKUP(Log_Reseau_Master[[#This Row],[Cell_ID]],_29_03_2026_Registre_Maintenance_V2[ID_Antenne],_29_03_2026_Registre_Maintenance_V2[Technologie],"Pas de correspondance")</f>
        <v>Pas de correspondance</v>
      </c>
      <c r="H71" t="str">
        <f>_xlfn.XLOOKUP(Log_Reseau_Master[[#This Row],[Cell_ID]],_29_03_2026_Registre_Maintenance_V2[ID_Antenne],_29_03_2026_Registre_Maintenance_V2[Equipementier],"Pas de correspondance")</f>
        <v>Pas de correspondance</v>
      </c>
    </row>
    <row r="72" spans="1:8" hidden="1" x14ac:dyDescent="0.25">
      <c r="A72" s="1">
        <v>45212.879861111112</v>
      </c>
      <c r="B72">
        <f>Log_Reseau_Master[[#This Row],[Duree_Panne_Min]]/1440</f>
        <v>6.8750000000000006E-2</v>
      </c>
      <c r="C72" t="s">
        <v>1361</v>
      </c>
      <c r="D72">
        <v>99</v>
      </c>
      <c r="E72" t="s">
        <v>1314</v>
      </c>
      <c r="F72" t="str">
        <f>_xlfn.XLOOKUP(Log_Reseau_Master[[#This Row],[Cell_ID]],_29_03_2026_Registre_Maintenance_V2[ID_Antenne],_29_03_2026_Registre_Maintenance_V2[Province_RDC],"Pas de correspondance")</f>
        <v>Pas de correspondance</v>
      </c>
      <c r="G72" t="str">
        <f>_xlfn.XLOOKUP(Log_Reseau_Master[[#This Row],[Cell_ID]],_29_03_2026_Registre_Maintenance_V2[ID_Antenne],_29_03_2026_Registre_Maintenance_V2[Technologie],"Pas de correspondance")</f>
        <v>Pas de correspondance</v>
      </c>
      <c r="H72" t="str">
        <f>_xlfn.XLOOKUP(Log_Reseau_Master[[#This Row],[Cell_ID]],_29_03_2026_Registre_Maintenance_V2[ID_Antenne],_29_03_2026_Registre_Maintenance_V2[Equipementier],"Pas de correspondance")</f>
        <v>Pas de correspondance</v>
      </c>
    </row>
    <row r="73" spans="1:8" hidden="1" x14ac:dyDescent="0.25">
      <c r="A73" s="1">
        <v>45220.262499999997</v>
      </c>
      <c r="B73">
        <f>Log_Reseau_Master[[#This Row],[Duree_Panne_Min]]/1440</f>
        <v>6.6666666666666666E-2</v>
      </c>
      <c r="C73" t="s">
        <v>1361</v>
      </c>
      <c r="D73">
        <v>96</v>
      </c>
      <c r="E73" t="s">
        <v>1314</v>
      </c>
      <c r="F73" t="str">
        <f>_xlfn.XLOOKUP(Log_Reseau_Master[[#This Row],[Cell_ID]],_29_03_2026_Registre_Maintenance_V2[ID_Antenne],_29_03_2026_Registre_Maintenance_V2[Province_RDC],"Pas de correspondance")</f>
        <v>Pas de correspondance</v>
      </c>
      <c r="G73" t="str">
        <f>_xlfn.XLOOKUP(Log_Reseau_Master[[#This Row],[Cell_ID]],_29_03_2026_Registre_Maintenance_V2[ID_Antenne],_29_03_2026_Registre_Maintenance_V2[Technologie],"Pas de correspondance")</f>
        <v>Pas de correspondance</v>
      </c>
      <c r="H73" t="str">
        <f>_xlfn.XLOOKUP(Log_Reseau_Master[[#This Row],[Cell_ID]],_29_03_2026_Registre_Maintenance_V2[ID_Antenne],_29_03_2026_Registre_Maintenance_V2[Equipementier],"Pas de correspondance")</f>
        <v>Pas de correspondance</v>
      </c>
    </row>
    <row r="74" spans="1:8" x14ac:dyDescent="0.25">
      <c r="A74" s="1">
        <v>45207.701388888891</v>
      </c>
      <c r="B74" s="4">
        <f>Log_Reseau_Master[[#This Row],[Duree_Panne_Min]]/1440</f>
        <v>1.8749999999999999E-2</v>
      </c>
      <c r="C74" t="s">
        <v>482</v>
      </c>
      <c r="D74">
        <v>27</v>
      </c>
      <c r="E74" t="s">
        <v>1321</v>
      </c>
      <c r="F74" t="str">
        <f>_xlfn.XLOOKUP(Log_Reseau_Master[[#This Row],[Cell_ID]],_29_03_2026_Registre_Maintenance_V2[ID_Antenne],_29_03_2026_Registre_Maintenance_V2[Province_RDC],"Pas de correspondance")</f>
        <v>Sankuru</v>
      </c>
      <c r="G74" t="str">
        <f>_xlfn.XLOOKUP(Log_Reseau_Master[[#This Row],[Cell_ID]],_29_03_2026_Registre_Maintenance_V2[ID_Antenne],_29_03_2026_Registre_Maintenance_V2[Technologie],"Pas de correspondance")</f>
        <v>4G</v>
      </c>
      <c r="H74" t="str">
        <f>_xlfn.XLOOKUP(Log_Reseau_Master[[#This Row],[Cell_ID]],_29_03_2026_Registre_Maintenance_V2[ID_Antenne],_29_03_2026_Registre_Maintenance_V2[Equipementier],"Pas de correspondance")</f>
        <v>Nokia</v>
      </c>
    </row>
    <row r="75" spans="1:8" x14ac:dyDescent="0.25">
      <c r="A75" s="1">
        <v>45209.558333333334</v>
      </c>
      <c r="B75" s="4">
        <f>Log_Reseau_Master[[#This Row],[Duree_Panne_Min]]/1440</f>
        <v>4.583333333333333E-2</v>
      </c>
      <c r="C75" t="s">
        <v>269</v>
      </c>
      <c r="D75">
        <v>66</v>
      </c>
      <c r="E75" t="s">
        <v>1312</v>
      </c>
      <c r="F75" t="str">
        <f>_xlfn.XLOOKUP(Log_Reseau_Master[[#This Row],[Cell_ID]],_29_03_2026_Registre_Maintenance_V2[ID_Antenne],_29_03_2026_Registre_Maintenance_V2[Province_RDC],"Pas de correspondance")</f>
        <v>Ituri</v>
      </c>
      <c r="G75" t="str">
        <f>_xlfn.XLOOKUP(Log_Reseau_Master[[#This Row],[Cell_ID]],_29_03_2026_Registre_Maintenance_V2[ID_Antenne],_29_03_2026_Registre_Maintenance_V2[Technologie],"Pas de correspondance")</f>
        <v>4G</v>
      </c>
      <c r="H75" t="str">
        <f>_xlfn.XLOOKUP(Log_Reseau_Master[[#This Row],[Cell_ID]],_29_03_2026_Registre_Maintenance_V2[ID_Antenne],_29_03_2026_Registre_Maintenance_V2[Equipementier],"Pas de correspondance")</f>
        <v>Huawei</v>
      </c>
    </row>
    <row r="76" spans="1:8" hidden="1" x14ac:dyDescent="0.25">
      <c r="A76" s="1">
        <v>45221.583333333336</v>
      </c>
      <c r="B76">
        <f>Log_Reseau_Master[[#This Row],[Duree_Panne_Min]]/1440</f>
        <v>7.3611111111111113E-2</v>
      </c>
      <c r="C76" t="s">
        <v>1362</v>
      </c>
      <c r="D76">
        <v>106</v>
      </c>
      <c r="E76" t="s">
        <v>1321</v>
      </c>
      <c r="F76" t="str">
        <f>_xlfn.XLOOKUP(Log_Reseau_Master[[#This Row],[Cell_ID]],_29_03_2026_Registre_Maintenance_V2[ID_Antenne],_29_03_2026_Registre_Maintenance_V2[Province_RDC],"Pas de correspondance")</f>
        <v>Pas de correspondance</v>
      </c>
      <c r="G76" t="str">
        <f>_xlfn.XLOOKUP(Log_Reseau_Master[[#This Row],[Cell_ID]],_29_03_2026_Registre_Maintenance_V2[ID_Antenne],_29_03_2026_Registre_Maintenance_V2[Technologie],"Pas de correspondance")</f>
        <v>Pas de correspondance</v>
      </c>
      <c r="H76" t="str">
        <f>_xlfn.XLOOKUP(Log_Reseau_Master[[#This Row],[Cell_ID]],_29_03_2026_Registre_Maintenance_V2[ID_Antenne],_29_03_2026_Registre_Maintenance_V2[Equipementier],"Pas de correspondance")</f>
        <v>Pas de correspondance</v>
      </c>
    </row>
    <row r="77" spans="1:8" x14ac:dyDescent="0.25">
      <c r="A77" s="1">
        <v>45208.558333333334</v>
      </c>
      <c r="B77" s="4">
        <f>Log_Reseau_Master[[#This Row],[Duree_Panne_Min]]/1440</f>
        <v>3.0555555555555555E-2</v>
      </c>
      <c r="C77" t="s">
        <v>462</v>
      </c>
      <c r="D77">
        <v>44</v>
      </c>
      <c r="E77" t="s">
        <v>1321</v>
      </c>
      <c r="F77" t="str">
        <f>_xlfn.XLOOKUP(Log_Reseau_Master[[#This Row],[Cell_ID]],_29_03_2026_Registre_Maintenance_V2[ID_Antenne],_29_03_2026_Registre_Maintenance_V2[Province_RDC],"Pas de correspondance")</f>
        <v>Kasai-Central</v>
      </c>
      <c r="G77" t="str">
        <f>_xlfn.XLOOKUP(Log_Reseau_Master[[#This Row],[Cell_ID]],_29_03_2026_Registre_Maintenance_V2[ID_Antenne],_29_03_2026_Registre_Maintenance_V2[Technologie],"Pas de correspondance")</f>
        <v>5G</v>
      </c>
      <c r="H77" t="str">
        <f>_xlfn.XLOOKUP(Log_Reseau_Master[[#This Row],[Cell_ID]],_29_03_2026_Registre_Maintenance_V2[ID_Antenne],_29_03_2026_Registre_Maintenance_V2[Equipementier],"Pas de correspondance")</f>
        <v>Huawei</v>
      </c>
    </row>
    <row r="78" spans="1:8" x14ac:dyDescent="0.25">
      <c r="A78" s="1">
        <v>45225.220833333333</v>
      </c>
      <c r="B78" s="4">
        <f>Log_Reseau_Master[[#This Row],[Duree_Panne_Min]]/1440</f>
        <v>7.2222222222222215E-2</v>
      </c>
      <c r="C78" t="s">
        <v>462</v>
      </c>
      <c r="D78">
        <v>104</v>
      </c>
      <c r="E78" t="s">
        <v>1312</v>
      </c>
      <c r="F78" t="str">
        <f>_xlfn.XLOOKUP(Log_Reseau_Master[[#This Row],[Cell_ID]],_29_03_2026_Registre_Maintenance_V2[ID_Antenne],_29_03_2026_Registre_Maintenance_V2[Province_RDC],"Pas de correspondance")</f>
        <v>Kasai-Central</v>
      </c>
      <c r="G78" t="str">
        <f>_xlfn.XLOOKUP(Log_Reseau_Master[[#This Row],[Cell_ID]],_29_03_2026_Registre_Maintenance_V2[ID_Antenne],_29_03_2026_Registre_Maintenance_V2[Technologie],"Pas de correspondance")</f>
        <v>5G</v>
      </c>
      <c r="H78" t="str">
        <f>_xlfn.XLOOKUP(Log_Reseau_Master[[#This Row],[Cell_ID]],_29_03_2026_Registre_Maintenance_V2[ID_Antenne],_29_03_2026_Registre_Maintenance_V2[Equipementier],"Pas de correspondance")</f>
        <v>Huawei</v>
      </c>
    </row>
    <row r="79" spans="1:8" hidden="1" x14ac:dyDescent="0.25">
      <c r="A79" s="1">
        <v>45204.570138888892</v>
      </c>
      <c r="B79">
        <f>Log_Reseau_Master[[#This Row],[Duree_Panne_Min]]/1440</f>
        <v>9.0277777777777769E-3</v>
      </c>
      <c r="C79" t="s">
        <v>1363</v>
      </c>
      <c r="D79">
        <v>13</v>
      </c>
      <c r="E79" t="s">
        <v>1321</v>
      </c>
      <c r="F79" t="str">
        <f>_xlfn.XLOOKUP(Log_Reseau_Master[[#This Row],[Cell_ID]],_29_03_2026_Registre_Maintenance_V2[ID_Antenne],_29_03_2026_Registre_Maintenance_V2[Province_RDC],"Pas de correspondance")</f>
        <v>Pas de correspondance</v>
      </c>
      <c r="G79" t="str">
        <f>_xlfn.XLOOKUP(Log_Reseau_Master[[#This Row],[Cell_ID]],_29_03_2026_Registre_Maintenance_V2[ID_Antenne],_29_03_2026_Registre_Maintenance_V2[Technologie],"Pas de correspondance")</f>
        <v>Pas de correspondance</v>
      </c>
      <c r="H79" t="str">
        <f>_xlfn.XLOOKUP(Log_Reseau_Master[[#This Row],[Cell_ID]],_29_03_2026_Registre_Maintenance_V2[ID_Antenne],_29_03_2026_Registre_Maintenance_V2[Equipementier],"Pas de correspondance")</f>
        <v>Pas de correspondance</v>
      </c>
    </row>
    <row r="80" spans="1:8" hidden="1" x14ac:dyDescent="0.25">
      <c r="A80" s="1">
        <v>45212.626388888886</v>
      </c>
      <c r="B80">
        <f>Log_Reseau_Master[[#This Row],[Duree_Panne_Min]]/1440</f>
        <v>7.4305555555555555E-2</v>
      </c>
      <c r="C80" t="s">
        <v>1364</v>
      </c>
      <c r="D80">
        <v>107</v>
      </c>
      <c r="E80" t="s">
        <v>1312</v>
      </c>
      <c r="F80" t="str">
        <f>_xlfn.XLOOKUP(Log_Reseau_Master[[#This Row],[Cell_ID]],_29_03_2026_Registre_Maintenance_V2[ID_Antenne],_29_03_2026_Registre_Maintenance_V2[Province_RDC],"Pas de correspondance")</f>
        <v>Pas de correspondance</v>
      </c>
      <c r="G80" t="str">
        <f>_xlfn.XLOOKUP(Log_Reseau_Master[[#This Row],[Cell_ID]],_29_03_2026_Registre_Maintenance_V2[ID_Antenne],_29_03_2026_Registre_Maintenance_V2[Technologie],"Pas de correspondance")</f>
        <v>Pas de correspondance</v>
      </c>
      <c r="H80" t="str">
        <f>_xlfn.XLOOKUP(Log_Reseau_Master[[#This Row],[Cell_ID]],_29_03_2026_Registre_Maintenance_V2[ID_Antenne],_29_03_2026_Registre_Maintenance_V2[Equipementier],"Pas de correspondance")</f>
        <v>Pas de correspondance</v>
      </c>
    </row>
    <row r="81" spans="1:8" hidden="1" x14ac:dyDescent="0.25">
      <c r="A81" s="1">
        <v>45210.30972222222</v>
      </c>
      <c r="B81">
        <f>Log_Reseau_Master[[#This Row],[Duree_Panne_Min]]/1440</f>
        <v>3.2638888888888891E-2</v>
      </c>
      <c r="C81" t="s">
        <v>1364</v>
      </c>
      <c r="D81">
        <v>47</v>
      </c>
      <c r="E81" t="s">
        <v>1312</v>
      </c>
      <c r="F81" t="str">
        <f>_xlfn.XLOOKUP(Log_Reseau_Master[[#This Row],[Cell_ID]],_29_03_2026_Registre_Maintenance_V2[ID_Antenne],_29_03_2026_Registre_Maintenance_V2[Province_RDC],"Pas de correspondance")</f>
        <v>Pas de correspondance</v>
      </c>
      <c r="G81" t="str">
        <f>_xlfn.XLOOKUP(Log_Reseau_Master[[#This Row],[Cell_ID]],_29_03_2026_Registre_Maintenance_V2[ID_Antenne],_29_03_2026_Registre_Maintenance_V2[Technologie],"Pas de correspondance")</f>
        <v>Pas de correspondance</v>
      </c>
      <c r="H81" t="str">
        <f>_xlfn.XLOOKUP(Log_Reseau_Master[[#This Row],[Cell_ID]],_29_03_2026_Registre_Maintenance_V2[ID_Antenne],_29_03_2026_Registre_Maintenance_V2[Equipementier],"Pas de correspondance")</f>
        <v>Pas de correspondance</v>
      </c>
    </row>
    <row r="82" spans="1:8" x14ac:dyDescent="0.25">
      <c r="A82" s="1">
        <v>45216.673611111109</v>
      </c>
      <c r="B82" s="4">
        <f>Log_Reseau_Master[[#This Row],[Duree_Panne_Min]]/1440</f>
        <v>8.1250000000000003E-2</v>
      </c>
      <c r="C82" t="s">
        <v>42</v>
      </c>
      <c r="D82">
        <v>117</v>
      </c>
      <c r="E82" t="s">
        <v>1314</v>
      </c>
      <c r="F82" t="str">
        <f>_xlfn.XLOOKUP(Log_Reseau_Master[[#This Row],[Cell_ID]],_29_03_2026_Registre_Maintenance_V2[ID_Antenne],_29_03_2026_Registre_Maintenance_V2[Province_RDC],"Pas de correspondance")</f>
        <v>Sud-Ubangi</v>
      </c>
      <c r="G82" t="str">
        <f>_xlfn.XLOOKUP(Log_Reseau_Master[[#This Row],[Cell_ID]],_29_03_2026_Registre_Maintenance_V2[ID_Antenne],_29_03_2026_Registre_Maintenance_V2[Technologie],"Pas de correspondance")</f>
        <v>5G</v>
      </c>
      <c r="H82" t="str">
        <f>_xlfn.XLOOKUP(Log_Reseau_Master[[#This Row],[Cell_ID]],_29_03_2026_Registre_Maintenance_V2[ID_Antenne],_29_03_2026_Registre_Maintenance_V2[Equipementier],"Pas de correspondance")</f>
        <v>Ericsson</v>
      </c>
    </row>
    <row r="83" spans="1:8" x14ac:dyDescent="0.25">
      <c r="A83" s="1">
        <v>45221.376388888886</v>
      </c>
      <c r="B83" s="4">
        <f>Log_Reseau_Master[[#This Row],[Duree_Panne_Min]]/1440</f>
        <v>4.0972222222222222E-2</v>
      </c>
      <c r="C83" t="s">
        <v>39</v>
      </c>
      <c r="D83">
        <v>59</v>
      </c>
      <c r="E83" t="s">
        <v>1321</v>
      </c>
      <c r="F83" t="str">
        <f>_xlfn.XLOOKUP(Log_Reseau_Master[[#This Row],[Cell_ID]],_29_03_2026_Registre_Maintenance_V2[ID_Antenne],_29_03_2026_Registre_Maintenance_V2[Province_RDC],"Pas de correspondance")</f>
        <v>Maniema</v>
      </c>
      <c r="G83" t="str">
        <f>_xlfn.XLOOKUP(Log_Reseau_Master[[#This Row],[Cell_ID]],_29_03_2026_Registre_Maintenance_V2[ID_Antenne],_29_03_2026_Registre_Maintenance_V2[Technologie],"Pas de correspondance")</f>
        <v>5G</v>
      </c>
      <c r="H83" t="str">
        <f>_xlfn.XLOOKUP(Log_Reseau_Master[[#This Row],[Cell_ID]],_29_03_2026_Registre_Maintenance_V2[ID_Antenne],_29_03_2026_Registre_Maintenance_V2[Equipementier],"Pas de correspondance")</f>
        <v>Ericsson</v>
      </c>
    </row>
    <row r="84" spans="1:8" x14ac:dyDescent="0.25">
      <c r="A84" s="1">
        <v>45206.167361111111</v>
      </c>
      <c r="B84" s="4">
        <f>Log_Reseau_Master[[#This Row],[Duree_Panne_Min]]/1440</f>
        <v>4.4444444444444446E-2</v>
      </c>
      <c r="C84" t="s">
        <v>166</v>
      </c>
      <c r="D84">
        <v>64</v>
      </c>
      <c r="E84" t="s">
        <v>1312</v>
      </c>
      <c r="F84" t="str">
        <f>_xlfn.XLOOKUP(Log_Reseau_Master[[#This Row],[Cell_ID]],_29_03_2026_Registre_Maintenance_V2[ID_Antenne],_29_03_2026_Registre_Maintenance_V2[Province_RDC],"Pas de correspondance")</f>
        <v>Ituri</v>
      </c>
      <c r="G84" t="str">
        <f>_xlfn.XLOOKUP(Log_Reseau_Master[[#This Row],[Cell_ID]],_29_03_2026_Registre_Maintenance_V2[ID_Antenne],_29_03_2026_Registre_Maintenance_V2[Technologie],"Pas de correspondance")</f>
        <v>4G</v>
      </c>
      <c r="H84" t="str">
        <f>_xlfn.XLOOKUP(Log_Reseau_Master[[#This Row],[Cell_ID]],_29_03_2026_Registre_Maintenance_V2[ID_Antenne],_29_03_2026_Registre_Maintenance_V2[Equipementier],"Pas de correspondance")</f>
        <v>Huawei</v>
      </c>
    </row>
    <row r="85" spans="1:8" x14ac:dyDescent="0.25">
      <c r="A85" s="1">
        <v>45225.979166666664</v>
      </c>
      <c r="B85" s="4">
        <f>Log_Reseau_Master[[#This Row],[Duree_Panne_Min]]/1440</f>
        <v>4.1666666666666666E-3</v>
      </c>
      <c r="C85" t="s">
        <v>520</v>
      </c>
      <c r="D85">
        <v>6</v>
      </c>
      <c r="E85" t="s">
        <v>1314</v>
      </c>
      <c r="F85" t="str">
        <f>_xlfn.XLOOKUP(Log_Reseau_Master[[#This Row],[Cell_ID]],_29_03_2026_Registre_Maintenance_V2[ID_Antenne],_29_03_2026_Registre_Maintenance_V2[Province_RDC],"Pas de correspondance")</f>
        <v>Tshuapa</v>
      </c>
      <c r="G85" t="str">
        <f>_xlfn.XLOOKUP(Log_Reseau_Master[[#This Row],[Cell_ID]],_29_03_2026_Registre_Maintenance_V2[ID_Antenne],_29_03_2026_Registre_Maintenance_V2[Technologie],"Pas de correspondance")</f>
        <v>4G</v>
      </c>
      <c r="H85" t="str">
        <f>_xlfn.XLOOKUP(Log_Reseau_Master[[#This Row],[Cell_ID]],_29_03_2026_Registre_Maintenance_V2[ID_Antenne],_29_03_2026_Registre_Maintenance_V2[Equipementier],"Pas de correspondance")</f>
        <v>ZTE</v>
      </c>
    </row>
    <row r="86" spans="1:8" x14ac:dyDescent="0.25">
      <c r="A86" s="1">
        <v>45202.04791666667</v>
      </c>
      <c r="B86" s="4">
        <f>Log_Reseau_Master[[#This Row],[Duree_Panne_Min]]/1440</f>
        <v>7.9861111111111105E-2</v>
      </c>
      <c r="C86" t="s">
        <v>520</v>
      </c>
      <c r="D86">
        <v>115</v>
      </c>
      <c r="E86" t="s">
        <v>1312</v>
      </c>
      <c r="F86" t="str">
        <f>_xlfn.XLOOKUP(Log_Reseau_Master[[#This Row],[Cell_ID]],_29_03_2026_Registre_Maintenance_V2[ID_Antenne],_29_03_2026_Registre_Maintenance_V2[Province_RDC],"Pas de correspondance")</f>
        <v>Tshuapa</v>
      </c>
      <c r="G86" t="str">
        <f>_xlfn.XLOOKUP(Log_Reseau_Master[[#This Row],[Cell_ID]],_29_03_2026_Registre_Maintenance_V2[ID_Antenne],_29_03_2026_Registre_Maintenance_V2[Technologie],"Pas de correspondance")</f>
        <v>4G</v>
      </c>
      <c r="H86" t="str">
        <f>_xlfn.XLOOKUP(Log_Reseau_Master[[#This Row],[Cell_ID]],_29_03_2026_Registre_Maintenance_V2[ID_Antenne],_29_03_2026_Registre_Maintenance_V2[Equipementier],"Pas de correspondance")</f>
        <v>ZTE</v>
      </c>
    </row>
    <row r="87" spans="1:8" x14ac:dyDescent="0.25">
      <c r="A87" s="1">
        <v>45219.65625</v>
      </c>
      <c r="B87" s="4">
        <f>Log_Reseau_Master[[#This Row],[Duree_Panne_Min]]/1440</f>
        <v>8.1944444444444445E-2</v>
      </c>
      <c r="C87" t="s">
        <v>520</v>
      </c>
      <c r="D87">
        <v>118</v>
      </c>
      <c r="E87" t="s">
        <v>1312</v>
      </c>
      <c r="F87" t="str">
        <f>_xlfn.XLOOKUP(Log_Reseau_Master[[#This Row],[Cell_ID]],_29_03_2026_Registre_Maintenance_V2[ID_Antenne],_29_03_2026_Registre_Maintenance_V2[Province_RDC],"Pas de correspondance")</f>
        <v>Tshuapa</v>
      </c>
      <c r="G87" t="str">
        <f>_xlfn.XLOOKUP(Log_Reseau_Master[[#This Row],[Cell_ID]],_29_03_2026_Registre_Maintenance_V2[ID_Antenne],_29_03_2026_Registre_Maintenance_V2[Technologie],"Pas de correspondance")</f>
        <v>4G</v>
      </c>
      <c r="H87" t="str">
        <f>_xlfn.XLOOKUP(Log_Reseau_Master[[#This Row],[Cell_ID]],_29_03_2026_Registre_Maintenance_V2[ID_Antenne],_29_03_2026_Registre_Maintenance_V2[Equipementier],"Pas de correspondance")</f>
        <v>ZTE</v>
      </c>
    </row>
    <row r="88" spans="1:8" hidden="1" x14ac:dyDescent="0.25">
      <c r="A88" s="1">
        <v>45226.656944444447</v>
      </c>
      <c r="B88">
        <f>Log_Reseau_Master[[#This Row],[Duree_Panne_Min]]/1440</f>
        <v>4.8611111111111112E-3</v>
      </c>
      <c r="C88" t="s">
        <v>1366</v>
      </c>
      <c r="D88">
        <v>7</v>
      </c>
      <c r="E88" t="s">
        <v>1314</v>
      </c>
      <c r="F88" t="str">
        <f>_xlfn.XLOOKUP(Log_Reseau_Master[[#This Row],[Cell_ID]],_29_03_2026_Registre_Maintenance_V2[ID_Antenne],_29_03_2026_Registre_Maintenance_V2[Province_RDC],"Pas de correspondance")</f>
        <v>Pas de correspondance</v>
      </c>
      <c r="G88" t="str">
        <f>_xlfn.XLOOKUP(Log_Reseau_Master[[#This Row],[Cell_ID]],_29_03_2026_Registre_Maintenance_V2[ID_Antenne],_29_03_2026_Registre_Maintenance_V2[Technologie],"Pas de correspondance")</f>
        <v>Pas de correspondance</v>
      </c>
      <c r="H88" t="str">
        <f>_xlfn.XLOOKUP(Log_Reseau_Master[[#This Row],[Cell_ID]],_29_03_2026_Registre_Maintenance_V2[ID_Antenne],_29_03_2026_Registre_Maintenance_V2[Equipementier],"Pas de correspondance")</f>
        <v>Pas de correspondance</v>
      </c>
    </row>
    <row r="89" spans="1:8" hidden="1" x14ac:dyDescent="0.25">
      <c r="A89" s="1">
        <v>45213.334722222222</v>
      </c>
      <c r="B89">
        <f>Log_Reseau_Master[[#This Row],[Duree_Panne_Min]]/1440</f>
        <v>4.3055555555555555E-2</v>
      </c>
      <c r="C89" t="s">
        <v>1366</v>
      </c>
      <c r="D89">
        <v>62</v>
      </c>
      <c r="E89" t="s">
        <v>1314</v>
      </c>
      <c r="F89" t="str">
        <f>_xlfn.XLOOKUP(Log_Reseau_Master[[#This Row],[Cell_ID]],_29_03_2026_Registre_Maintenance_V2[ID_Antenne],_29_03_2026_Registre_Maintenance_V2[Province_RDC],"Pas de correspondance")</f>
        <v>Pas de correspondance</v>
      </c>
      <c r="G89" t="str">
        <f>_xlfn.XLOOKUP(Log_Reseau_Master[[#This Row],[Cell_ID]],_29_03_2026_Registre_Maintenance_V2[ID_Antenne],_29_03_2026_Registre_Maintenance_V2[Technologie],"Pas de correspondance")</f>
        <v>Pas de correspondance</v>
      </c>
      <c r="H89" t="str">
        <f>_xlfn.XLOOKUP(Log_Reseau_Master[[#This Row],[Cell_ID]],_29_03_2026_Registre_Maintenance_V2[ID_Antenne],_29_03_2026_Registre_Maintenance_V2[Equipementier],"Pas de correspondance")</f>
        <v>Pas de correspondance</v>
      </c>
    </row>
    <row r="90" spans="1:8" x14ac:dyDescent="0.25">
      <c r="A90" s="1">
        <v>45225.147222222222</v>
      </c>
      <c r="B90" s="4">
        <f>Log_Reseau_Master[[#This Row],[Duree_Panne_Min]]/1440</f>
        <v>3.0555555555555555E-2</v>
      </c>
      <c r="C90" t="s">
        <v>322</v>
      </c>
      <c r="D90">
        <v>44</v>
      </c>
      <c r="E90" t="s">
        <v>1314</v>
      </c>
      <c r="F90" t="str">
        <f>_xlfn.XLOOKUP(Log_Reseau_Master[[#This Row],[Cell_ID]],_29_03_2026_Registre_Maintenance_V2[ID_Antenne],_29_03_2026_Registre_Maintenance_V2[Province_RDC],"Pas de correspondance")</f>
        <v>Sud-Kivu</v>
      </c>
      <c r="G90" t="str">
        <f>_xlfn.XLOOKUP(Log_Reseau_Master[[#This Row],[Cell_ID]],_29_03_2026_Registre_Maintenance_V2[ID_Antenne],_29_03_2026_Registre_Maintenance_V2[Technologie],"Pas de correspondance")</f>
        <v>3G</v>
      </c>
      <c r="H90" t="str">
        <f>_xlfn.XLOOKUP(Log_Reseau_Master[[#This Row],[Cell_ID]],_29_03_2026_Registre_Maintenance_V2[ID_Antenne],_29_03_2026_Registre_Maintenance_V2[Equipementier],"Pas de correspondance")</f>
        <v>Ericsson</v>
      </c>
    </row>
    <row r="91" spans="1:8" hidden="1" x14ac:dyDescent="0.25">
      <c r="A91" s="1">
        <v>45203.324305555558</v>
      </c>
      <c r="B91">
        <f>Log_Reseau_Master[[#This Row],[Duree_Panne_Min]]/1440</f>
        <v>2.361111111111111E-2</v>
      </c>
      <c r="C91" t="s">
        <v>1367</v>
      </c>
      <c r="D91">
        <v>34</v>
      </c>
      <c r="E91" t="s">
        <v>1314</v>
      </c>
      <c r="F91" t="str">
        <f>_xlfn.XLOOKUP(Log_Reseau_Master[[#This Row],[Cell_ID]],_29_03_2026_Registre_Maintenance_V2[ID_Antenne],_29_03_2026_Registre_Maintenance_V2[Province_RDC],"Pas de correspondance")</f>
        <v>Pas de correspondance</v>
      </c>
      <c r="G91" t="str">
        <f>_xlfn.XLOOKUP(Log_Reseau_Master[[#This Row],[Cell_ID]],_29_03_2026_Registre_Maintenance_V2[ID_Antenne],_29_03_2026_Registre_Maintenance_V2[Technologie],"Pas de correspondance")</f>
        <v>Pas de correspondance</v>
      </c>
      <c r="H91" t="str">
        <f>_xlfn.XLOOKUP(Log_Reseau_Master[[#This Row],[Cell_ID]],_29_03_2026_Registre_Maintenance_V2[ID_Antenne],_29_03_2026_Registre_Maintenance_V2[Equipementier],"Pas de correspondance")</f>
        <v>Pas de correspondance</v>
      </c>
    </row>
    <row r="92" spans="1:8" x14ac:dyDescent="0.25">
      <c r="A92" s="1">
        <v>45220.754166666666</v>
      </c>
      <c r="B92" s="4">
        <f>Log_Reseau_Master[[#This Row],[Duree_Panne_Min]]/1440</f>
        <v>5.9027777777777776E-2</v>
      </c>
      <c r="C92" t="s">
        <v>243</v>
      </c>
      <c r="D92">
        <v>85</v>
      </c>
      <c r="E92" t="s">
        <v>1314</v>
      </c>
      <c r="F92" t="str">
        <f>_xlfn.XLOOKUP(Log_Reseau_Master[[#This Row],[Cell_ID]],_29_03_2026_Registre_Maintenance_V2[ID_Antenne],_29_03_2026_Registre_Maintenance_V2[Province_RDC],"Pas de correspondance")</f>
        <v>Lualaba</v>
      </c>
      <c r="G92" t="str">
        <f>_xlfn.XLOOKUP(Log_Reseau_Master[[#This Row],[Cell_ID]],_29_03_2026_Registre_Maintenance_V2[ID_Antenne],_29_03_2026_Registre_Maintenance_V2[Technologie],"Pas de correspondance")</f>
        <v>4G</v>
      </c>
      <c r="H92" t="str">
        <f>_xlfn.XLOOKUP(Log_Reseau_Master[[#This Row],[Cell_ID]],_29_03_2026_Registre_Maintenance_V2[ID_Antenne],_29_03_2026_Registre_Maintenance_V2[Equipementier],"Pas de correspondance")</f>
        <v>Ericsson</v>
      </c>
    </row>
    <row r="93" spans="1:8" x14ac:dyDescent="0.25">
      <c r="A93" s="1">
        <v>45210.45</v>
      </c>
      <c r="B93" s="4">
        <f>Log_Reseau_Master[[#This Row],[Duree_Panne_Min]]/1440</f>
        <v>4.583333333333333E-2</v>
      </c>
      <c r="C93" t="s">
        <v>243</v>
      </c>
      <c r="D93">
        <v>66</v>
      </c>
      <c r="E93" t="s">
        <v>1314</v>
      </c>
      <c r="F93" t="str">
        <f>_xlfn.XLOOKUP(Log_Reseau_Master[[#This Row],[Cell_ID]],_29_03_2026_Registre_Maintenance_V2[ID_Antenne],_29_03_2026_Registre_Maintenance_V2[Province_RDC],"Pas de correspondance")</f>
        <v>Lualaba</v>
      </c>
      <c r="G93" t="str">
        <f>_xlfn.XLOOKUP(Log_Reseau_Master[[#This Row],[Cell_ID]],_29_03_2026_Registre_Maintenance_V2[ID_Antenne],_29_03_2026_Registre_Maintenance_V2[Technologie],"Pas de correspondance")</f>
        <v>4G</v>
      </c>
      <c r="H93" t="str">
        <f>_xlfn.XLOOKUP(Log_Reseau_Master[[#This Row],[Cell_ID]],_29_03_2026_Registre_Maintenance_V2[ID_Antenne],_29_03_2026_Registre_Maintenance_V2[Equipementier],"Pas de correspondance")</f>
        <v>Ericsson</v>
      </c>
    </row>
    <row r="94" spans="1:8" x14ac:dyDescent="0.25">
      <c r="A94" s="1">
        <v>45212.568055555559</v>
      </c>
      <c r="B94" s="4">
        <f>Log_Reseau_Master[[#This Row],[Duree_Panne_Min]]/1440</f>
        <v>2.9166666666666667E-2</v>
      </c>
      <c r="C94" t="s">
        <v>547</v>
      </c>
      <c r="D94">
        <v>42</v>
      </c>
      <c r="E94" t="s">
        <v>1312</v>
      </c>
      <c r="F94" t="str">
        <f>_xlfn.XLOOKUP(Log_Reseau_Master[[#This Row],[Cell_ID]],_29_03_2026_Registre_Maintenance_V2[ID_Antenne],_29_03_2026_Registre_Maintenance_V2[Province_RDC],"Pas de correspondance")</f>
        <v>Kasai-Central</v>
      </c>
      <c r="G94" t="str">
        <f>_xlfn.XLOOKUP(Log_Reseau_Master[[#This Row],[Cell_ID]],_29_03_2026_Registre_Maintenance_V2[ID_Antenne],_29_03_2026_Registre_Maintenance_V2[Technologie],"Pas de correspondance")</f>
        <v>3G</v>
      </c>
      <c r="H94" t="str">
        <f>_xlfn.XLOOKUP(Log_Reseau_Master[[#This Row],[Cell_ID]],_29_03_2026_Registre_Maintenance_V2[ID_Antenne],_29_03_2026_Registre_Maintenance_V2[Equipementier],"Pas de correspondance")</f>
        <v>Nokia</v>
      </c>
    </row>
    <row r="95" spans="1:8" x14ac:dyDescent="0.25">
      <c r="A95" s="1">
        <v>45205.191666666666</v>
      </c>
      <c r="B95" s="4">
        <f>Log_Reseau_Master[[#This Row],[Duree_Panne_Min]]/1440</f>
        <v>2.361111111111111E-2</v>
      </c>
      <c r="C95" t="s">
        <v>395</v>
      </c>
      <c r="D95">
        <v>34</v>
      </c>
      <c r="E95" t="s">
        <v>1314</v>
      </c>
      <c r="F95" t="str">
        <f>_xlfn.XLOOKUP(Log_Reseau_Master[[#This Row],[Cell_ID]],_29_03_2026_Registre_Maintenance_V2[ID_Antenne],_29_03_2026_Registre_Maintenance_V2[Province_RDC],"Pas de correspondance")</f>
        <v>Sankuru</v>
      </c>
      <c r="G95" t="str">
        <f>_xlfn.XLOOKUP(Log_Reseau_Master[[#This Row],[Cell_ID]],_29_03_2026_Registre_Maintenance_V2[ID_Antenne],_29_03_2026_Registre_Maintenance_V2[Technologie],"Pas de correspondance")</f>
        <v>3G</v>
      </c>
      <c r="H95" t="str">
        <f>_xlfn.XLOOKUP(Log_Reseau_Master[[#This Row],[Cell_ID]],_29_03_2026_Registre_Maintenance_V2[ID_Antenne],_29_03_2026_Registre_Maintenance_V2[Equipementier],"Pas de correspondance")</f>
        <v>ZTE</v>
      </c>
    </row>
    <row r="96" spans="1:8" hidden="1" x14ac:dyDescent="0.25">
      <c r="A96" s="1">
        <v>45219.633333333331</v>
      </c>
      <c r="B96">
        <f>Log_Reseau_Master[[#This Row],[Duree_Panne_Min]]/1440</f>
        <v>1.2500000000000001E-2</v>
      </c>
      <c r="C96" t="s">
        <v>1368</v>
      </c>
      <c r="D96">
        <v>18</v>
      </c>
      <c r="E96" t="s">
        <v>1321</v>
      </c>
      <c r="F96" t="str">
        <f>_xlfn.XLOOKUP(Log_Reseau_Master[[#This Row],[Cell_ID]],_29_03_2026_Registre_Maintenance_V2[ID_Antenne],_29_03_2026_Registre_Maintenance_V2[Province_RDC],"Pas de correspondance")</f>
        <v>Pas de correspondance</v>
      </c>
      <c r="G96" t="str">
        <f>_xlfn.XLOOKUP(Log_Reseau_Master[[#This Row],[Cell_ID]],_29_03_2026_Registre_Maintenance_V2[ID_Antenne],_29_03_2026_Registre_Maintenance_V2[Technologie],"Pas de correspondance")</f>
        <v>Pas de correspondance</v>
      </c>
      <c r="H96" t="str">
        <f>_xlfn.XLOOKUP(Log_Reseau_Master[[#This Row],[Cell_ID]],_29_03_2026_Registre_Maintenance_V2[ID_Antenne],_29_03_2026_Registre_Maintenance_V2[Equipementier],"Pas de correspondance")</f>
        <v>Pas de correspondance</v>
      </c>
    </row>
    <row r="97" spans="1:8" x14ac:dyDescent="0.25">
      <c r="A97" s="1">
        <v>45222.663194444445</v>
      </c>
      <c r="B97" s="4">
        <f>Log_Reseau_Master[[#This Row],[Duree_Panne_Min]]/1440</f>
        <v>4.1666666666666666E-3</v>
      </c>
      <c r="C97" t="s">
        <v>92</v>
      </c>
      <c r="D97">
        <v>6</v>
      </c>
      <c r="E97" t="s">
        <v>1321</v>
      </c>
      <c r="F97" t="str">
        <f>_xlfn.XLOOKUP(Log_Reseau_Master[[#This Row],[Cell_ID]],_29_03_2026_Registre_Maintenance_V2[ID_Antenne],_29_03_2026_Registre_Maintenance_V2[Province_RDC],"Pas de correspondance")</f>
        <v>Kongo-Central</v>
      </c>
      <c r="G97" t="str">
        <f>_xlfn.XLOOKUP(Log_Reseau_Master[[#This Row],[Cell_ID]],_29_03_2026_Registre_Maintenance_V2[ID_Antenne],_29_03_2026_Registre_Maintenance_V2[Technologie],"Pas de correspondance")</f>
        <v>4G</v>
      </c>
      <c r="H97" t="str">
        <f>_xlfn.XLOOKUP(Log_Reseau_Master[[#This Row],[Cell_ID]],_29_03_2026_Registre_Maintenance_V2[ID_Antenne],_29_03_2026_Registre_Maintenance_V2[Equipementier],"Pas de correspondance")</f>
        <v>Huawei</v>
      </c>
    </row>
    <row r="98" spans="1:8" x14ac:dyDescent="0.25">
      <c r="A98" s="1">
        <v>45204.55</v>
      </c>
      <c r="B98" s="4">
        <f>Log_Reseau_Master[[#This Row],[Duree_Panne_Min]]/1440</f>
        <v>7.8472222222222221E-2</v>
      </c>
      <c r="C98" t="s">
        <v>92</v>
      </c>
      <c r="D98">
        <v>113</v>
      </c>
      <c r="E98" t="s">
        <v>1312</v>
      </c>
      <c r="F98" t="str">
        <f>_xlfn.XLOOKUP(Log_Reseau_Master[[#This Row],[Cell_ID]],_29_03_2026_Registre_Maintenance_V2[ID_Antenne],_29_03_2026_Registre_Maintenance_V2[Province_RDC],"Pas de correspondance")</f>
        <v>Kongo-Central</v>
      </c>
      <c r="G98" t="str">
        <f>_xlfn.XLOOKUP(Log_Reseau_Master[[#This Row],[Cell_ID]],_29_03_2026_Registre_Maintenance_V2[ID_Antenne],_29_03_2026_Registre_Maintenance_V2[Technologie],"Pas de correspondance")</f>
        <v>4G</v>
      </c>
      <c r="H98" t="str">
        <f>_xlfn.XLOOKUP(Log_Reseau_Master[[#This Row],[Cell_ID]],_29_03_2026_Registre_Maintenance_V2[ID_Antenne],_29_03_2026_Registre_Maintenance_V2[Equipementier],"Pas de correspondance")</f>
        <v>Huawei</v>
      </c>
    </row>
    <row r="99" spans="1:8" x14ac:dyDescent="0.25">
      <c r="A99" s="1">
        <v>45204.237500000003</v>
      </c>
      <c r="B99" s="4">
        <f>Log_Reseau_Master[[#This Row],[Duree_Panne_Min]]/1440</f>
        <v>1.4583333333333334E-2</v>
      </c>
      <c r="C99" t="s">
        <v>92</v>
      </c>
      <c r="D99">
        <v>21</v>
      </c>
      <c r="E99" t="s">
        <v>1312</v>
      </c>
      <c r="F99" t="str">
        <f>_xlfn.XLOOKUP(Log_Reseau_Master[[#This Row],[Cell_ID]],_29_03_2026_Registre_Maintenance_V2[ID_Antenne],_29_03_2026_Registre_Maintenance_V2[Province_RDC],"Pas de correspondance")</f>
        <v>Kongo-Central</v>
      </c>
      <c r="G99" t="str">
        <f>_xlfn.XLOOKUP(Log_Reseau_Master[[#This Row],[Cell_ID]],_29_03_2026_Registre_Maintenance_V2[ID_Antenne],_29_03_2026_Registre_Maintenance_V2[Technologie],"Pas de correspondance")</f>
        <v>4G</v>
      </c>
      <c r="H99" t="str">
        <f>_xlfn.XLOOKUP(Log_Reseau_Master[[#This Row],[Cell_ID]],_29_03_2026_Registre_Maintenance_V2[ID_Antenne],_29_03_2026_Registre_Maintenance_V2[Equipementier],"Pas de correspondance")</f>
        <v>Huawei</v>
      </c>
    </row>
    <row r="100" spans="1:8" x14ac:dyDescent="0.25">
      <c r="A100" s="1">
        <v>45226.530555555553</v>
      </c>
      <c r="B100" s="4">
        <f>Log_Reseau_Master[[#This Row],[Duree_Panne_Min]]/1440</f>
        <v>7.013888888888889E-2</v>
      </c>
      <c r="C100" t="s">
        <v>390</v>
      </c>
      <c r="D100">
        <v>101</v>
      </c>
      <c r="E100" t="s">
        <v>1321</v>
      </c>
      <c r="F100" t="str">
        <f>_xlfn.XLOOKUP(Log_Reseau_Master[[#This Row],[Cell_ID]],_29_03_2026_Registre_Maintenance_V2[ID_Antenne],_29_03_2026_Registre_Maintenance_V2[Province_RDC],"Pas de correspondance")</f>
        <v>Maniema</v>
      </c>
      <c r="G100" t="str">
        <f>_xlfn.XLOOKUP(Log_Reseau_Master[[#This Row],[Cell_ID]],_29_03_2026_Registre_Maintenance_V2[ID_Antenne],_29_03_2026_Registre_Maintenance_V2[Technologie],"Pas de correspondance")</f>
        <v>4G</v>
      </c>
      <c r="H100" t="str">
        <f>_xlfn.XLOOKUP(Log_Reseau_Master[[#This Row],[Cell_ID]],_29_03_2026_Registre_Maintenance_V2[ID_Antenne],_29_03_2026_Registre_Maintenance_V2[Equipementier],"Pas de correspondance")</f>
        <v>Nokia</v>
      </c>
    </row>
    <row r="101" spans="1:8" hidden="1" x14ac:dyDescent="0.25">
      <c r="A101" s="1">
        <v>45206.273611111108</v>
      </c>
      <c r="B101">
        <f>Log_Reseau_Master[[#This Row],[Duree_Panne_Min]]/1440</f>
        <v>8.1250000000000003E-2</v>
      </c>
      <c r="C101" t="s">
        <v>1369</v>
      </c>
      <c r="D101">
        <v>117</v>
      </c>
      <c r="E101" t="s">
        <v>1321</v>
      </c>
      <c r="F101" t="str">
        <f>_xlfn.XLOOKUP(Log_Reseau_Master[[#This Row],[Cell_ID]],_29_03_2026_Registre_Maintenance_V2[ID_Antenne],_29_03_2026_Registre_Maintenance_V2[Province_RDC],"Pas de correspondance")</f>
        <v>Pas de correspondance</v>
      </c>
      <c r="G101" t="str">
        <f>_xlfn.XLOOKUP(Log_Reseau_Master[[#This Row],[Cell_ID]],_29_03_2026_Registre_Maintenance_V2[ID_Antenne],_29_03_2026_Registre_Maintenance_V2[Technologie],"Pas de correspondance")</f>
        <v>Pas de correspondance</v>
      </c>
      <c r="H101" t="str">
        <f>_xlfn.XLOOKUP(Log_Reseau_Master[[#This Row],[Cell_ID]],_29_03_2026_Registre_Maintenance_V2[ID_Antenne],_29_03_2026_Registre_Maintenance_V2[Equipementier],"Pas de correspondance")</f>
        <v>Pas de correspondance</v>
      </c>
    </row>
    <row r="102" spans="1:8" x14ac:dyDescent="0.25">
      <c r="A102" s="1">
        <v>45226.969444444447</v>
      </c>
      <c r="B102" s="4">
        <f>Log_Reseau_Master[[#This Row],[Duree_Panne_Min]]/1440</f>
        <v>4.7222222222222221E-2</v>
      </c>
      <c r="C102" t="s">
        <v>291</v>
      </c>
      <c r="D102">
        <v>68</v>
      </c>
      <c r="E102" t="s">
        <v>1314</v>
      </c>
      <c r="F102" t="str">
        <f>_xlfn.XLOOKUP(Log_Reseau_Master[[#This Row],[Cell_ID]],_29_03_2026_Registre_Maintenance_V2[ID_Antenne],_29_03_2026_Registre_Maintenance_V2[Province_RDC],"Pas de correspondance")</f>
        <v>Tshopo</v>
      </c>
      <c r="G102" t="str">
        <f>_xlfn.XLOOKUP(Log_Reseau_Master[[#This Row],[Cell_ID]],_29_03_2026_Registre_Maintenance_V2[ID_Antenne],_29_03_2026_Registre_Maintenance_V2[Technologie],"Pas de correspondance")</f>
        <v>3G</v>
      </c>
      <c r="H102" t="str">
        <f>_xlfn.XLOOKUP(Log_Reseau_Master[[#This Row],[Cell_ID]],_29_03_2026_Registre_Maintenance_V2[ID_Antenne],_29_03_2026_Registre_Maintenance_V2[Equipementier],"Pas de correspondance")</f>
        <v>ZTE</v>
      </c>
    </row>
    <row r="103" spans="1:8" x14ac:dyDescent="0.25">
      <c r="A103" s="1">
        <v>45203.22152777778</v>
      </c>
      <c r="B103" s="4">
        <f>Log_Reseau_Master[[#This Row],[Duree_Panne_Min]]/1440</f>
        <v>7.013888888888889E-2</v>
      </c>
      <c r="C103" t="s">
        <v>291</v>
      </c>
      <c r="D103">
        <v>101</v>
      </c>
      <c r="E103" t="s">
        <v>1314</v>
      </c>
      <c r="F103" t="str">
        <f>_xlfn.XLOOKUP(Log_Reseau_Master[[#This Row],[Cell_ID]],_29_03_2026_Registre_Maintenance_V2[ID_Antenne],_29_03_2026_Registre_Maintenance_V2[Province_RDC],"Pas de correspondance")</f>
        <v>Tshopo</v>
      </c>
      <c r="G103" t="str">
        <f>_xlfn.XLOOKUP(Log_Reseau_Master[[#This Row],[Cell_ID]],_29_03_2026_Registre_Maintenance_V2[ID_Antenne],_29_03_2026_Registre_Maintenance_V2[Technologie],"Pas de correspondance")</f>
        <v>3G</v>
      </c>
      <c r="H103" t="str">
        <f>_xlfn.XLOOKUP(Log_Reseau_Master[[#This Row],[Cell_ID]],_29_03_2026_Registre_Maintenance_V2[ID_Antenne],_29_03_2026_Registre_Maintenance_V2[Equipementier],"Pas de correspondance")</f>
        <v>ZTE</v>
      </c>
    </row>
    <row r="104" spans="1:8" hidden="1" x14ac:dyDescent="0.25">
      <c r="A104" s="1">
        <v>45227.010416666664</v>
      </c>
      <c r="B104">
        <f>Log_Reseau_Master[[#This Row],[Duree_Panne_Min]]/1440</f>
        <v>3.4027777777777775E-2</v>
      </c>
      <c r="C104" t="s">
        <v>1370</v>
      </c>
      <c r="D104">
        <v>49</v>
      </c>
      <c r="E104" t="s">
        <v>1321</v>
      </c>
      <c r="F104" t="str">
        <f>_xlfn.XLOOKUP(Log_Reseau_Master[[#This Row],[Cell_ID]],_29_03_2026_Registre_Maintenance_V2[ID_Antenne],_29_03_2026_Registre_Maintenance_V2[Province_RDC],"Pas de correspondance")</f>
        <v>Pas de correspondance</v>
      </c>
      <c r="G104" t="str">
        <f>_xlfn.XLOOKUP(Log_Reseau_Master[[#This Row],[Cell_ID]],_29_03_2026_Registre_Maintenance_V2[ID_Antenne],_29_03_2026_Registre_Maintenance_V2[Technologie],"Pas de correspondance")</f>
        <v>Pas de correspondance</v>
      </c>
      <c r="H104" t="str">
        <f>_xlfn.XLOOKUP(Log_Reseau_Master[[#This Row],[Cell_ID]],_29_03_2026_Registre_Maintenance_V2[ID_Antenne],_29_03_2026_Registre_Maintenance_V2[Equipementier],"Pas de correspondance")</f>
        <v>Pas de correspondance</v>
      </c>
    </row>
    <row r="105" spans="1:8" x14ac:dyDescent="0.25">
      <c r="A105" s="1">
        <v>45215.288194444445</v>
      </c>
      <c r="B105" s="4">
        <f>Log_Reseau_Master[[#This Row],[Duree_Panne_Min]]/1440</f>
        <v>7.5694444444444439E-2</v>
      </c>
      <c r="C105" t="s">
        <v>283</v>
      </c>
      <c r="D105">
        <v>109</v>
      </c>
      <c r="E105" t="s">
        <v>1314</v>
      </c>
      <c r="F105" t="str">
        <f>_xlfn.XLOOKUP(Log_Reseau_Master[[#This Row],[Cell_ID]],_29_03_2026_Registre_Maintenance_V2[ID_Antenne],_29_03_2026_Registre_Maintenance_V2[Province_RDC],"Pas de correspondance")</f>
        <v>Kongo-Central</v>
      </c>
      <c r="G105" t="str">
        <f>_xlfn.XLOOKUP(Log_Reseau_Master[[#This Row],[Cell_ID]],_29_03_2026_Registre_Maintenance_V2[ID_Antenne],_29_03_2026_Registre_Maintenance_V2[Technologie],"Pas de correspondance")</f>
        <v>5G</v>
      </c>
      <c r="H105" t="str">
        <f>_xlfn.XLOOKUP(Log_Reseau_Master[[#This Row],[Cell_ID]],_29_03_2026_Registre_Maintenance_V2[ID_Antenne],_29_03_2026_Registre_Maintenance_V2[Equipementier],"Pas de correspondance")</f>
        <v>ZTE</v>
      </c>
    </row>
    <row r="106" spans="1:8" hidden="1" x14ac:dyDescent="0.25">
      <c r="A106" s="1">
        <v>45229.801388888889</v>
      </c>
      <c r="B106">
        <f>Log_Reseau_Master[[#This Row],[Duree_Panne_Min]]/1440</f>
        <v>6.1805555555555558E-2</v>
      </c>
      <c r="C106" t="s">
        <v>1371</v>
      </c>
      <c r="D106">
        <v>89</v>
      </c>
      <c r="E106" t="s">
        <v>1314</v>
      </c>
      <c r="F106" t="str">
        <f>_xlfn.XLOOKUP(Log_Reseau_Master[[#This Row],[Cell_ID]],_29_03_2026_Registre_Maintenance_V2[ID_Antenne],_29_03_2026_Registre_Maintenance_V2[Province_RDC],"Pas de correspondance")</f>
        <v>Pas de correspondance</v>
      </c>
      <c r="G106" t="str">
        <f>_xlfn.XLOOKUP(Log_Reseau_Master[[#This Row],[Cell_ID]],_29_03_2026_Registre_Maintenance_V2[ID_Antenne],_29_03_2026_Registre_Maintenance_V2[Technologie],"Pas de correspondance")</f>
        <v>Pas de correspondance</v>
      </c>
      <c r="H106" t="str">
        <f>_xlfn.XLOOKUP(Log_Reseau_Master[[#This Row],[Cell_ID]],_29_03_2026_Registre_Maintenance_V2[ID_Antenne],_29_03_2026_Registre_Maintenance_V2[Equipementier],"Pas de correspondance")</f>
        <v>Pas de correspondance</v>
      </c>
    </row>
    <row r="107" spans="1:8" hidden="1" x14ac:dyDescent="0.25">
      <c r="A107" s="1">
        <v>45222.944444444445</v>
      </c>
      <c r="B107">
        <f>Log_Reseau_Master[[#This Row],[Duree_Panne_Min]]/1440</f>
        <v>6.0416666666666667E-2</v>
      </c>
      <c r="C107" t="s">
        <v>1371</v>
      </c>
      <c r="D107">
        <v>87</v>
      </c>
      <c r="E107" t="s">
        <v>1312</v>
      </c>
      <c r="F107" t="str">
        <f>_xlfn.XLOOKUP(Log_Reseau_Master[[#This Row],[Cell_ID]],_29_03_2026_Registre_Maintenance_V2[ID_Antenne],_29_03_2026_Registre_Maintenance_V2[Province_RDC],"Pas de correspondance")</f>
        <v>Pas de correspondance</v>
      </c>
      <c r="G107" t="str">
        <f>_xlfn.XLOOKUP(Log_Reseau_Master[[#This Row],[Cell_ID]],_29_03_2026_Registre_Maintenance_V2[ID_Antenne],_29_03_2026_Registre_Maintenance_V2[Technologie],"Pas de correspondance")</f>
        <v>Pas de correspondance</v>
      </c>
      <c r="H107" t="str">
        <f>_xlfn.XLOOKUP(Log_Reseau_Master[[#This Row],[Cell_ID]],_29_03_2026_Registre_Maintenance_V2[ID_Antenne],_29_03_2026_Registre_Maintenance_V2[Equipementier],"Pas de correspondance")</f>
        <v>Pas de correspondance</v>
      </c>
    </row>
    <row r="108" spans="1:8" hidden="1" x14ac:dyDescent="0.25">
      <c r="A108" s="1">
        <v>45215.047222222223</v>
      </c>
      <c r="B108">
        <f>Log_Reseau_Master[[#This Row],[Duree_Panne_Min]]/1440</f>
        <v>2.4305555555555556E-2</v>
      </c>
      <c r="C108" t="s">
        <v>1371</v>
      </c>
      <c r="D108">
        <v>35</v>
      </c>
      <c r="E108" t="s">
        <v>1314</v>
      </c>
      <c r="F108" t="str">
        <f>_xlfn.XLOOKUP(Log_Reseau_Master[[#This Row],[Cell_ID]],_29_03_2026_Registre_Maintenance_V2[ID_Antenne],_29_03_2026_Registre_Maintenance_V2[Province_RDC],"Pas de correspondance")</f>
        <v>Pas de correspondance</v>
      </c>
      <c r="G108" t="str">
        <f>_xlfn.XLOOKUP(Log_Reseau_Master[[#This Row],[Cell_ID]],_29_03_2026_Registre_Maintenance_V2[ID_Antenne],_29_03_2026_Registre_Maintenance_V2[Technologie],"Pas de correspondance")</f>
        <v>Pas de correspondance</v>
      </c>
      <c r="H108" t="str">
        <f>_xlfn.XLOOKUP(Log_Reseau_Master[[#This Row],[Cell_ID]],_29_03_2026_Registre_Maintenance_V2[ID_Antenne],_29_03_2026_Registre_Maintenance_V2[Equipementier],"Pas de correspondance")</f>
        <v>Pas de correspondance</v>
      </c>
    </row>
    <row r="109" spans="1:8" x14ac:dyDescent="0.25">
      <c r="A109" s="1">
        <v>45223.794444444444</v>
      </c>
      <c r="B109" s="4">
        <f>Log_Reseau_Master[[#This Row],[Duree_Panne_Min]]/1440</f>
        <v>6.7361111111111108E-2</v>
      </c>
      <c r="C109" t="s">
        <v>316</v>
      </c>
      <c r="D109">
        <v>97</v>
      </c>
      <c r="E109" t="s">
        <v>1314</v>
      </c>
      <c r="F109" t="str">
        <f>_xlfn.XLOOKUP(Log_Reseau_Master[[#This Row],[Cell_ID]],_29_03_2026_Registre_Maintenance_V2[ID_Antenne],_29_03_2026_Registre_Maintenance_V2[Province_RDC],"Pas de correspondance")</f>
        <v>Haut-Uele</v>
      </c>
      <c r="G109" t="str">
        <f>_xlfn.XLOOKUP(Log_Reseau_Master[[#This Row],[Cell_ID]],_29_03_2026_Registre_Maintenance_V2[ID_Antenne],_29_03_2026_Registre_Maintenance_V2[Technologie],"Pas de correspondance")</f>
        <v>4G</v>
      </c>
      <c r="H109" t="str">
        <f>_xlfn.XLOOKUP(Log_Reseau_Master[[#This Row],[Cell_ID]],_29_03_2026_Registre_Maintenance_V2[ID_Antenne],_29_03_2026_Registre_Maintenance_V2[Equipementier],"Pas de correspondance")</f>
        <v>Nokia</v>
      </c>
    </row>
    <row r="110" spans="1:8" hidden="1" x14ac:dyDescent="0.25">
      <c r="A110" s="1">
        <v>45227.005555555559</v>
      </c>
      <c r="B110">
        <f>Log_Reseau_Master[[#This Row],[Duree_Panne_Min]]/1440</f>
        <v>4.583333333333333E-2</v>
      </c>
      <c r="C110" t="s">
        <v>1372</v>
      </c>
      <c r="D110">
        <v>66</v>
      </c>
      <c r="E110" t="s">
        <v>1321</v>
      </c>
      <c r="F110" t="str">
        <f>_xlfn.XLOOKUP(Log_Reseau_Master[[#This Row],[Cell_ID]],_29_03_2026_Registre_Maintenance_V2[ID_Antenne],_29_03_2026_Registre_Maintenance_V2[Province_RDC],"Pas de correspondance")</f>
        <v>Pas de correspondance</v>
      </c>
      <c r="G110" t="str">
        <f>_xlfn.XLOOKUP(Log_Reseau_Master[[#This Row],[Cell_ID]],_29_03_2026_Registre_Maintenance_V2[ID_Antenne],_29_03_2026_Registre_Maintenance_V2[Technologie],"Pas de correspondance")</f>
        <v>Pas de correspondance</v>
      </c>
      <c r="H110" t="str">
        <f>_xlfn.XLOOKUP(Log_Reseau_Master[[#This Row],[Cell_ID]],_29_03_2026_Registre_Maintenance_V2[ID_Antenne],_29_03_2026_Registre_Maintenance_V2[Equipementier],"Pas de correspondance")</f>
        <v>Pas de correspondance</v>
      </c>
    </row>
    <row r="111" spans="1:8" x14ac:dyDescent="0.25">
      <c r="A111" s="1">
        <v>45230.839583333334</v>
      </c>
      <c r="B111" s="4">
        <f>Log_Reseau_Master[[#This Row],[Duree_Panne_Min]]/1440</f>
        <v>5.7638888888888892E-2</v>
      </c>
      <c r="C111" t="s">
        <v>378</v>
      </c>
      <c r="D111">
        <v>83</v>
      </c>
      <c r="E111" t="s">
        <v>1321</v>
      </c>
      <c r="F111" t="str">
        <f>_xlfn.XLOOKUP(Log_Reseau_Master[[#This Row],[Cell_ID]],_29_03_2026_Registre_Maintenance_V2[ID_Antenne],_29_03_2026_Registre_Maintenance_V2[Province_RDC],"Pas de correspondance")</f>
        <v>Equateur</v>
      </c>
      <c r="G111" t="str">
        <f>_xlfn.XLOOKUP(Log_Reseau_Master[[#This Row],[Cell_ID]],_29_03_2026_Registre_Maintenance_V2[ID_Antenne],_29_03_2026_Registre_Maintenance_V2[Technologie],"Pas de correspondance")</f>
        <v>5G</v>
      </c>
      <c r="H111" t="str">
        <f>_xlfn.XLOOKUP(Log_Reseau_Master[[#This Row],[Cell_ID]],_29_03_2026_Registre_Maintenance_V2[ID_Antenne],_29_03_2026_Registre_Maintenance_V2[Equipementier],"Pas de correspondance")</f>
        <v>Huawei</v>
      </c>
    </row>
    <row r="112" spans="1:8" x14ac:dyDescent="0.25">
      <c r="A112" s="1">
        <v>45210.703472222223</v>
      </c>
      <c r="B112" s="4">
        <f>Log_Reseau_Master[[#This Row],[Duree_Panne_Min]]/1440</f>
        <v>1.3888888888888888E-2</v>
      </c>
      <c r="C112" t="s">
        <v>378</v>
      </c>
      <c r="D112">
        <v>20</v>
      </c>
      <c r="E112" t="s">
        <v>1314</v>
      </c>
      <c r="F112" t="str">
        <f>_xlfn.XLOOKUP(Log_Reseau_Master[[#This Row],[Cell_ID]],_29_03_2026_Registre_Maintenance_V2[ID_Antenne],_29_03_2026_Registre_Maintenance_V2[Province_RDC],"Pas de correspondance")</f>
        <v>Equateur</v>
      </c>
      <c r="G112" t="str">
        <f>_xlfn.XLOOKUP(Log_Reseau_Master[[#This Row],[Cell_ID]],_29_03_2026_Registre_Maintenance_V2[ID_Antenne],_29_03_2026_Registre_Maintenance_V2[Technologie],"Pas de correspondance")</f>
        <v>5G</v>
      </c>
      <c r="H112" t="str">
        <f>_xlfn.XLOOKUP(Log_Reseau_Master[[#This Row],[Cell_ID]],_29_03_2026_Registre_Maintenance_V2[ID_Antenne],_29_03_2026_Registre_Maintenance_V2[Equipementier],"Pas de correspondance")</f>
        <v>Huawei</v>
      </c>
    </row>
    <row r="113" spans="1:8" x14ac:dyDescent="0.25">
      <c r="A113" s="1">
        <v>45213.763194444444</v>
      </c>
      <c r="B113" s="4">
        <f>Log_Reseau_Master[[#This Row],[Duree_Panne_Min]]/1440</f>
        <v>8.2638888888888887E-2</v>
      </c>
      <c r="C113" t="s">
        <v>378</v>
      </c>
      <c r="D113">
        <v>119</v>
      </c>
      <c r="E113" t="s">
        <v>1321</v>
      </c>
      <c r="F113" t="str">
        <f>_xlfn.XLOOKUP(Log_Reseau_Master[[#This Row],[Cell_ID]],_29_03_2026_Registre_Maintenance_V2[ID_Antenne],_29_03_2026_Registre_Maintenance_V2[Province_RDC],"Pas de correspondance")</f>
        <v>Equateur</v>
      </c>
      <c r="G113" t="str">
        <f>_xlfn.XLOOKUP(Log_Reseau_Master[[#This Row],[Cell_ID]],_29_03_2026_Registre_Maintenance_V2[ID_Antenne],_29_03_2026_Registre_Maintenance_V2[Technologie],"Pas de correspondance")</f>
        <v>5G</v>
      </c>
      <c r="H113" t="str">
        <f>_xlfn.XLOOKUP(Log_Reseau_Master[[#This Row],[Cell_ID]],_29_03_2026_Registre_Maintenance_V2[ID_Antenne],_29_03_2026_Registre_Maintenance_V2[Equipementier],"Pas de correspondance")</f>
        <v>Huawei</v>
      </c>
    </row>
    <row r="114" spans="1:8" hidden="1" x14ac:dyDescent="0.25">
      <c r="A114" s="1">
        <v>45225.088888888888</v>
      </c>
      <c r="B114">
        <f>Log_Reseau_Master[[#This Row],[Duree_Panne_Min]]/1440</f>
        <v>3.5416666666666666E-2</v>
      </c>
      <c r="C114" t="s">
        <v>1373</v>
      </c>
      <c r="D114">
        <v>51</v>
      </c>
      <c r="E114" t="s">
        <v>1314</v>
      </c>
      <c r="F114" t="str">
        <f>_xlfn.XLOOKUP(Log_Reseau_Master[[#This Row],[Cell_ID]],_29_03_2026_Registre_Maintenance_V2[ID_Antenne],_29_03_2026_Registre_Maintenance_V2[Province_RDC],"Pas de correspondance")</f>
        <v>Pas de correspondance</v>
      </c>
      <c r="G114" t="str">
        <f>_xlfn.XLOOKUP(Log_Reseau_Master[[#This Row],[Cell_ID]],_29_03_2026_Registre_Maintenance_V2[ID_Antenne],_29_03_2026_Registre_Maintenance_V2[Technologie],"Pas de correspondance")</f>
        <v>Pas de correspondance</v>
      </c>
      <c r="H114" t="str">
        <f>_xlfn.XLOOKUP(Log_Reseau_Master[[#This Row],[Cell_ID]],_29_03_2026_Registre_Maintenance_V2[ID_Antenne],_29_03_2026_Registre_Maintenance_V2[Equipementier],"Pas de correspondance")</f>
        <v>Pas de correspondance</v>
      </c>
    </row>
    <row r="115" spans="1:8" hidden="1" x14ac:dyDescent="0.25">
      <c r="A115" s="1">
        <v>45219.821527777778</v>
      </c>
      <c r="B115">
        <f>Log_Reseau_Master[[#This Row],[Duree_Panne_Min]]/1440</f>
        <v>2.1527777777777778E-2</v>
      </c>
      <c r="C115" t="s">
        <v>1374</v>
      </c>
      <c r="D115">
        <v>31</v>
      </c>
      <c r="E115" t="s">
        <v>1312</v>
      </c>
      <c r="F115" t="str">
        <f>_xlfn.XLOOKUP(Log_Reseau_Master[[#This Row],[Cell_ID]],_29_03_2026_Registre_Maintenance_V2[ID_Antenne],_29_03_2026_Registre_Maintenance_V2[Province_RDC],"Pas de correspondance")</f>
        <v>Pas de correspondance</v>
      </c>
      <c r="G115" t="str">
        <f>_xlfn.XLOOKUP(Log_Reseau_Master[[#This Row],[Cell_ID]],_29_03_2026_Registre_Maintenance_V2[ID_Antenne],_29_03_2026_Registre_Maintenance_V2[Technologie],"Pas de correspondance")</f>
        <v>Pas de correspondance</v>
      </c>
      <c r="H115" t="str">
        <f>_xlfn.XLOOKUP(Log_Reseau_Master[[#This Row],[Cell_ID]],_29_03_2026_Registre_Maintenance_V2[ID_Antenne],_29_03_2026_Registre_Maintenance_V2[Equipementier],"Pas de correspondance")</f>
        <v>Pas de correspondance</v>
      </c>
    </row>
    <row r="116" spans="1:8" hidden="1" x14ac:dyDescent="0.25">
      <c r="A116" s="1">
        <v>45214.136111111111</v>
      </c>
      <c r="B116">
        <f>Log_Reseau_Master[[#This Row],[Duree_Panne_Min]]/1440</f>
        <v>6.3888888888888884E-2</v>
      </c>
      <c r="C116" t="s">
        <v>1374</v>
      </c>
      <c r="D116">
        <v>92</v>
      </c>
      <c r="E116" t="s">
        <v>1314</v>
      </c>
      <c r="F116" t="str">
        <f>_xlfn.XLOOKUP(Log_Reseau_Master[[#This Row],[Cell_ID]],_29_03_2026_Registre_Maintenance_V2[ID_Antenne],_29_03_2026_Registre_Maintenance_V2[Province_RDC],"Pas de correspondance")</f>
        <v>Pas de correspondance</v>
      </c>
      <c r="G116" t="str">
        <f>_xlfn.XLOOKUP(Log_Reseau_Master[[#This Row],[Cell_ID]],_29_03_2026_Registre_Maintenance_V2[ID_Antenne],_29_03_2026_Registre_Maintenance_V2[Technologie],"Pas de correspondance")</f>
        <v>Pas de correspondance</v>
      </c>
      <c r="H116" t="str">
        <f>_xlfn.XLOOKUP(Log_Reseau_Master[[#This Row],[Cell_ID]],_29_03_2026_Registre_Maintenance_V2[ID_Antenne],_29_03_2026_Registre_Maintenance_V2[Equipementier],"Pas de correspondance")</f>
        <v>Pas de correspondance</v>
      </c>
    </row>
    <row r="117" spans="1:8" x14ac:dyDescent="0.25">
      <c r="A117" s="1">
        <v>45220.893750000003</v>
      </c>
      <c r="B117" s="4">
        <f>Log_Reseau_Master[[#This Row],[Duree_Panne_Min]]/1440</f>
        <v>7.013888888888889E-2</v>
      </c>
      <c r="C117" t="s">
        <v>146</v>
      </c>
      <c r="D117">
        <v>101</v>
      </c>
      <c r="E117" t="s">
        <v>1321</v>
      </c>
      <c r="F117" t="str">
        <f>_xlfn.XLOOKUP(Log_Reseau_Master[[#This Row],[Cell_ID]],_29_03_2026_Registre_Maintenance_V2[ID_Antenne],_29_03_2026_Registre_Maintenance_V2[Province_RDC],"Pas de correspondance")</f>
        <v>Bas-Uele</v>
      </c>
      <c r="G117" t="str">
        <f>_xlfn.XLOOKUP(Log_Reseau_Master[[#This Row],[Cell_ID]],_29_03_2026_Registre_Maintenance_V2[ID_Antenne],_29_03_2026_Registre_Maintenance_V2[Technologie],"Pas de correspondance")</f>
        <v>4G</v>
      </c>
      <c r="H117" t="str">
        <f>_xlfn.XLOOKUP(Log_Reseau_Master[[#This Row],[Cell_ID]],_29_03_2026_Registre_Maintenance_V2[ID_Antenne],_29_03_2026_Registre_Maintenance_V2[Equipementier],"Pas de correspondance")</f>
        <v>Huawei</v>
      </c>
    </row>
    <row r="118" spans="1:8" x14ac:dyDescent="0.25">
      <c r="A118" s="1">
        <v>45203.041666666664</v>
      </c>
      <c r="B118" s="4">
        <f>Log_Reseau_Master[[#This Row],[Duree_Panne_Min]]/1440</f>
        <v>4.791666666666667E-2</v>
      </c>
      <c r="C118" t="s">
        <v>146</v>
      </c>
      <c r="D118">
        <v>69</v>
      </c>
      <c r="E118" t="s">
        <v>1321</v>
      </c>
      <c r="F118" t="str">
        <f>_xlfn.XLOOKUP(Log_Reseau_Master[[#This Row],[Cell_ID]],_29_03_2026_Registre_Maintenance_V2[ID_Antenne],_29_03_2026_Registre_Maintenance_V2[Province_RDC],"Pas de correspondance")</f>
        <v>Bas-Uele</v>
      </c>
      <c r="G118" t="str">
        <f>_xlfn.XLOOKUP(Log_Reseau_Master[[#This Row],[Cell_ID]],_29_03_2026_Registre_Maintenance_V2[ID_Antenne],_29_03_2026_Registre_Maintenance_V2[Technologie],"Pas de correspondance")</f>
        <v>4G</v>
      </c>
      <c r="H118" t="str">
        <f>_xlfn.XLOOKUP(Log_Reseau_Master[[#This Row],[Cell_ID]],_29_03_2026_Registre_Maintenance_V2[ID_Antenne],_29_03_2026_Registre_Maintenance_V2[Equipementier],"Pas de correspondance")</f>
        <v>Huawei</v>
      </c>
    </row>
    <row r="119" spans="1:8" hidden="1" x14ac:dyDescent="0.25">
      <c r="A119" s="1">
        <v>45211.380555555559</v>
      </c>
      <c r="B119">
        <f>Log_Reseau_Master[[#This Row],[Duree_Panne_Min]]/1440</f>
        <v>5.8333333333333334E-2</v>
      </c>
      <c r="C119" t="s">
        <v>1375</v>
      </c>
      <c r="D119">
        <v>84</v>
      </c>
      <c r="E119" t="s">
        <v>1314</v>
      </c>
      <c r="F119" t="str">
        <f>_xlfn.XLOOKUP(Log_Reseau_Master[[#This Row],[Cell_ID]],_29_03_2026_Registre_Maintenance_V2[ID_Antenne],_29_03_2026_Registre_Maintenance_V2[Province_RDC],"Pas de correspondance")</f>
        <v>Pas de correspondance</v>
      </c>
      <c r="G119" t="str">
        <f>_xlfn.XLOOKUP(Log_Reseau_Master[[#This Row],[Cell_ID]],_29_03_2026_Registre_Maintenance_V2[ID_Antenne],_29_03_2026_Registre_Maintenance_V2[Technologie],"Pas de correspondance")</f>
        <v>Pas de correspondance</v>
      </c>
      <c r="H119" t="str">
        <f>_xlfn.XLOOKUP(Log_Reseau_Master[[#This Row],[Cell_ID]],_29_03_2026_Registre_Maintenance_V2[ID_Antenne],_29_03_2026_Registre_Maintenance_V2[Equipementier],"Pas de correspondance")</f>
        <v>Pas de correspondance</v>
      </c>
    </row>
    <row r="120" spans="1:8" hidden="1" x14ac:dyDescent="0.25">
      <c r="A120" s="1">
        <v>45200.115972222222</v>
      </c>
      <c r="B120">
        <f>Log_Reseau_Master[[#This Row],[Duree_Panne_Min]]/1440</f>
        <v>7.7083333333333337E-2</v>
      </c>
      <c r="C120" t="s">
        <v>1376</v>
      </c>
      <c r="D120">
        <v>111</v>
      </c>
      <c r="E120" t="s">
        <v>1321</v>
      </c>
      <c r="F120" t="str">
        <f>_xlfn.XLOOKUP(Log_Reseau_Master[[#This Row],[Cell_ID]],_29_03_2026_Registre_Maintenance_V2[ID_Antenne],_29_03_2026_Registre_Maintenance_V2[Province_RDC],"Pas de correspondance")</f>
        <v>Pas de correspondance</v>
      </c>
      <c r="G120" t="str">
        <f>_xlfn.XLOOKUP(Log_Reseau_Master[[#This Row],[Cell_ID]],_29_03_2026_Registre_Maintenance_V2[ID_Antenne],_29_03_2026_Registre_Maintenance_V2[Technologie],"Pas de correspondance")</f>
        <v>Pas de correspondance</v>
      </c>
      <c r="H120" t="str">
        <f>_xlfn.XLOOKUP(Log_Reseau_Master[[#This Row],[Cell_ID]],_29_03_2026_Registre_Maintenance_V2[ID_Antenne],_29_03_2026_Registre_Maintenance_V2[Equipementier],"Pas de correspondance")</f>
        <v>Pas de correspondance</v>
      </c>
    </row>
    <row r="121" spans="1:8" hidden="1" x14ac:dyDescent="0.25">
      <c r="A121" s="1">
        <v>45225.238888888889</v>
      </c>
      <c r="B121">
        <f>Log_Reseau_Master[[#This Row],[Duree_Panne_Min]]/1440</f>
        <v>1.1111111111111112E-2</v>
      </c>
      <c r="C121" t="s">
        <v>1376</v>
      </c>
      <c r="D121">
        <v>16</v>
      </c>
      <c r="E121" t="s">
        <v>1312</v>
      </c>
      <c r="F121" t="str">
        <f>_xlfn.XLOOKUP(Log_Reseau_Master[[#This Row],[Cell_ID]],_29_03_2026_Registre_Maintenance_V2[ID_Antenne],_29_03_2026_Registre_Maintenance_V2[Province_RDC],"Pas de correspondance")</f>
        <v>Pas de correspondance</v>
      </c>
      <c r="G121" t="str">
        <f>_xlfn.XLOOKUP(Log_Reseau_Master[[#This Row],[Cell_ID]],_29_03_2026_Registre_Maintenance_V2[ID_Antenne],_29_03_2026_Registre_Maintenance_V2[Technologie],"Pas de correspondance")</f>
        <v>Pas de correspondance</v>
      </c>
      <c r="H121" t="str">
        <f>_xlfn.XLOOKUP(Log_Reseau_Master[[#This Row],[Cell_ID]],_29_03_2026_Registre_Maintenance_V2[ID_Antenne],_29_03_2026_Registre_Maintenance_V2[Equipementier],"Pas de correspondance")</f>
        <v>Pas de correspondance</v>
      </c>
    </row>
    <row r="122" spans="1:8" x14ac:dyDescent="0.25">
      <c r="A122" s="1">
        <v>45225.781944444447</v>
      </c>
      <c r="B122" s="4">
        <f>Log_Reseau_Master[[#This Row],[Duree_Panne_Min]]/1440</f>
        <v>7.8472222222222221E-2</v>
      </c>
      <c r="C122" t="s">
        <v>343</v>
      </c>
      <c r="D122">
        <v>113</v>
      </c>
      <c r="E122" t="s">
        <v>1312</v>
      </c>
      <c r="F122" t="str">
        <f>_xlfn.XLOOKUP(Log_Reseau_Master[[#This Row],[Cell_ID]],_29_03_2026_Registre_Maintenance_V2[ID_Antenne],_29_03_2026_Registre_Maintenance_V2[Province_RDC],"Pas de correspondance")</f>
        <v>Tanganyika</v>
      </c>
      <c r="G122" t="str">
        <f>_xlfn.XLOOKUP(Log_Reseau_Master[[#This Row],[Cell_ID]],_29_03_2026_Registre_Maintenance_V2[ID_Antenne],_29_03_2026_Registre_Maintenance_V2[Technologie],"Pas de correspondance")</f>
        <v>3G</v>
      </c>
      <c r="H122" t="str">
        <f>_xlfn.XLOOKUP(Log_Reseau_Master[[#This Row],[Cell_ID]],_29_03_2026_Registre_Maintenance_V2[ID_Antenne],_29_03_2026_Registre_Maintenance_V2[Equipementier],"Pas de correspondance")</f>
        <v>ZTE</v>
      </c>
    </row>
    <row r="123" spans="1:8" hidden="1" x14ac:dyDescent="0.25">
      <c r="A123" s="1">
        <v>45207.713888888888</v>
      </c>
      <c r="B123">
        <f>Log_Reseau_Master[[#This Row],[Duree_Panne_Min]]/1440</f>
        <v>6.8750000000000006E-2</v>
      </c>
      <c r="C123" t="s">
        <v>1377</v>
      </c>
      <c r="D123">
        <v>99</v>
      </c>
      <c r="E123" t="s">
        <v>1312</v>
      </c>
      <c r="F123" t="str">
        <f>_xlfn.XLOOKUP(Log_Reseau_Master[[#This Row],[Cell_ID]],_29_03_2026_Registre_Maintenance_V2[ID_Antenne],_29_03_2026_Registre_Maintenance_V2[Province_RDC],"Pas de correspondance")</f>
        <v>Pas de correspondance</v>
      </c>
      <c r="G123" t="str">
        <f>_xlfn.XLOOKUP(Log_Reseau_Master[[#This Row],[Cell_ID]],_29_03_2026_Registre_Maintenance_V2[ID_Antenne],_29_03_2026_Registre_Maintenance_V2[Technologie],"Pas de correspondance")</f>
        <v>Pas de correspondance</v>
      </c>
      <c r="H123" t="str">
        <f>_xlfn.XLOOKUP(Log_Reseau_Master[[#This Row],[Cell_ID]],_29_03_2026_Registre_Maintenance_V2[ID_Antenne],_29_03_2026_Registre_Maintenance_V2[Equipementier],"Pas de correspondance")</f>
        <v>Pas de correspondance</v>
      </c>
    </row>
    <row r="124" spans="1:8" hidden="1" x14ac:dyDescent="0.25">
      <c r="A124" s="1">
        <v>45226.574305555558</v>
      </c>
      <c r="B124">
        <f>Log_Reseau_Master[[#This Row],[Duree_Panne_Min]]/1440</f>
        <v>5.6250000000000001E-2</v>
      </c>
      <c r="C124" t="s">
        <v>1377</v>
      </c>
      <c r="D124">
        <v>81</v>
      </c>
      <c r="E124" t="s">
        <v>1312</v>
      </c>
      <c r="F124" t="str">
        <f>_xlfn.XLOOKUP(Log_Reseau_Master[[#This Row],[Cell_ID]],_29_03_2026_Registre_Maintenance_V2[ID_Antenne],_29_03_2026_Registre_Maintenance_V2[Province_RDC],"Pas de correspondance")</f>
        <v>Pas de correspondance</v>
      </c>
      <c r="G124" t="str">
        <f>_xlfn.XLOOKUP(Log_Reseau_Master[[#This Row],[Cell_ID]],_29_03_2026_Registre_Maintenance_V2[ID_Antenne],_29_03_2026_Registre_Maintenance_V2[Technologie],"Pas de correspondance")</f>
        <v>Pas de correspondance</v>
      </c>
      <c r="H124" t="str">
        <f>_xlfn.XLOOKUP(Log_Reseau_Master[[#This Row],[Cell_ID]],_29_03_2026_Registre_Maintenance_V2[ID_Antenne],_29_03_2026_Registre_Maintenance_V2[Equipementier],"Pas de correspondance")</f>
        <v>Pas de correspondance</v>
      </c>
    </row>
    <row r="125" spans="1:8" hidden="1" x14ac:dyDescent="0.25">
      <c r="A125" s="1">
        <v>45205.599999999999</v>
      </c>
      <c r="B125">
        <f>Log_Reseau_Master[[#This Row],[Duree_Panne_Min]]/1440</f>
        <v>1.3194444444444444E-2</v>
      </c>
      <c r="C125" t="s">
        <v>1378</v>
      </c>
      <c r="D125">
        <v>19</v>
      </c>
      <c r="E125" t="s">
        <v>1312</v>
      </c>
      <c r="F125" t="str">
        <f>_xlfn.XLOOKUP(Log_Reseau_Master[[#This Row],[Cell_ID]],_29_03_2026_Registre_Maintenance_V2[ID_Antenne],_29_03_2026_Registre_Maintenance_V2[Province_RDC],"Pas de correspondance")</f>
        <v>Pas de correspondance</v>
      </c>
      <c r="G125" t="str">
        <f>_xlfn.XLOOKUP(Log_Reseau_Master[[#This Row],[Cell_ID]],_29_03_2026_Registre_Maintenance_V2[ID_Antenne],_29_03_2026_Registre_Maintenance_V2[Technologie],"Pas de correspondance")</f>
        <v>Pas de correspondance</v>
      </c>
      <c r="H125" t="str">
        <f>_xlfn.XLOOKUP(Log_Reseau_Master[[#This Row],[Cell_ID]],_29_03_2026_Registre_Maintenance_V2[ID_Antenne],_29_03_2026_Registre_Maintenance_V2[Equipementier],"Pas de correspondance")</f>
        <v>Pas de correspondance</v>
      </c>
    </row>
    <row r="126" spans="1:8" hidden="1" x14ac:dyDescent="0.25">
      <c r="A126" s="1">
        <v>45201.770833333336</v>
      </c>
      <c r="B126">
        <f>Log_Reseau_Master[[#This Row],[Duree_Panne_Min]]/1440</f>
        <v>1.2500000000000001E-2</v>
      </c>
      <c r="C126" t="s">
        <v>1378</v>
      </c>
      <c r="D126">
        <v>18</v>
      </c>
      <c r="E126" t="s">
        <v>1321</v>
      </c>
      <c r="F126" t="str">
        <f>_xlfn.XLOOKUP(Log_Reseau_Master[[#This Row],[Cell_ID]],_29_03_2026_Registre_Maintenance_V2[ID_Antenne],_29_03_2026_Registre_Maintenance_V2[Province_RDC],"Pas de correspondance")</f>
        <v>Pas de correspondance</v>
      </c>
      <c r="G126" t="str">
        <f>_xlfn.XLOOKUP(Log_Reseau_Master[[#This Row],[Cell_ID]],_29_03_2026_Registre_Maintenance_V2[ID_Antenne],_29_03_2026_Registre_Maintenance_V2[Technologie],"Pas de correspondance")</f>
        <v>Pas de correspondance</v>
      </c>
      <c r="H126" t="str">
        <f>_xlfn.XLOOKUP(Log_Reseau_Master[[#This Row],[Cell_ID]],_29_03_2026_Registre_Maintenance_V2[ID_Antenne],_29_03_2026_Registre_Maintenance_V2[Equipementier],"Pas de correspondance")</f>
        <v>Pas de correspondance</v>
      </c>
    </row>
    <row r="127" spans="1:8" hidden="1" x14ac:dyDescent="0.25">
      <c r="A127" s="1">
        <v>45224.310416666667</v>
      </c>
      <c r="B127">
        <f>Log_Reseau_Master[[#This Row],[Duree_Panne_Min]]/1440</f>
        <v>6.805555555555555E-2</v>
      </c>
      <c r="C127" t="s">
        <v>1379</v>
      </c>
      <c r="D127">
        <v>98</v>
      </c>
      <c r="E127" t="s">
        <v>1312</v>
      </c>
      <c r="F127" t="str">
        <f>_xlfn.XLOOKUP(Log_Reseau_Master[[#This Row],[Cell_ID]],_29_03_2026_Registre_Maintenance_V2[ID_Antenne],_29_03_2026_Registre_Maintenance_V2[Province_RDC],"Pas de correspondance")</f>
        <v>Pas de correspondance</v>
      </c>
      <c r="G127" t="str">
        <f>_xlfn.XLOOKUP(Log_Reseau_Master[[#This Row],[Cell_ID]],_29_03_2026_Registre_Maintenance_V2[ID_Antenne],_29_03_2026_Registre_Maintenance_V2[Technologie],"Pas de correspondance")</f>
        <v>Pas de correspondance</v>
      </c>
      <c r="H127" t="str">
        <f>_xlfn.XLOOKUP(Log_Reseau_Master[[#This Row],[Cell_ID]],_29_03_2026_Registre_Maintenance_V2[ID_Antenne],_29_03_2026_Registre_Maintenance_V2[Equipementier],"Pas de correspondance")</f>
        <v>Pas de correspondance</v>
      </c>
    </row>
    <row r="128" spans="1:8" hidden="1" x14ac:dyDescent="0.25">
      <c r="A128" s="1">
        <v>45204.68472222222</v>
      </c>
      <c r="B128">
        <f>Log_Reseau_Master[[#This Row],[Duree_Panne_Min]]/1440</f>
        <v>6.3888888888888884E-2</v>
      </c>
      <c r="C128" t="s">
        <v>1379</v>
      </c>
      <c r="D128">
        <v>92</v>
      </c>
      <c r="E128" t="s">
        <v>1314</v>
      </c>
      <c r="F128" t="str">
        <f>_xlfn.XLOOKUP(Log_Reseau_Master[[#This Row],[Cell_ID]],_29_03_2026_Registre_Maintenance_V2[ID_Antenne],_29_03_2026_Registre_Maintenance_V2[Province_RDC],"Pas de correspondance")</f>
        <v>Pas de correspondance</v>
      </c>
      <c r="G128" t="str">
        <f>_xlfn.XLOOKUP(Log_Reseau_Master[[#This Row],[Cell_ID]],_29_03_2026_Registre_Maintenance_V2[ID_Antenne],_29_03_2026_Registre_Maintenance_V2[Technologie],"Pas de correspondance")</f>
        <v>Pas de correspondance</v>
      </c>
      <c r="H128" t="str">
        <f>_xlfn.XLOOKUP(Log_Reseau_Master[[#This Row],[Cell_ID]],_29_03_2026_Registre_Maintenance_V2[ID_Antenne],_29_03_2026_Registre_Maintenance_V2[Equipementier],"Pas de correspondance")</f>
        <v>Pas de correspondance</v>
      </c>
    </row>
    <row r="129" spans="1:8" hidden="1" x14ac:dyDescent="0.25">
      <c r="A129" s="1">
        <v>45225.921527777777</v>
      </c>
      <c r="B129">
        <f>Log_Reseau_Master[[#This Row],[Duree_Panne_Min]]/1440</f>
        <v>3.125E-2</v>
      </c>
      <c r="C129" t="s">
        <v>1379</v>
      </c>
      <c r="D129">
        <v>45</v>
      </c>
      <c r="E129" t="s">
        <v>1314</v>
      </c>
      <c r="F129" t="str">
        <f>_xlfn.XLOOKUP(Log_Reseau_Master[[#This Row],[Cell_ID]],_29_03_2026_Registre_Maintenance_V2[ID_Antenne],_29_03_2026_Registre_Maintenance_V2[Province_RDC],"Pas de correspondance")</f>
        <v>Pas de correspondance</v>
      </c>
      <c r="G129" t="str">
        <f>_xlfn.XLOOKUP(Log_Reseau_Master[[#This Row],[Cell_ID]],_29_03_2026_Registre_Maintenance_V2[ID_Antenne],_29_03_2026_Registre_Maintenance_V2[Technologie],"Pas de correspondance")</f>
        <v>Pas de correspondance</v>
      </c>
      <c r="H129" t="str">
        <f>_xlfn.XLOOKUP(Log_Reseau_Master[[#This Row],[Cell_ID]],_29_03_2026_Registre_Maintenance_V2[ID_Antenne],_29_03_2026_Registre_Maintenance_V2[Equipementier],"Pas de correspondance")</f>
        <v>Pas de correspondance</v>
      </c>
    </row>
    <row r="130" spans="1:8" x14ac:dyDescent="0.25">
      <c r="A130" s="1">
        <v>45216.435416666667</v>
      </c>
      <c r="B130" s="4">
        <f>Log_Reseau_Master[[#This Row],[Duree_Panne_Min]]/1440</f>
        <v>6.1111111111111109E-2</v>
      </c>
      <c r="C130" t="s">
        <v>206</v>
      </c>
      <c r="D130">
        <v>88</v>
      </c>
      <c r="E130" t="s">
        <v>1314</v>
      </c>
      <c r="F130" t="str">
        <f>_xlfn.XLOOKUP(Log_Reseau_Master[[#This Row],[Cell_ID]],_29_03_2026_Registre_Maintenance_V2[ID_Antenne],_29_03_2026_Registre_Maintenance_V2[Province_RDC],"Pas de correspondance")</f>
        <v>Maniema</v>
      </c>
      <c r="G130" t="str">
        <f>_xlfn.XLOOKUP(Log_Reseau_Master[[#This Row],[Cell_ID]],_29_03_2026_Registre_Maintenance_V2[ID_Antenne],_29_03_2026_Registre_Maintenance_V2[Technologie],"Pas de correspondance")</f>
        <v>4G</v>
      </c>
      <c r="H130" t="str">
        <f>_xlfn.XLOOKUP(Log_Reseau_Master[[#This Row],[Cell_ID]],_29_03_2026_Registre_Maintenance_V2[ID_Antenne],_29_03_2026_Registre_Maintenance_V2[Equipementier],"Pas de correspondance")</f>
        <v>Nokia</v>
      </c>
    </row>
    <row r="131" spans="1:8" x14ac:dyDescent="0.25">
      <c r="A131" s="1">
        <v>45203.910416666666</v>
      </c>
      <c r="B131" s="4">
        <f>Log_Reseau_Master[[#This Row],[Duree_Panne_Min]]/1440</f>
        <v>4.3055555555555555E-2</v>
      </c>
      <c r="C131" t="s">
        <v>206</v>
      </c>
      <c r="D131">
        <v>62</v>
      </c>
      <c r="E131" t="s">
        <v>1314</v>
      </c>
      <c r="F131" t="str">
        <f>_xlfn.XLOOKUP(Log_Reseau_Master[[#This Row],[Cell_ID]],_29_03_2026_Registre_Maintenance_V2[ID_Antenne],_29_03_2026_Registre_Maintenance_V2[Province_RDC],"Pas de correspondance")</f>
        <v>Maniema</v>
      </c>
      <c r="G131" t="str">
        <f>_xlfn.XLOOKUP(Log_Reseau_Master[[#This Row],[Cell_ID]],_29_03_2026_Registre_Maintenance_V2[ID_Antenne],_29_03_2026_Registre_Maintenance_V2[Technologie],"Pas de correspondance")</f>
        <v>4G</v>
      </c>
      <c r="H131" t="str">
        <f>_xlfn.XLOOKUP(Log_Reseau_Master[[#This Row],[Cell_ID]],_29_03_2026_Registre_Maintenance_V2[ID_Antenne],_29_03_2026_Registre_Maintenance_V2[Equipementier],"Pas de correspondance")</f>
        <v>Nokia</v>
      </c>
    </row>
    <row r="132" spans="1:8" x14ac:dyDescent="0.25">
      <c r="A132" s="1">
        <v>45212.417361111111</v>
      </c>
      <c r="B132" s="4">
        <f>Log_Reseau_Master[[#This Row],[Duree_Panne_Min]]/1440</f>
        <v>3.8194444444444448E-2</v>
      </c>
      <c r="C132" t="s">
        <v>206</v>
      </c>
      <c r="D132">
        <v>55</v>
      </c>
      <c r="E132" t="s">
        <v>1312</v>
      </c>
      <c r="F132" t="str">
        <f>_xlfn.XLOOKUP(Log_Reseau_Master[[#This Row],[Cell_ID]],_29_03_2026_Registre_Maintenance_V2[ID_Antenne],_29_03_2026_Registre_Maintenance_V2[Province_RDC],"Pas de correspondance")</f>
        <v>Maniema</v>
      </c>
      <c r="G132" t="str">
        <f>_xlfn.XLOOKUP(Log_Reseau_Master[[#This Row],[Cell_ID]],_29_03_2026_Registre_Maintenance_V2[ID_Antenne],_29_03_2026_Registre_Maintenance_V2[Technologie],"Pas de correspondance")</f>
        <v>4G</v>
      </c>
      <c r="H132" t="str">
        <f>_xlfn.XLOOKUP(Log_Reseau_Master[[#This Row],[Cell_ID]],_29_03_2026_Registre_Maintenance_V2[ID_Antenne],_29_03_2026_Registre_Maintenance_V2[Equipementier],"Pas de correspondance")</f>
        <v>Nokia</v>
      </c>
    </row>
    <row r="133" spans="1:8" hidden="1" x14ac:dyDescent="0.25">
      <c r="A133" s="1">
        <v>45210.007638888892</v>
      </c>
      <c r="B133">
        <f>Log_Reseau_Master[[#This Row],[Duree_Panne_Min]]/1440</f>
        <v>4.0972222222222222E-2</v>
      </c>
      <c r="C133" t="s">
        <v>1380</v>
      </c>
      <c r="D133">
        <v>59</v>
      </c>
      <c r="E133" t="s">
        <v>1312</v>
      </c>
      <c r="F133" t="str">
        <f>_xlfn.XLOOKUP(Log_Reseau_Master[[#This Row],[Cell_ID]],_29_03_2026_Registre_Maintenance_V2[ID_Antenne],_29_03_2026_Registre_Maintenance_V2[Province_RDC],"Pas de correspondance")</f>
        <v>Pas de correspondance</v>
      </c>
      <c r="G133" t="str">
        <f>_xlfn.XLOOKUP(Log_Reseau_Master[[#This Row],[Cell_ID]],_29_03_2026_Registre_Maintenance_V2[ID_Antenne],_29_03_2026_Registre_Maintenance_V2[Technologie],"Pas de correspondance")</f>
        <v>Pas de correspondance</v>
      </c>
      <c r="H133" t="str">
        <f>_xlfn.XLOOKUP(Log_Reseau_Master[[#This Row],[Cell_ID]],_29_03_2026_Registre_Maintenance_V2[ID_Antenne],_29_03_2026_Registre_Maintenance_V2[Equipementier],"Pas de correspondance")</f>
        <v>Pas de correspondance</v>
      </c>
    </row>
    <row r="134" spans="1:8" hidden="1" x14ac:dyDescent="0.25">
      <c r="A134" s="1">
        <v>45200.836111111108</v>
      </c>
      <c r="B134">
        <f>Log_Reseau_Master[[#This Row],[Duree_Panne_Min]]/1440</f>
        <v>4.1666666666666666E-3</v>
      </c>
      <c r="C134" t="s">
        <v>1380</v>
      </c>
      <c r="D134">
        <v>6</v>
      </c>
      <c r="E134" t="s">
        <v>1314</v>
      </c>
      <c r="F134" t="str">
        <f>_xlfn.XLOOKUP(Log_Reseau_Master[[#This Row],[Cell_ID]],_29_03_2026_Registre_Maintenance_V2[ID_Antenne],_29_03_2026_Registre_Maintenance_V2[Province_RDC],"Pas de correspondance")</f>
        <v>Pas de correspondance</v>
      </c>
      <c r="G134" t="str">
        <f>_xlfn.XLOOKUP(Log_Reseau_Master[[#This Row],[Cell_ID]],_29_03_2026_Registre_Maintenance_V2[ID_Antenne],_29_03_2026_Registre_Maintenance_V2[Technologie],"Pas de correspondance")</f>
        <v>Pas de correspondance</v>
      </c>
      <c r="H134" t="str">
        <f>_xlfn.XLOOKUP(Log_Reseau_Master[[#This Row],[Cell_ID]],_29_03_2026_Registre_Maintenance_V2[ID_Antenne],_29_03_2026_Registre_Maintenance_V2[Equipementier],"Pas de correspondance")</f>
        <v>Pas de correspondance</v>
      </c>
    </row>
    <row r="135" spans="1:8" hidden="1" x14ac:dyDescent="0.25">
      <c r="A135" s="1">
        <v>45209.462500000001</v>
      </c>
      <c r="B135">
        <f>Log_Reseau_Master[[#This Row],[Duree_Panne_Min]]/1440</f>
        <v>7.0833333333333331E-2</v>
      </c>
      <c r="C135" t="s">
        <v>1380</v>
      </c>
      <c r="D135">
        <v>102</v>
      </c>
      <c r="E135" t="s">
        <v>1321</v>
      </c>
      <c r="F135" t="str">
        <f>_xlfn.XLOOKUP(Log_Reseau_Master[[#This Row],[Cell_ID]],_29_03_2026_Registre_Maintenance_V2[ID_Antenne],_29_03_2026_Registre_Maintenance_V2[Province_RDC],"Pas de correspondance")</f>
        <v>Pas de correspondance</v>
      </c>
      <c r="G135" t="str">
        <f>_xlfn.XLOOKUP(Log_Reseau_Master[[#This Row],[Cell_ID]],_29_03_2026_Registre_Maintenance_V2[ID_Antenne],_29_03_2026_Registre_Maintenance_V2[Technologie],"Pas de correspondance")</f>
        <v>Pas de correspondance</v>
      </c>
      <c r="H135" t="str">
        <f>_xlfn.XLOOKUP(Log_Reseau_Master[[#This Row],[Cell_ID]],_29_03_2026_Registre_Maintenance_V2[ID_Antenne],_29_03_2026_Registre_Maintenance_V2[Equipementier],"Pas de correspondance")</f>
        <v>Pas de correspondance</v>
      </c>
    </row>
    <row r="136" spans="1:8" hidden="1" x14ac:dyDescent="0.25">
      <c r="A136" s="1">
        <v>45230.629861111112</v>
      </c>
      <c r="B136">
        <f>Log_Reseau_Master[[#This Row],[Duree_Panne_Min]]/1440</f>
        <v>6.3194444444444442E-2</v>
      </c>
      <c r="C136" t="s">
        <v>1381</v>
      </c>
      <c r="D136">
        <v>91</v>
      </c>
      <c r="E136" t="s">
        <v>1314</v>
      </c>
      <c r="F136" t="str">
        <f>_xlfn.XLOOKUP(Log_Reseau_Master[[#This Row],[Cell_ID]],_29_03_2026_Registre_Maintenance_V2[ID_Antenne],_29_03_2026_Registre_Maintenance_V2[Province_RDC],"Pas de correspondance")</f>
        <v>Pas de correspondance</v>
      </c>
      <c r="G136" t="str">
        <f>_xlfn.XLOOKUP(Log_Reseau_Master[[#This Row],[Cell_ID]],_29_03_2026_Registre_Maintenance_V2[ID_Antenne],_29_03_2026_Registre_Maintenance_V2[Technologie],"Pas de correspondance")</f>
        <v>Pas de correspondance</v>
      </c>
      <c r="H136" t="str">
        <f>_xlfn.XLOOKUP(Log_Reseau_Master[[#This Row],[Cell_ID]],_29_03_2026_Registre_Maintenance_V2[ID_Antenne],_29_03_2026_Registre_Maintenance_V2[Equipementier],"Pas de correspondance")</f>
        <v>Pas de correspondance</v>
      </c>
    </row>
    <row r="137" spans="1:8" hidden="1" x14ac:dyDescent="0.25">
      <c r="A137" s="1">
        <v>45225.432638888888</v>
      </c>
      <c r="B137">
        <f>Log_Reseau_Master[[#This Row],[Duree_Panne_Min]]/1440</f>
        <v>3.4722222222222224E-2</v>
      </c>
      <c r="C137" t="s">
        <v>1381</v>
      </c>
      <c r="D137">
        <v>50</v>
      </c>
      <c r="E137" t="s">
        <v>1312</v>
      </c>
      <c r="F137" t="str">
        <f>_xlfn.XLOOKUP(Log_Reseau_Master[[#This Row],[Cell_ID]],_29_03_2026_Registre_Maintenance_V2[ID_Antenne],_29_03_2026_Registre_Maintenance_V2[Province_RDC],"Pas de correspondance")</f>
        <v>Pas de correspondance</v>
      </c>
      <c r="G137" t="str">
        <f>_xlfn.XLOOKUP(Log_Reseau_Master[[#This Row],[Cell_ID]],_29_03_2026_Registre_Maintenance_V2[ID_Antenne],_29_03_2026_Registre_Maintenance_V2[Technologie],"Pas de correspondance")</f>
        <v>Pas de correspondance</v>
      </c>
      <c r="H137" t="str">
        <f>_xlfn.XLOOKUP(Log_Reseau_Master[[#This Row],[Cell_ID]],_29_03_2026_Registre_Maintenance_V2[ID_Antenne],_29_03_2026_Registre_Maintenance_V2[Equipementier],"Pas de correspondance")</f>
        <v>Pas de correspondance</v>
      </c>
    </row>
    <row r="138" spans="1:8" x14ac:dyDescent="0.25">
      <c r="A138" s="1">
        <v>45230.395138888889</v>
      </c>
      <c r="B138" s="4">
        <f>Log_Reseau_Master[[#This Row],[Duree_Panne_Min]]/1440</f>
        <v>6.1805555555555558E-2</v>
      </c>
      <c r="C138" t="s">
        <v>290</v>
      </c>
      <c r="D138">
        <v>89</v>
      </c>
      <c r="E138" t="s">
        <v>1321</v>
      </c>
      <c r="F138" t="str">
        <f>_xlfn.XLOOKUP(Log_Reseau_Master[[#This Row],[Cell_ID]],_29_03_2026_Registre_Maintenance_V2[ID_Antenne],_29_03_2026_Registre_Maintenance_V2[Province_RDC],"Pas de correspondance")</f>
        <v>Bas-Uele</v>
      </c>
      <c r="G138" t="str">
        <f>_xlfn.XLOOKUP(Log_Reseau_Master[[#This Row],[Cell_ID]],_29_03_2026_Registre_Maintenance_V2[ID_Antenne],_29_03_2026_Registre_Maintenance_V2[Technologie],"Pas de correspondance")</f>
        <v>4G</v>
      </c>
      <c r="H138" t="str">
        <f>_xlfn.XLOOKUP(Log_Reseau_Master[[#This Row],[Cell_ID]],_29_03_2026_Registre_Maintenance_V2[ID_Antenne],_29_03_2026_Registre_Maintenance_V2[Equipementier],"Pas de correspondance")</f>
        <v>Huawei</v>
      </c>
    </row>
    <row r="139" spans="1:8" x14ac:dyDescent="0.25">
      <c r="A139" s="1">
        <v>45207.011111111111</v>
      </c>
      <c r="B139" s="4">
        <f>Log_Reseau_Master[[#This Row],[Duree_Panne_Min]]/1440</f>
        <v>2.2222222222222223E-2</v>
      </c>
      <c r="C139" t="s">
        <v>199</v>
      </c>
      <c r="D139">
        <v>32</v>
      </c>
      <c r="E139" t="s">
        <v>1314</v>
      </c>
      <c r="F139" t="str">
        <f>_xlfn.XLOOKUP(Log_Reseau_Master[[#This Row],[Cell_ID]],_29_03_2026_Registre_Maintenance_V2[ID_Antenne],_29_03_2026_Registre_Maintenance_V2[Province_RDC],"Pas de correspondance")</f>
        <v>Kasai-Central</v>
      </c>
      <c r="G139" t="str">
        <f>_xlfn.XLOOKUP(Log_Reseau_Master[[#This Row],[Cell_ID]],_29_03_2026_Registre_Maintenance_V2[ID_Antenne],_29_03_2026_Registre_Maintenance_V2[Technologie],"Pas de correspondance")</f>
        <v>3G</v>
      </c>
      <c r="H139" t="str">
        <f>_xlfn.XLOOKUP(Log_Reseau_Master[[#This Row],[Cell_ID]],_29_03_2026_Registre_Maintenance_V2[ID_Antenne],_29_03_2026_Registre_Maintenance_V2[Equipementier],"Pas de correspondance")</f>
        <v>Nokia</v>
      </c>
    </row>
    <row r="140" spans="1:8" x14ac:dyDescent="0.25">
      <c r="A140" s="1">
        <v>45204.625</v>
      </c>
      <c r="B140" s="4">
        <f>Log_Reseau_Master[[#This Row],[Duree_Panne_Min]]/1440</f>
        <v>6.5277777777777782E-2</v>
      </c>
      <c r="C140" t="s">
        <v>519</v>
      </c>
      <c r="D140">
        <v>94</v>
      </c>
      <c r="E140" t="s">
        <v>1321</v>
      </c>
      <c r="F140" t="str">
        <f>_xlfn.XLOOKUP(Log_Reseau_Master[[#This Row],[Cell_ID]],_29_03_2026_Registre_Maintenance_V2[ID_Antenne],_29_03_2026_Registre_Maintenance_V2[Province_RDC],"Pas de correspondance")</f>
        <v>Bas-Uele</v>
      </c>
      <c r="G140" t="str">
        <f>_xlfn.XLOOKUP(Log_Reseau_Master[[#This Row],[Cell_ID]],_29_03_2026_Registre_Maintenance_V2[ID_Antenne],_29_03_2026_Registre_Maintenance_V2[Technologie],"Pas de correspondance")</f>
        <v>4G</v>
      </c>
      <c r="H140" t="str">
        <f>_xlfn.XLOOKUP(Log_Reseau_Master[[#This Row],[Cell_ID]],_29_03_2026_Registre_Maintenance_V2[ID_Antenne],_29_03_2026_Registre_Maintenance_V2[Equipementier],"Pas de correspondance")</f>
        <v>Huawei</v>
      </c>
    </row>
    <row r="141" spans="1:8" hidden="1" x14ac:dyDescent="0.25">
      <c r="A141" s="1">
        <v>45214.929861111108</v>
      </c>
      <c r="B141">
        <f>Log_Reseau_Master[[#This Row],[Duree_Panne_Min]]/1440</f>
        <v>6.1805555555555558E-2</v>
      </c>
      <c r="C141" t="s">
        <v>1382</v>
      </c>
      <c r="D141">
        <v>89</v>
      </c>
      <c r="E141" t="s">
        <v>1321</v>
      </c>
      <c r="F141" t="str">
        <f>_xlfn.XLOOKUP(Log_Reseau_Master[[#This Row],[Cell_ID]],_29_03_2026_Registre_Maintenance_V2[ID_Antenne],_29_03_2026_Registre_Maintenance_V2[Province_RDC],"Pas de correspondance")</f>
        <v>Pas de correspondance</v>
      </c>
      <c r="G141" t="str">
        <f>_xlfn.XLOOKUP(Log_Reseau_Master[[#This Row],[Cell_ID]],_29_03_2026_Registre_Maintenance_V2[ID_Antenne],_29_03_2026_Registre_Maintenance_V2[Technologie],"Pas de correspondance")</f>
        <v>Pas de correspondance</v>
      </c>
      <c r="H141" t="str">
        <f>_xlfn.XLOOKUP(Log_Reseau_Master[[#This Row],[Cell_ID]],_29_03_2026_Registre_Maintenance_V2[ID_Antenne],_29_03_2026_Registre_Maintenance_V2[Equipementier],"Pas de correspondance")</f>
        <v>Pas de correspondance</v>
      </c>
    </row>
    <row r="142" spans="1:8" hidden="1" x14ac:dyDescent="0.25">
      <c r="A142" s="1">
        <v>45202.912499999999</v>
      </c>
      <c r="B142">
        <f>Log_Reseau_Master[[#This Row],[Duree_Panne_Min]]/1440</f>
        <v>4.7222222222222221E-2</v>
      </c>
      <c r="C142" t="s">
        <v>1383</v>
      </c>
      <c r="D142">
        <v>68</v>
      </c>
      <c r="E142" t="s">
        <v>1321</v>
      </c>
      <c r="F142" t="str">
        <f>_xlfn.XLOOKUP(Log_Reseau_Master[[#This Row],[Cell_ID]],_29_03_2026_Registre_Maintenance_V2[ID_Antenne],_29_03_2026_Registre_Maintenance_V2[Province_RDC],"Pas de correspondance")</f>
        <v>Pas de correspondance</v>
      </c>
      <c r="G142" t="str">
        <f>_xlfn.XLOOKUP(Log_Reseau_Master[[#This Row],[Cell_ID]],_29_03_2026_Registre_Maintenance_V2[ID_Antenne],_29_03_2026_Registre_Maintenance_V2[Technologie],"Pas de correspondance")</f>
        <v>Pas de correspondance</v>
      </c>
      <c r="H142" t="str">
        <f>_xlfn.XLOOKUP(Log_Reseau_Master[[#This Row],[Cell_ID]],_29_03_2026_Registre_Maintenance_V2[ID_Antenne],_29_03_2026_Registre_Maintenance_V2[Equipementier],"Pas de correspondance")</f>
        <v>Pas de correspondance</v>
      </c>
    </row>
    <row r="143" spans="1:8" hidden="1" x14ac:dyDescent="0.25">
      <c r="A143" s="1">
        <v>45218.794444444444</v>
      </c>
      <c r="B143">
        <f>Log_Reseau_Master[[#This Row],[Duree_Panne_Min]]/1440</f>
        <v>7.4999999999999997E-2</v>
      </c>
      <c r="C143" t="s">
        <v>1384</v>
      </c>
      <c r="D143">
        <v>108</v>
      </c>
      <c r="E143" t="s">
        <v>1314</v>
      </c>
      <c r="F143" t="str">
        <f>_xlfn.XLOOKUP(Log_Reseau_Master[[#This Row],[Cell_ID]],_29_03_2026_Registre_Maintenance_V2[ID_Antenne],_29_03_2026_Registre_Maintenance_V2[Province_RDC],"Pas de correspondance")</f>
        <v>Pas de correspondance</v>
      </c>
      <c r="G143" t="str">
        <f>_xlfn.XLOOKUP(Log_Reseau_Master[[#This Row],[Cell_ID]],_29_03_2026_Registre_Maintenance_V2[ID_Antenne],_29_03_2026_Registre_Maintenance_V2[Technologie],"Pas de correspondance")</f>
        <v>Pas de correspondance</v>
      </c>
      <c r="H143" t="str">
        <f>_xlfn.XLOOKUP(Log_Reseau_Master[[#This Row],[Cell_ID]],_29_03_2026_Registre_Maintenance_V2[ID_Antenne],_29_03_2026_Registre_Maintenance_V2[Equipementier],"Pas de correspondance")</f>
        <v>Pas de correspondance</v>
      </c>
    </row>
    <row r="144" spans="1:8" hidden="1" x14ac:dyDescent="0.25">
      <c r="A144" s="1">
        <v>45207.17291666667</v>
      </c>
      <c r="B144">
        <f>Log_Reseau_Master[[#This Row],[Duree_Panne_Min]]/1440</f>
        <v>5.0694444444444445E-2</v>
      </c>
      <c r="C144" t="s">
        <v>1385</v>
      </c>
      <c r="D144">
        <v>73</v>
      </c>
      <c r="E144" t="s">
        <v>1321</v>
      </c>
      <c r="F144" t="str">
        <f>_xlfn.XLOOKUP(Log_Reseau_Master[[#This Row],[Cell_ID]],_29_03_2026_Registre_Maintenance_V2[ID_Antenne],_29_03_2026_Registre_Maintenance_V2[Province_RDC],"Pas de correspondance")</f>
        <v>Pas de correspondance</v>
      </c>
      <c r="G144" t="str">
        <f>_xlfn.XLOOKUP(Log_Reseau_Master[[#This Row],[Cell_ID]],_29_03_2026_Registre_Maintenance_V2[ID_Antenne],_29_03_2026_Registre_Maintenance_V2[Technologie],"Pas de correspondance")</f>
        <v>Pas de correspondance</v>
      </c>
      <c r="H144" t="str">
        <f>_xlfn.XLOOKUP(Log_Reseau_Master[[#This Row],[Cell_ID]],_29_03_2026_Registre_Maintenance_V2[ID_Antenne],_29_03_2026_Registre_Maintenance_V2[Equipementier],"Pas de correspondance")</f>
        <v>Pas de correspondance</v>
      </c>
    </row>
    <row r="145" spans="1:8" hidden="1" x14ac:dyDescent="0.25">
      <c r="A145" s="1">
        <v>45208.074999999997</v>
      </c>
      <c r="B145">
        <f>Log_Reseau_Master[[#This Row],[Duree_Panne_Min]]/1440</f>
        <v>5.6944444444444443E-2</v>
      </c>
      <c r="C145" t="s">
        <v>1386</v>
      </c>
      <c r="D145">
        <v>82</v>
      </c>
      <c r="E145" t="s">
        <v>1321</v>
      </c>
      <c r="F145" t="str">
        <f>_xlfn.XLOOKUP(Log_Reseau_Master[[#This Row],[Cell_ID]],_29_03_2026_Registre_Maintenance_V2[ID_Antenne],_29_03_2026_Registre_Maintenance_V2[Province_RDC],"Pas de correspondance")</f>
        <v>Pas de correspondance</v>
      </c>
      <c r="G145" t="str">
        <f>_xlfn.XLOOKUP(Log_Reseau_Master[[#This Row],[Cell_ID]],_29_03_2026_Registre_Maintenance_V2[ID_Antenne],_29_03_2026_Registre_Maintenance_V2[Technologie],"Pas de correspondance")</f>
        <v>Pas de correspondance</v>
      </c>
      <c r="H145" t="str">
        <f>_xlfn.XLOOKUP(Log_Reseau_Master[[#This Row],[Cell_ID]],_29_03_2026_Registre_Maintenance_V2[ID_Antenne],_29_03_2026_Registre_Maintenance_V2[Equipementier],"Pas de correspondance")</f>
        <v>Pas de correspondance</v>
      </c>
    </row>
    <row r="146" spans="1:8" hidden="1" x14ac:dyDescent="0.25">
      <c r="A146" s="1">
        <v>45228.848611111112</v>
      </c>
      <c r="B146">
        <f>Log_Reseau_Master[[#This Row],[Duree_Panne_Min]]/1440</f>
        <v>1.2500000000000001E-2</v>
      </c>
      <c r="C146" t="s">
        <v>1386</v>
      </c>
      <c r="D146">
        <v>18</v>
      </c>
      <c r="E146" t="s">
        <v>1321</v>
      </c>
      <c r="F146" t="str">
        <f>_xlfn.XLOOKUP(Log_Reseau_Master[[#This Row],[Cell_ID]],_29_03_2026_Registre_Maintenance_V2[ID_Antenne],_29_03_2026_Registre_Maintenance_V2[Province_RDC],"Pas de correspondance")</f>
        <v>Pas de correspondance</v>
      </c>
      <c r="G146" t="str">
        <f>_xlfn.XLOOKUP(Log_Reseau_Master[[#This Row],[Cell_ID]],_29_03_2026_Registre_Maintenance_V2[ID_Antenne],_29_03_2026_Registre_Maintenance_V2[Technologie],"Pas de correspondance")</f>
        <v>Pas de correspondance</v>
      </c>
      <c r="H146" t="str">
        <f>_xlfn.XLOOKUP(Log_Reseau_Master[[#This Row],[Cell_ID]],_29_03_2026_Registre_Maintenance_V2[ID_Antenne],_29_03_2026_Registre_Maintenance_V2[Equipementier],"Pas de correspondance")</f>
        <v>Pas de correspondance</v>
      </c>
    </row>
    <row r="147" spans="1:8" x14ac:dyDescent="0.25">
      <c r="A147" s="1">
        <v>45220.488888888889</v>
      </c>
      <c r="B147" s="4">
        <f>Log_Reseau_Master[[#This Row],[Duree_Panne_Min]]/1440</f>
        <v>3.4027777777777775E-2</v>
      </c>
      <c r="C147" t="s">
        <v>219</v>
      </c>
      <c r="D147">
        <v>49</v>
      </c>
      <c r="E147" t="s">
        <v>1321</v>
      </c>
      <c r="F147" t="str">
        <f>_xlfn.XLOOKUP(Log_Reseau_Master[[#This Row],[Cell_ID]],_29_03_2026_Registre_Maintenance_V2[ID_Antenne],_29_03_2026_Registre_Maintenance_V2[Province_RDC],"Pas de correspondance")</f>
        <v>Sud-Ubangi</v>
      </c>
      <c r="G147" t="str">
        <f>_xlfn.XLOOKUP(Log_Reseau_Master[[#This Row],[Cell_ID]],_29_03_2026_Registre_Maintenance_V2[ID_Antenne],_29_03_2026_Registre_Maintenance_V2[Technologie],"Pas de correspondance")</f>
        <v>5G</v>
      </c>
      <c r="H147" t="str">
        <f>_xlfn.XLOOKUP(Log_Reseau_Master[[#This Row],[Cell_ID]],_29_03_2026_Registre_Maintenance_V2[ID_Antenne],_29_03_2026_Registre_Maintenance_V2[Equipementier],"Pas de correspondance")</f>
        <v>Nokia</v>
      </c>
    </row>
    <row r="148" spans="1:8" x14ac:dyDescent="0.25">
      <c r="A148" s="1">
        <v>45214.457638888889</v>
      </c>
      <c r="B148" s="4">
        <f>Log_Reseau_Master[[#This Row],[Duree_Panne_Min]]/1440</f>
        <v>3.3333333333333333E-2</v>
      </c>
      <c r="C148" t="s">
        <v>219</v>
      </c>
      <c r="D148">
        <v>48</v>
      </c>
      <c r="E148" t="s">
        <v>1321</v>
      </c>
      <c r="F148" t="str">
        <f>_xlfn.XLOOKUP(Log_Reseau_Master[[#This Row],[Cell_ID]],_29_03_2026_Registre_Maintenance_V2[ID_Antenne],_29_03_2026_Registre_Maintenance_V2[Province_RDC],"Pas de correspondance")</f>
        <v>Sud-Ubangi</v>
      </c>
      <c r="G148" t="str">
        <f>_xlfn.XLOOKUP(Log_Reseau_Master[[#This Row],[Cell_ID]],_29_03_2026_Registre_Maintenance_V2[ID_Antenne],_29_03_2026_Registre_Maintenance_V2[Technologie],"Pas de correspondance")</f>
        <v>5G</v>
      </c>
      <c r="H148" t="str">
        <f>_xlfn.XLOOKUP(Log_Reseau_Master[[#This Row],[Cell_ID]],_29_03_2026_Registre_Maintenance_V2[ID_Antenne],_29_03_2026_Registre_Maintenance_V2[Equipementier],"Pas de correspondance")</f>
        <v>Nokia</v>
      </c>
    </row>
    <row r="149" spans="1:8" x14ac:dyDescent="0.25">
      <c r="A149" s="1">
        <v>45212.875694444447</v>
      </c>
      <c r="B149" s="4">
        <f>Log_Reseau_Master[[#This Row],[Duree_Panne_Min]]/1440</f>
        <v>1.5972222222222221E-2</v>
      </c>
      <c r="C149" t="s">
        <v>534</v>
      </c>
      <c r="D149">
        <v>23</v>
      </c>
      <c r="E149" t="s">
        <v>1314</v>
      </c>
      <c r="F149" t="str">
        <f>_xlfn.XLOOKUP(Log_Reseau_Master[[#This Row],[Cell_ID]],_29_03_2026_Registre_Maintenance_V2[ID_Antenne],_29_03_2026_Registre_Maintenance_V2[Province_RDC],"Pas de correspondance")</f>
        <v>Kwilu</v>
      </c>
      <c r="G149" t="str">
        <f>_xlfn.XLOOKUP(Log_Reseau_Master[[#This Row],[Cell_ID]],_29_03_2026_Registre_Maintenance_V2[ID_Antenne],_29_03_2026_Registre_Maintenance_V2[Technologie],"Pas de correspondance")</f>
        <v>3G</v>
      </c>
      <c r="H149" t="str">
        <f>_xlfn.XLOOKUP(Log_Reseau_Master[[#This Row],[Cell_ID]],_29_03_2026_Registre_Maintenance_V2[ID_Antenne],_29_03_2026_Registre_Maintenance_V2[Equipementier],"Pas de correspondance")</f>
        <v>Nokia</v>
      </c>
    </row>
    <row r="150" spans="1:8" x14ac:dyDescent="0.25">
      <c r="A150" s="1">
        <v>45212.901388888888</v>
      </c>
      <c r="B150" s="4">
        <f>Log_Reseau_Master[[#This Row],[Duree_Panne_Min]]/1440</f>
        <v>4.027777777777778E-2</v>
      </c>
      <c r="C150" t="s">
        <v>295</v>
      </c>
      <c r="D150">
        <v>58</v>
      </c>
      <c r="E150" t="s">
        <v>1314</v>
      </c>
      <c r="F150" t="str">
        <f>_xlfn.XLOOKUP(Log_Reseau_Master[[#This Row],[Cell_ID]],_29_03_2026_Registre_Maintenance_V2[ID_Antenne],_29_03_2026_Registre_Maintenance_V2[Province_RDC],"Pas de correspondance")</f>
        <v>Kwango</v>
      </c>
      <c r="G150" t="str">
        <f>_xlfn.XLOOKUP(Log_Reseau_Master[[#This Row],[Cell_ID]],_29_03_2026_Registre_Maintenance_V2[ID_Antenne],_29_03_2026_Registre_Maintenance_V2[Technologie],"Pas de correspondance")</f>
        <v>4G</v>
      </c>
      <c r="H150" t="str">
        <f>_xlfn.XLOOKUP(Log_Reseau_Master[[#This Row],[Cell_ID]],_29_03_2026_Registre_Maintenance_V2[ID_Antenne],_29_03_2026_Registre_Maintenance_V2[Equipementier],"Pas de correspondance")</f>
        <v>Huawei</v>
      </c>
    </row>
    <row r="151" spans="1:8" x14ac:dyDescent="0.25">
      <c r="A151" s="1">
        <v>45228.621527777781</v>
      </c>
      <c r="B151" s="4">
        <f>Log_Reseau_Master[[#This Row],[Duree_Panne_Min]]/1440</f>
        <v>6.805555555555555E-2</v>
      </c>
      <c r="C151" t="s">
        <v>295</v>
      </c>
      <c r="D151">
        <v>98</v>
      </c>
      <c r="E151" t="s">
        <v>1321</v>
      </c>
      <c r="F151" t="str">
        <f>_xlfn.XLOOKUP(Log_Reseau_Master[[#This Row],[Cell_ID]],_29_03_2026_Registre_Maintenance_V2[ID_Antenne],_29_03_2026_Registre_Maintenance_V2[Province_RDC],"Pas de correspondance")</f>
        <v>Kwango</v>
      </c>
      <c r="G151" t="str">
        <f>_xlfn.XLOOKUP(Log_Reseau_Master[[#This Row],[Cell_ID]],_29_03_2026_Registre_Maintenance_V2[ID_Antenne],_29_03_2026_Registre_Maintenance_V2[Technologie],"Pas de correspondance")</f>
        <v>4G</v>
      </c>
      <c r="H151" t="str">
        <f>_xlfn.XLOOKUP(Log_Reseau_Master[[#This Row],[Cell_ID]],_29_03_2026_Registre_Maintenance_V2[ID_Antenne],_29_03_2026_Registre_Maintenance_V2[Equipementier],"Pas de correspondance")</f>
        <v>Huawei</v>
      </c>
    </row>
    <row r="152" spans="1:8" x14ac:dyDescent="0.25">
      <c r="A152" s="1">
        <v>45206.539583333331</v>
      </c>
      <c r="B152" s="4">
        <f>Log_Reseau_Master[[#This Row],[Duree_Panne_Min]]/1440</f>
        <v>2.9861111111111113E-2</v>
      </c>
      <c r="C152" t="s">
        <v>295</v>
      </c>
      <c r="D152">
        <v>43</v>
      </c>
      <c r="E152" t="s">
        <v>1314</v>
      </c>
      <c r="F152" t="str">
        <f>_xlfn.XLOOKUP(Log_Reseau_Master[[#This Row],[Cell_ID]],_29_03_2026_Registre_Maintenance_V2[ID_Antenne],_29_03_2026_Registre_Maintenance_V2[Province_RDC],"Pas de correspondance")</f>
        <v>Kwango</v>
      </c>
      <c r="G152" t="str">
        <f>_xlfn.XLOOKUP(Log_Reseau_Master[[#This Row],[Cell_ID]],_29_03_2026_Registre_Maintenance_V2[ID_Antenne],_29_03_2026_Registre_Maintenance_V2[Technologie],"Pas de correspondance")</f>
        <v>4G</v>
      </c>
      <c r="H152" t="str">
        <f>_xlfn.XLOOKUP(Log_Reseau_Master[[#This Row],[Cell_ID]],_29_03_2026_Registre_Maintenance_V2[ID_Antenne],_29_03_2026_Registre_Maintenance_V2[Equipementier],"Pas de correspondance")</f>
        <v>Huawei</v>
      </c>
    </row>
    <row r="153" spans="1:8" hidden="1" x14ac:dyDescent="0.25">
      <c r="A153" s="1">
        <v>45230.444444444445</v>
      </c>
      <c r="B153">
        <f>Log_Reseau_Master[[#This Row],[Duree_Panne_Min]]/1440</f>
        <v>2.7777777777777776E-2</v>
      </c>
      <c r="C153" t="s">
        <v>1387</v>
      </c>
      <c r="D153">
        <v>40</v>
      </c>
      <c r="E153" t="s">
        <v>1314</v>
      </c>
      <c r="F153" t="str">
        <f>_xlfn.XLOOKUP(Log_Reseau_Master[[#This Row],[Cell_ID]],_29_03_2026_Registre_Maintenance_V2[ID_Antenne],_29_03_2026_Registre_Maintenance_V2[Province_RDC],"Pas de correspondance")</f>
        <v>Pas de correspondance</v>
      </c>
      <c r="G153" t="str">
        <f>_xlfn.XLOOKUP(Log_Reseau_Master[[#This Row],[Cell_ID]],_29_03_2026_Registre_Maintenance_V2[ID_Antenne],_29_03_2026_Registre_Maintenance_V2[Technologie],"Pas de correspondance")</f>
        <v>Pas de correspondance</v>
      </c>
      <c r="H153" t="str">
        <f>_xlfn.XLOOKUP(Log_Reseau_Master[[#This Row],[Cell_ID]],_29_03_2026_Registre_Maintenance_V2[ID_Antenne],_29_03_2026_Registre_Maintenance_V2[Equipementier],"Pas de correspondance")</f>
        <v>Pas de correspondance</v>
      </c>
    </row>
    <row r="154" spans="1:8" hidden="1" x14ac:dyDescent="0.25">
      <c r="A154" s="1">
        <v>45203.718055555553</v>
      </c>
      <c r="B154">
        <f>Log_Reseau_Master[[#This Row],[Duree_Panne_Min]]/1440</f>
        <v>7.9166666666666663E-2</v>
      </c>
      <c r="C154" t="s">
        <v>1387</v>
      </c>
      <c r="D154">
        <v>114</v>
      </c>
      <c r="E154" t="s">
        <v>1312</v>
      </c>
      <c r="F154" t="str">
        <f>_xlfn.XLOOKUP(Log_Reseau_Master[[#This Row],[Cell_ID]],_29_03_2026_Registre_Maintenance_V2[ID_Antenne],_29_03_2026_Registre_Maintenance_V2[Province_RDC],"Pas de correspondance")</f>
        <v>Pas de correspondance</v>
      </c>
      <c r="G154" t="str">
        <f>_xlfn.XLOOKUP(Log_Reseau_Master[[#This Row],[Cell_ID]],_29_03_2026_Registre_Maintenance_V2[ID_Antenne],_29_03_2026_Registre_Maintenance_V2[Technologie],"Pas de correspondance")</f>
        <v>Pas de correspondance</v>
      </c>
      <c r="H154" t="str">
        <f>_xlfn.XLOOKUP(Log_Reseau_Master[[#This Row],[Cell_ID]],_29_03_2026_Registre_Maintenance_V2[ID_Antenne],_29_03_2026_Registre_Maintenance_V2[Equipementier],"Pas de correspondance")</f>
        <v>Pas de correspondance</v>
      </c>
    </row>
    <row r="155" spans="1:8" x14ac:dyDescent="0.25">
      <c r="A155" s="1">
        <v>45210.49722222222</v>
      </c>
      <c r="B155" s="4">
        <f>Log_Reseau_Master[[#This Row],[Duree_Panne_Min]]/1440</f>
        <v>5.2083333333333336E-2</v>
      </c>
      <c r="C155" t="s">
        <v>273</v>
      </c>
      <c r="D155">
        <v>75</v>
      </c>
      <c r="E155" t="s">
        <v>1321</v>
      </c>
      <c r="F155" t="str">
        <f>_xlfn.XLOOKUP(Log_Reseau_Master[[#This Row],[Cell_ID]],_29_03_2026_Registre_Maintenance_V2[ID_Antenne],_29_03_2026_Registre_Maintenance_V2[Province_RDC],"Pas de correspondance")</f>
        <v>Sud-Kivu</v>
      </c>
      <c r="G155" t="str">
        <f>_xlfn.XLOOKUP(Log_Reseau_Master[[#This Row],[Cell_ID]],_29_03_2026_Registre_Maintenance_V2[ID_Antenne],_29_03_2026_Registre_Maintenance_V2[Technologie],"Pas de correspondance")</f>
        <v>3G</v>
      </c>
      <c r="H155" t="str">
        <f>_xlfn.XLOOKUP(Log_Reseau_Master[[#This Row],[Cell_ID]],_29_03_2026_Registre_Maintenance_V2[ID_Antenne],_29_03_2026_Registre_Maintenance_V2[Equipementier],"Pas de correspondance")</f>
        <v>Nokia</v>
      </c>
    </row>
    <row r="156" spans="1:8" x14ac:dyDescent="0.25">
      <c r="A156" s="1">
        <v>45228.001388888886</v>
      </c>
      <c r="B156" s="4">
        <f>Log_Reseau_Master[[#This Row],[Duree_Panne_Min]]/1440</f>
        <v>6.9444444444444448E-2</v>
      </c>
      <c r="C156" t="s">
        <v>273</v>
      </c>
      <c r="D156">
        <v>100</v>
      </c>
      <c r="E156" t="s">
        <v>1312</v>
      </c>
      <c r="F156" t="str">
        <f>_xlfn.XLOOKUP(Log_Reseau_Master[[#This Row],[Cell_ID]],_29_03_2026_Registre_Maintenance_V2[ID_Antenne],_29_03_2026_Registre_Maintenance_V2[Province_RDC],"Pas de correspondance")</f>
        <v>Sud-Kivu</v>
      </c>
      <c r="G156" t="str">
        <f>_xlfn.XLOOKUP(Log_Reseau_Master[[#This Row],[Cell_ID]],_29_03_2026_Registre_Maintenance_V2[ID_Antenne],_29_03_2026_Registre_Maintenance_V2[Technologie],"Pas de correspondance")</f>
        <v>3G</v>
      </c>
      <c r="H156" t="str">
        <f>_xlfn.XLOOKUP(Log_Reseau_Master[[#This Row],[Cell_ID]],_29_03_2026_Registre_Maintenance_V2[ID_Antenne],_29_03_2026_Registre_Maintenance_V2[Equipementier],"Pas de correspondance")</f>
        <v>Nokia</v>
      </c>
    </row>
    <row r="157" spans="1:8" hidden="1" x14ac:dyDescent="0.25">
      <c r="A157" s="1">
        <v>45212.174305555556</v>
      </c>
      <c r="B157">
        <f>Log_Reseau_Master[[#This Row],[Duree_Panne_Min]]/1440</f>
        <v>7.7777777777777779E-2</v>
      </c>
      <c r="C157" t="s">
        <v>1388</v>
      </c>
      <c r="D157">
        <v>112</v>
      </c>
      <c r="E157" t="s">
        <v>1321</v>
      </c>
      <c r="F157" t="str">
        <f>_xlfn.XLOOKUP(Log_Reseau_Master[[#This Row],[Cell_ID]],_29_03_2026_Registre_Maintenance_V2[ID_Antenne],_29_03_2026_Registre_Maintenance_V2[Province_RDC],"Pas de correspondance")</f>
        <v>Pas de correspondance</v>
      </c>
      <c r="G157" t="str">
        <f>_xlfn.XLOOKUP(Log_Reseau_Master[[#This Row],[Cell_ID]],_29_03_2026_Registre_Maintenance_V2[ID_Antenne],_29_03_2026_Registre_Maintenance_V2[Technologie],"Pas de correspondance")</f>
        <v>Pas de correspondance</v>
      </c>
      <c r="H157" t="str">
        <f>_xlfn.XLOOKUP(Log_Reseau_Master[[#This Row],[Cell_ID]],_29_03_2026_Registre_Maintenance_V2[ID_Antenne],_29_03_2026_Registre_Maintenance_V2[Equipementier],"Pas de correspondance")</f>
        <v>Pas de correspondance</v>
      </c>
    </row>
    <row r="158" spans="1:8" hidden="1" x14ac:dyDescent="0.25">
      <c r="A158" s="1">
        <v>45222.51666666667</v>
      </c>
      <c r="B158">
        <f>Log_Reseau_Master[[#This Row],[Duree_Panne_Min]]/1440</f>
        <v>4.583333333333333E-2</v>
      </c>
      <c r="C158" t="s">
        <v>1389</v>
      </c>
      <c r="D158">
        <v>66</v>
      </c>
      <c r="E158" t="s">
        <v>1314</v>
      </c>
      <c r="F158" t="str">
        <f>_xlfn.XLOOKUP(Log_Reseau_Master[[#This Row],[Cell_ID]],_29_03_2026_Registre_Maintenance_V2[ID_Antenne],_29_03_2026_Registre_Maintenance_V2[Province_RDC],"Pas de correspondance")</f>
        <v>Pas de correspondance</v>
      </c>
      <c r="G158" t="str">
        <f>_xlfn.XLOOKUP(Log_Reseau_Master[[#This Row],[Cell_ID]],_29_03_2026_Registre_Maintenance_V2[ID_Antenne],_29_03_2026_Registre_Maintenance_V2[Technologie],"Pas de correspondance")</f>
        <v>Pas de correspondance</v>
      </c>
      <c r="H158" t="str">
        <f>_xlfn.XLOOKUP(Log_Reseau_Master[[#This Row],[Cell_ID]],_29_03_2026_Registre_Maintenance_V2[ID_Antenne],_29_03_2026_Registre_Maintenance_V2[Equipementier],"Pas de correspondance")</f>
        <v>Pas de correspondance</v>
      </c>
    </row>
    <row r="159" spans="1:8" hidden="1" x14ac:dyDescent="0.25">
      <c r="A159" s="1">
        <v>45210.675000000003</v>
      </c>
      <c r="B159">
        <f>Log_Reseau_Master[[#This Row],[Duree_Panne_Min]]/1440</f>
        <v>5.9722222222222225E-2</v>
      </c>
      <c r="C159" t="s">
        <v>1389</v>
      </c>
      <c r="D159">
        <v>86</v>
      </c>
      <c r="E159" t="s">
        <v>1321</v>
      </c>
      <c r="F159" t="str">
        <f>_xlfn.XLOOKUP(Log_Reseau_Master[[#This Row],[Cell_ID]],_29_03_2026_Registre_Maintenance_V2[ID_Antenne],_29_03_2026_Registre_Maintenance_V2[Province_RDC],"Pas de correspondance")</f>
        <v>Pas de correspondance</v>
      </c>
      <c r="G159" t="str">
        <f>_xlfn.XLOOKUP(Log_Reseau_Master[[#This Row],[Cell_ID]],_29_03_2026_Registre_Maintenance_V2[ID_Antenne],_29_03_2026_Registre_Maintenance_V2[Technologie],"Pas de correspondance")</f>
        <v>Pas de correspondance</v>
      </c>
      <c r="H159" t="str">
        <f>_xlfn.XLOOKUP(Log_Reseau_Master[[#This Row],[Cell_ID]],_29_03_2026_Registre_Maintenance_V2[ID_Antenne],_29_03_2026_Registre_Maintenance_V2[Equipementier],"Pas de correspondance")</f>
        <v>Pas de correspondance</v>
      </c>
    </row>
    <row r="160" spans="1:8" hidden="1" x14ac:dyDescent="0.25">
      <c r="A160" s="1">
        <v>45219.636111111111</v>
      </c>
      <c r="B160">
        <f>Log_Reseau_Master[[#This Row],[Duree_Panne_Min]]/1440</f>
        <v>3.4027777777777775E-2</v>
      </c>
      <c r="C160" t="s">
        <v>1389</v>
      </c>
      <c r="D160">
        <v>49</v>
      </c>
      <c r="E160" t="s">
        <v>1314</v>
      </c>
      <c r="F160" t="str">
        <f>_xlfn.XLOOKUP(Log_Reseau_Master[[#This Row],[Cell_ID]],_29_03_2026_Registre_Maintenance_V2[ID_Antenne],_29_03_2026_Registre_Maintenance_V2[Province_RDC],"Pas de correspondance")</f>
        <v>Pas de correspondance</v>
      </c>
      <c r="G160" t="str">
        <f>_xlfn.XLOOKUP(Log_Reseau_Master[[#This Row],[Cell_ID]],_29_03_2026_Registre_Maintenance_V2[ID_Antenne],_29_03_2026_Registre_Maintenance_V2[Technologie],"Pas de correspondance")</f>
        <v>Pas de correspondance</v>
      </c>
      <c r="H160" t="str">
        <f>_xlfn.XLOOKUP(Log_Reseau_Master[[#This Row],[Cell_ID]],_29_03_2026_Registre_Maintenance_V2[ID_Antenne],_29_03_2026_Registre_Maintenance_V2[Equipementier],"Pas de correspondance")</f>
        <v>Pas de correspondance</v>
      </c>
    </row>
    <row r="161" spans="1:8" x14ac:dyDescent="0.25">
      <c r="A161" s="1">
        <v>45202.779166666667</v>
      </c>
      <c r="B161" s="4">
        <f>Log_Reseau_Master[[#This Row],[Duree_Panne_Min]]/1440</f>
        <v>4.2361111111111113E-2</v>
      </c>
      <c r="C161" t="s">
        <v>373</v>
      </c>
      <c r="D161">
        <v>61</v>
      </c>
      <c r="E161" t="s">
        <v>1321</v>
      </c>
      <c r="F161" t="str">
        <f>_xlfn.XLOOKUP(Log_Reseau_Master[[#This Row],[Cell_ID]],_29_03_2026_Registre_Maintenance_V2[ID_Antenne],_29_03_2026_Registre_Maintenance_V2[Province_RDC],"Pas de correspondance")</f>
        <v>Tanganyika</v>
      </c>
      <c r="G161" t="str">
        <f>_xlfn.XLOOKUP(Log_Reseau_Master[[#This Row],[Cell_ID]],_29_03_2026_Registre_Maintenance_V2[ID_Antenne],_29_03_2026_Registre_Maintenance_V2[Technologie],"Pas de correspondance")</f>
        <v>4G</v>
      </c>
      <c r="H161" t="str">
        <f>_xlfn.XLOOKUP(Log_Reseau_Master[[#This Row],[Cell_ID]],_29_03_2026_Registre_Maintenance_V2[ID_Antenne],_29_03_2026_Registre_Maintenance_V2[Equipementier],"Pas de correspondance")</f>
        <v>Nokia</v>
      </c>
    </row>
    <row r="162" spans="1:8" x14ac:dyDescent="0.25">
      <c r="A162" s="1">
        <v>45213.351388888892</v>
      </c>
      <c r="B162" s="4">
        <f>Log_Reseau_Master[[#This Row],[Duree_Panne_Min]]/1440</f>
        <v>5.9722222222222225E-2</v>
      </c>
      <c r="C162" t="s">
        <v>182</v>
      </c>
      <c r="D162">
        <v>86</v>
      </c>
      <c r="E162" t="s">
        <v>1321</v>
      </c>
      <c r="F162" t="str">
        <f>_xlfn.XLOOKUP(Log_Reseau_Master[[#This Row],[Cell_ID]],_29_03_2026_Registre_Maintenance_V2[ID_Antenne],_29_03_2026_Registre_Maintenance_V2[Province_RDC],"Pas de correspondance")</f>
        <v>Maniema</v>
      </c>
      <c r="G162" t="str">
        <f>_xlfn.XLOOKUP(Log_Reseau_Master[[#This Row],[Cell_ID]],_29_03_2026_Registre_Maintenance_V2[ID_Antenne],_29_03_2026_Registre_Maintenance_V2[Technologie],"Pas de correspondance")</f>
        <v>4G</v>
      </c>
      <c r="H162" t="str">
        <f>_xlfn.XLOOKUP(Log_Reseau_Master[[#This Row],[Cell_ID]],_29_03_2026_Registre_Maintenance_V2[ID_Antenne],_29_03_2026_Registre_Maintenance_V2[Equipementier],"Pas de correspondance")</f>
        <v>Huawei</v>
      </c>
    </row>
    <row r="163" spans="1:8" hidden="1" x14ac:dyDescent="0.25">
      <c r="A163" s="1">
        <v>45209.239583333336</v>
      </c>
      <c r="B163">
        <f>Log_Reseau_Master[[#This Row],[Duree_Panne_Min]]/1440</f>
        <v>2.9166666666666667E-2</v>
      </c>
      <c r="C163" t="s">
        <v>1390</v>
      </c>
      <c r="D163">
        <v>42</v>
      </c>
      <c r="E163" t="s">
        <v>1321</v>
      </c>
      <c r="F163" t="str">
        <f>_xlfn.XLOOKUP(Log_Reseau_Master[[#This Row],[Cell_ID]],_29_03_2026_Registre_Maintenance_V2[ID_Antenne],_29_03_2026_Registre_Maintenance_V2[Province_RDC],"Pas de correspondance")</f>
        <v>Pas de correspondance</v>
      </c>
      <c r="G163" t="str">
        <f>_xlfn.XLOOKUP(Log_Reseau_Master[[#This Row],[Cell_ID]],_29_03_2026_Registre_Maintenance_V2[ID_Antenne],_29_03_2026_Registre_Maintenance_V2[Technologie],"Pas de correspondance")</f>
        <v>Pas de correspondance</v>
      </c>
      <c r="H163" t="str">
        <f>_xlfn.XLOOKUP(Log_Reseau_Master[[#This Row],[Cell_ID]],_29_03_2026_Registre_Maintenance_V2[ID_Antenne],_29_03_2026_Registre_Maintenance_V2[Equipementier],"Pas de correspondance")</f>
        <v>Pas de correspondance</v>
      </c>
    </row>
    <row r="164" spans="1:8" hidden="1" x14ac:dyDescent="0.25">
      <c r="A164" s="1">
        <v>45227.421527777777</v>
      </c>
      <c r="B164">
        <f>Log_Reseau_Master[[#This Row],[Duree_Panne_Min]]/1440</f>
        <v>1.7361111111111112E-2</v>
      </c>
      <c r="C164" t="s">
        <v>1391</v>
      </c>
      <c r="D164">
        <v>25</v>
      </c>
      <c r="E164" t="s">
        <v>1312</v>
      </c>
      <c r="F164" t="str">
        <f>_xlfn.XLOOKUP(Log_Reseau_Master[[#This Row],[Cell_ID]],_29_03_2026_Registre_Maintenance_V2[ID_Antenne],_29_03_2026_Registre_Maintenance_V2[Province_RDC],"Pas de correspondance")</f>
        <v>Pas de correspondance</v>
      </c>
      <c r="G164" t="str">
        <f>_xlfn.XLOOKUP(Log_Reseau_Master[[#This Row],[Cell_ID]],_29_03_2026_Registre_Maintenance_V2[ID_Antenne],_29_03_2026_Registre_Maintenance_V2[Technologie],"Pas de correspondance")</f>
        <v>Pas de correspondance</v>
      </c>
      <c r="H164" t="str">
        <f>_xlfn.XLOOKUP(Log_Reseau_Master[[#This Row],[Cell_ID]],_29_03_2026_Registre_Maintenance_V2[ID_Antenne],_29_03_2026_Registre_Maintenance_V2[Equipementier],"Pas de correspondance")</f>
        <v>Pas de correspondance</v>
      </c>
    </row>
    <row r="165" spans="1:8" hidden="1" x14ac:dyDescent="0.25">
      <c r="A165" s="1">
        <v>45204.916666666664</v>
      </c>
      <c r="B165">
        <f>Log_Reseau_Master[[#This Row],[Duree_Panne_Min]]/1440</f>
        <v>4.4444444444444446E-2</v>
      </c>
      <c r="C165" t="s">
        <v>1391</v>
      </c>
      <c r="D165">
        <v>64</v>
      </c>
      <c r="E165" t="s">
        <v>1321</v>
      </c>
      <c r="F165" t="str">
        <f>_xlfn.XLOOKUP(Log_Reseau_Master[[#This Row],[Cell_ID]],_29_03_2026_Registre_Maintenance_V2[ID_Antenne],_29_03_2026_Registre_Maintenance_V2[Province_RDC],"Pas de correspondance")</f>
        <v>Pas de correspondance</v>
      </c>
      <c r="G165" t="str">
        <f>_xlfn.XLOOKUP(Log_Reseau_Master[[#This Row],[Cell_ID]],_29_03_2026_Registre_Maintenance_V2[ID_Antenne],_29_03_2026_Registre_Maintenance_V2[Technologie],"Pas de correspondance")</f>
        <v>Pas de correspondance</v>
      </c>
      <c r="H165" t="str">
        <f>_xlfn.XLOOKUP(Log_Reseau_Master[[#This Row],[Cell_ID]],_29_03_2026_Registre_Maintenance_V2[ID_Antenne],_29_03_2026_Registre_Maintenance_V2[Equipementier],"Pas de correspondance")</f>
        <v>Pas de correspondance</v>
      </c>
    </row>
    <row r="166" spans="1:8" x14ac:dyDescent="0.25">
      <c r="A166" s="1">
        <v>45205.169444444444</v>
      </c>
      <c r="B166" s="4">
        <f>Log_Reseau_Master[[#This Row],[Duree_Panne_Min]]/1440</f>
        <v>1.2500000000000001E-2</v>
      </c>
      <c r="C166" t="s">
        <v>254</v>
      </c>
      <c r="D166">
        <v>18</v>
      </c>
      <c r="E166" t="s">
        <v>1312</v>
      </c>
      <c r="F166" t="str">
        <f>_xlfn.XLOOKUP(Log_Reseau_Master[[#This Row],[Cell_ID]],_29_03_2026_Registre_Maintenance_V2[ID_Antenne],_29_03_2026_Registre_Maintenance_V2[Province_RDC],"Pas de correspondance")</f>
        <v>Kasai</v>
      </c>
      <c r="G166" t="str">
        <f>_xlfn.XLOOKUP(Log_Reseau_Master[[#This Row],[Cell_ID]],_29_03_2026_Registre_Maintenance_V2[ID_Antenne],_29_03_2026_Registre_Maintenance_V2[Technologie],"Pas de correspondance")</f>
        <v>3G</v>
      </c>
      <c r="H166" t="str">
        <f>_xlfn.XLOOKUP(Log_Reseau_Master[[#This Row],[Cell_ID]],_29_03_2026_Registre_Maintenance_V2[ID_Antenne],_29_03_2026_Registre_Maintenance_V2[Equipementier],"Pas de correspondance")</f>
        <v>Huawei</v>
      </c>
    </row>
    <row r="167" spans="1:8" hidden="1" x14ac:dyDescent="0.25">
      <c r="A167" s="1">
        <v>45208.505555555559</v>
      </c>
      <c r="B167">
        <f>Log_Reseau_Master[[#This Row],[Duree_Panne_Min]]/1440</f>
        <v>2.1527777777777778E-2</v>
      </c>
      <c r="C167" t="s">
        <v>1392</v>
      </c>
      <c r="D167">
        <v>31</v>
      </c>
      <c r="E167" t="s">
        <v>1321</v>
      </c>
      <c r="F167" t="str">
        <f>_xlfn.XLOOKUP(Log_Reseau_Master[[#This Row],[Cell_ID]],_29_03_2026_Registre_Maintenance_V2[ID_Antenne],_29_03_2026_Registre_Maintenance_V2[Province_RDC],"Pas de correspondance")</f>
        <v>Pas de correspondance</v>
      </c>
      <c r="G167" t="str">
        <f>_xlfn.XLOOKUP(Log_Reseau_Master[[#This Row],[Cell_ID]],_29_03_2026_Registre_Maintenance_V2[ID_Antenne],_29_03_2026_Registre_Maintenance_V2[Technologie],"Pas de correspondance")</f>
        <v>Pas de correspondance</v>
      </c>
      <c r="H167" t="str">
        <f>_xlfn.XLOOKUP(Log_Reseau_Master[[#This Row],[Cell_ID]],_29_03_2026_Registre_Maintenance_V2[ID_Antenne],_29_03_2026_Registre_Maintenance_V2[Equipementier],"Pas de correspondance")</f>
        <v>Pas de correspondance</v>
      </c>
    </row>
    <row r="168" spans="1:8" hidden="1" x14ac:dyDescent="0.25">
      <c r="A168" s="1">
        <v>45227.462500000001</v>
      </c>
      <c r="B168">
        <f>Log_Reseau_Master[[#This Row],[Duree_Panne_Min]]/1440</f>
        <v>4.8611111111111112E-2</v>
      </c>
      <c r="C168" t="s">
        <v>1392</v>
      </c>
      <c r="D168">
        <v>70</v>
      </c>
      <c r="E168" t="s">
        <v>1321</v>
      </c>
      <c r="F168" t="str">
        <f>_xlfn.XLOOKUP(Log_Reseau_Master[[#This Row],[Cell_ID]],_29_03_2026_Registre_Maintenance_V2[ID_Antenne],_29_03_2026_Registre_Maintenance_V2[Province_RDC],"Pas de correspondance")</f>
        <v>Pas de correspondance</v>
      </c>
      <c r="G168" t="str">
        <f>_xlfn.XLOOKUP(Log_Reseau_Master[[#This Row],[Cell_ID]],_29_03_2026_Registre_Maintenance_V2[ID_Antenne],_29_03_2026_Registre_Maintenance_V2[Technologie],"Pas de correspondance")</f>
        <v>Pas de correspondance</v>
      </c>
      <c r="H168" t="str">
        <f>_xlfn.XLOOKUP(Log_Reseau_Master[[#This Row],[Cell_ID]],_29_03_2026_Registre_Maintenance_V2[ID_Antenne],_29_03_2026_Registre_Maintenance_V2[Equipementier],"Pas de correspondance")</f>
        <v>Pas de correspondance</v>
      </c>
    </row>
    <row r="169" spans="1:8" x14ac:dyDescent="0.25">
      <c r="A169" s="1">
        <v>45203.760416666664</v>
      </c>
      <c r="B169" s="4">
        <f>Log_Reseau_Master[[#This Row],[Duree_Panne_Min]]/1440</f>
        <v>1.2500000000000001E-2</v>
      </c>
      <c r="C169" t="s">
        <v>74</v>
      </c>
      <c r="D169">
        <v>18</v>
      </c>
      <c r="E169" t="s">
        <v>1321</v>
      </c>
      <c r="F169" t="str">
        <f>_xlfn.XLOOKUP(Log_Reseau_Master[[#This Row],[Cell_ID]],_29_03_2026_Registre_Maintenance_V2[ID_Antenne],_29_03_2026_Registre_Maintenance_V2[Province_RDC],"Pas de correspondance")</f>
        <v>Nord-Ubangi</v>
      </c>
      <c r="G169" t="str">
        <f>_xlfn.XLOOKUP(Log_Reseau_Master[[#This Row],[Cell_ID]],_29_03_2026_Registre_Maintenance_V2[ID_Antenne],_29_03_2026_Registre_Maintenance_V2[Technologie],"Pas de correspondance")</f>
        <v>5G</v>
      </c>
      <c r="H169" t="str">
        <f>_xlfn.XLOOKUP(Log_Reseau_Master[[#This Row],[Cell_ID]],_29_03_2026_Registre_Maintenance_V2[ID_Antenne],_29_03_2026_Registre_Maintenance_V2[Equipementier],"Pas de correspondance")</f>
        <v>Nokia</v>
      </c>
    </row>
    <row r="170" spans="1:8" x14ac:dyDescent="0.25">
      <c r="A170" s="1">
        <v>45230.009027777778</v>
      </c>
      <c r="B170" s="4">
        <f>Log_Reseau_Master[[#This Row],[Duree_Panne_Min]]/1440</f>
        <v>7.6388888888888886E-3</v>
      </c>
      <c r="C170" t="s">
        <v>74</v>
      </c>
      <c r="D170">
        <v>11</v>
      </c>
      <c r="E170" t="s">
        <v>1312</v>
      </c>
      <c r="F170" t="str">
        <f>_xlfn.XLOOKUP(Log_Reseau_Master[[#This Row],[Cell_ID]],_29_03_2026_Registre_Maintenance_V2[ID_Antenne],_29_03_2026_Registre_Maintenance_V2[Province_RDC],"Pas de correspondance")</f>
        <v>Nord-Ubangi</v>
      </c>
      <c r="G170" t="str">
        <f>_xlfn.XLOOKUP(Log_Reseau_Master[[#This Row],[Cell_ID]],_29_03_2026_Registre_Maintenance_V2[ID_Antenne],_29_03_2026_Registre_Maintenance_V2[Technologie],"Pas de correspondance")</f>
        <v>5G</v>
      </c>
      <c r="H170" t="str">
        <f>_xlfn.XLOOKUP(Log_Reseau_Master[[#This Row],[Cell_ID]],_29_03_2026_Registre_Maintenance_V2[ID_Antenne],_29_03_2026_Registre_Maintenance_V2[Equipementier],"Pas de correspondance")</f>
        <v>Nokia</v>
      </c>
    </row>
    <row r="171" spans="1:8" x14ac:dyDescent="0.25">
      <c r="A171" s="1">
        <v>45205.650694444441</v>
      </c>
      <c r="B171" s="4">
        <f>Log_Reseau_Master[[#This Row],[Duree_Panne_Min]]/1440</f>
        <v>4.3749999999999997E-2</v>
      </c>
      <c r="C171" t="s">
        <v>191</v>
      </c>
      <c r="D171">
        <v>63</v>
      </c>
      <c r="E171" t="s">
        <v>1314</v>
      </c>
      <c r="F171" t="str">
        <f>_xlfn.XLOOKUP(Log_Reseau_Master[[#This Row],[Cell_ID]],_29_03_2026_Registre_Maintenance_V2[ID_Antenne],_29_03_2026_Registre_Maintenance_V2[Province_RDC],"Pas de correspondance")</f>
        <v>Kongo-Central</v>
      </c>
      <c r="G171" t="str">
        <f>_xlfn.XLOOKUP(Log_Reseau_Master[[#This Row],[Cell_ID]],_29_03_2026_Registre_Maintenance_V2[ID_Antenne],_29_03_2026_Registre_Maintenance_V2[Technologie],"Pas de correspondance")</f>
        <v>5G</v>
      </c>
      <c r="H171" t="str">
        <f>_xlfn.XLOOKUP(Log_Reseau_Master[[#This Row],[Cell_ID]],_29_03_2026_Registre_Maintenance_V2[ID_Antenne],_29_03_2026_Registre_Maintenance_V2[Equipementier],"Pas de correspondance")</f>
        <v>ZTE</v>
      </c>
    </row>
    <row r="172" spans="1:8" hidden="1" x14ac:dyDescent="0.25">
      <c r="A172" s="1">
        <v>45223.030555555553</v>
      </c>
      <c r="B172">
        <f>Log_Reseau_Master[[#This Row],[Duree_Panne_Min]]/1440</f>
        <v>4.0972222222222222E-2</v>
      </c>
      <c r="C172" t="s">
        <v>1393</v>
      </c>
      <c r="D172">
        <v>59</v>
      </c>
      <c r="E172" t="s">
        <v>1314</v>
      </c>
      <c r="F172" t="str">
        <f>_xlfn.XLOOKUP(Log_Reseau_Master[[#This Row],[Cell_ID]],_29_03_2026_Registre_Maintenance_V2[ID_Antenne],_29_03_2026_Registre_Maintenance_V2[Province_RDC],"Pas de correspondance")</f>
        <v>Pas de correspondance</v>
      </c>
      <c r="G172" t="str">
        <f>_xlfn.XLOOKUP(Log_Reseau_Master[[#This Row],[Cell_ID]],_29_03_2026_Registre_Maintenance_V2[ID_Antenne],_29_03_2026_Registre_Maintenance_V2[Technologie],"Pas de correspondance")</f>
        <v>Pas de correspondance</v>
      </c>
      <c r="H172" t="str">
        <f>_xlfn.XLOOKUP(Log_Reseau_Master[[#This Row],[Cell_ID]],_29_03_2026_Registre_Maintenance_V2[ID_Antenne],_29_03_2026_Registre_Maintenance_V2[Equipementier],"Pas de correspondance")</f>
        <v>Pas de correspondance</v>
      </c>
    </row>
    <row r="173" spans="1:8" hidden="1" x14ac:dyDescent="0.25">
      <c r="A173" s="1">
        <v>45206.43472222222</v>
      </c>
      <c r="B173">
        <f>Log_Reseau_Master[[#This Row],[Duree_Panne_Min]]/1440</f>
        <v>6.805555555555555E-2</v>
      </c>
      <c r="C173" t="s">
        <v>1394</v>
      </c>
      <c r="D173">
        <v>98</v>
      </c>
      <c r="E173" t="s">
        <v>1314</v>
      </c>
      <c r="F173" t="str">
        <f>_xlfn.XLOOKUP(Log_Reseau_Master[[#This Row],[Cell_ID]],_29_03_2026_Registre_Maintenance_V2[ID_Antenne],_29_03_2026_Registre_Maintenance_V2[Province_RDC],"Pas de correspondance")</f>
        <v>Pas de correspondance</v>
      </c>
      <c r="G173" t="str">
        <f>_xlfn.XLOOKUP(Log_Reseau_Master[[#This Row],[Cell_ID]],_29_03_2026_Registre_Maintenance_V2[ID_Antenne],_29_03_2026_Registre_Maintenance_V2[Technologie],"Pas de correspondance")</f>
        <v>Pas de correspondance</v>
      </c>
      <c r="H173" t="str">
        <f>_xlfn.XLOOKUP(Log_Reseau_Master[[#This Row],[Cell_ID]],_29_03_2026_Registre_Maintenance_V2[ID_Antenne],_29_03_2026_Registre_Maintenance_V2[Equipementier],"Pas de correspondance")</f>
        <v>Pas de correspondance</v>
      </c>
    </row>
    <row r="174" spans="1:8" hidden="1" x14ac:dyDescent="0.25">
      <c r="A174" s="1">
        <v>45217.411805555559</v>
      </c>
      <c r="B174">
        <f>Log_Reseau_Master[[#This Row],[Duree_Panne_Min]]/1440</f>
        <v>6.3888888888888884E-2</v>
      </c>
      <c r="C174" t="s">
        <v>1394</v>
      </c>
      <c r="D174">
        <v>92</v>
      </c>
      <c r="E174" t="s">
        <v>1321</v>
      </c>
      <c r="F174" t="str">
        <f>_xlfn.XLOOKUP(Log_Reseau_Master[[#This Row],[Cell_ID]],_29_03_2026_Registre_Maintenance_V2[ID_Antenne],_29_03_2026_Registre_Maintenance_V2[Province_RDC],"Pas de correspondance")</f>
        <v>Pas de correspondance</v>
      </c>
      <c r="G174" t="str">
        <f>_xlfn.XLOOKUP(Log_Reseau_Master[[#This Row],[Cell_ID]],_29_03_2026_Registre_Maintenance_V2[ID_Antenne],_29_03_2026_Registre_Maintenance_V2[Technologie],"Pas de correspondance")</f>
        <v>Pas de correspondance</v>
      </c>
      <c r="H174" t="str">
        <f>_xlfn.XLOOKUP(Log_Reseau_Master[[#This Row],[Cell_ID]],_29_03_2026_Registre_Maintenance_V2[ID_Antenne],_29_03_2026_Registre_Maintenance_V2[Equipementier],"Pas de correspondance")</f>
        <v>Pas de correspondance</v>
      </c>
    </row>
    <row r="175" spans="1:8" hidden="1" x14ac:dyDescent="0.25">
      <c r="A175" s="1">
        <v>45206.259027777778</v>
      </c>
      <c r="B175">
        <f>Log_Reseau_Master[[#This Row],[Duree_Panne_Min]]/1440</f>
        <v>7.2222222222222215E-2</v>
      </c>
      <c r="C175" t="s">
        <v>1395</v>
      </c>
      <c r="D175">
        <v>104</v>
      </c>
      <c r="E175" t="s">
        <v>1314</v>
      </c>
      <c r="F175" t="str">
        <f>_xlfn.XLOOKUP(Log_Reseau_Master[[#This Row],[Cell_ID]],_29_03_2026_Registre_Maintenance_V2[ID_Antenne],_29_03_2026_Registre_Maintenance_V2[Province_RDC],"Pas de correspondance")</f>
        <v>Pas de correspondance</v>
      </c>
      <c r="G175" t="str">
        <f>_xlfn.XLOOKUP(Log_Reseau_Master[[#This Row],[Cell_ID]],_29_03_2026_Registre_Maintenance_V2[ID_Antenne],_29_03_2026_Registre_Maintenance_V2[Technologie],"Pas de correspondance")</f>
        <v>Pas de correspondance</v>
      </c>
      <c r="H175" t="str">
        <f>_xlfn.XLOOKUP(Log_Reseau_Master[[#This Row],[Cell_ID]],_29_03_2026_Registre_Maintenance_V2[ID_Antenne],_29_03_2026_Registre_Maintenance_V2[Equipementier],"Pas de correspondance")</f>
        <v>Pas de correspondance</v>
      </c>
    </row>
    <row r="176" spans="1:8" x14ac:dyDescent="0.25">
      <c r="A176" s="1">
        <v>45216.275000000001</v>
      </c>
      <c r="B176" s="4">
        <f>Log_Reseau_Master[[#This Row],[Duree_Panne_Min]]/1440</f>
        <v>8.2638888888888887E-2</v>
      </c>
      <c r="C176" t="s">
        <v>344</v>
      </c>
      <c r="D176">
        <v>119</v>
      </c>
      <c r="E176" t="s">
        <v>1321</v>
      </c>
      <c r="F176" t="str">
        <f>_xlfn.XLOOKUP(Log_Reseau_Master[[#This Row],[Cell_ID]],_29_03_2026_Registre_Maintenance_V2[ID_Antenne],_29_03_2026_Registre_Maintenance_V2[Province_RDC],"Pas de correspondance")</f>
        <v>Sud-Kivu</v>
      </c>
      <c r="G176" t="str">
        <f>_xlfn.XLOOKUP(Log_Reseau_Master[[#This Row],[Cell_ID]],_29_03_2026_Registre_Maintenance_V2[ID_Antenne],_29_03_2026_Registre_Maintenance_V2[Technologie],"Pas de correspondance")</f>
        <v>5G</v>
      </c>
      <c r="H176" t="str">
        <f>_xlfn.XLOOKUP(Log_Reseau_Master[[#This Row],[Cell_ID]],_29_03_2026_Registre_Maintenance_V2[ID_Antenne],_29_03_2026_Registre_Maintenance_V2[Equipementier],"Pas de correspondance")</f>
        <v>Nokia</v>
      </c>
    </row>
    <row r="177" spans="1:8" x14ac:dyDescent="0.25">
      <c r="A177" s="1">
        <v>45227.447916666664</v>
      </c>
      <c r="B177" s="4">
        <f>Log_Reseau_Master[[#This Row],[Duree_Panne_Min]]/1440</f>
        <v>5.8333333333333334E-2</v>
      </c>
      <c r="C177" t="s">
        <v>344</v>
      </c>
      <c r="D177">
        <v>84</v>
      </c>
      <c r="E177" t="s">
        <v>1312</v>
      </c>
      <c r="F177" t="str">
        <f>_xlfn.XLOOKUP(Log_Reseau_Master[[#This Row],[Cell_ID]],_29_03_2026_Registre_Maintenance_V2[ID_Antenne],_29_03_2026_Registre_Maintenance_V2[Province_RDC],"Pas de correspondance")</f>
        <v>Sud-Kivu</v>
      </c>
      <c r="G177" t="str">
        <f>_xlfn.XLOOKUP(Log_Reseau_Master[[#This Row],[Cell_ID]],_29_03_2026_Registre_Maintenance_V2[ID_Antenne],_29_03_2026_Registre_Maintenance_V2[Technologie],"Pas de correspondance")</f>
        <v>5G</v>
      </c>
      <c r="H177" t="str">
        <f>_xlfn.XLOOKUP(Log_Reseau_Master[[#This Row],[Cell_ID]],_29_03_2026_Registre_Maintenance_V2[ID_Antenne],_29_03_2026_Registre_Maintenance_V2[Equipementier],"Pas de correspondance")</f>
        <v>Nokia</v>
      </c>
    </row>
    <row r="178" spans="1:8" x14ac:dyDescent="0.25">
      <c r="A178" s="1">
        <v>45216.865277777775</v>
      </c>
      <c r="B178" s="4">
        <f>Log_Reseau_Master[[#This Row],[Duree_Panne_Min]]/1440</f>
        <v>6.9444444444444441E-3</v>
      </c>
      <c r="C178" t="s">
        <v>194</v>
      </c>
      <c r="D178">
        <v>10</v>
      </c>
      <c r="E178" t="s">
        <v>1312</v>
      </c>
      <c r="F178" t="str">
        <f>_xlfn.XLOOKUP(Log_Reseau_Master[[#This Row],[Cell_ID]],_29_03_2026_Registre_Maintenance_V2[ID_Antenne],_29_03_2026_Registre_Maintenance_V2[Province_RDC],"Pas de correspondance")</f>
        <v>Kasai-Oriental</v>
      </c>
      <c r="G178" t="str">
        <f>_xlfn.XLOOKUP(Log_Reseau_Master[[#This Row],[Cell_ID]],_29_03_2026_Registre_Maintenance_V2[ID_Antenne],_29_03_2026_Registre_Maintenance_V2[Technologie],"Pas de correspondance")</f>
        <v>4G</v>
      </c>
      <c r="H178" t="str">
        <f>_xlfn.XLOOKUP(Log_Reseau_Master[[#This Row],[Cell_ID]],_29_03_2026_Registre_Maintenance_V2[ID_Antenne],_29_03_2026_Registre_Maintenance_V2[Equipementier],"Pas de correspondance")</f>
        <v>Huawei</v>
      </c>
    </row>
    <row r="179" spans="1:8" hidden="1" x14ac:dyDescent="0.25">
      <c r="A179" s="1">
        <v>45227.775694444441</v>
      </c>
      <c r="B179">
        <f>Log_Reseau_Master[[#This Row],[Duree_Panne_Min]]/1440</f>
        <v>3.125E-2</v>
      </c>
      <c r="C179" t="s">
        <v>1396</v>
      </c>
      <c r="D179">
        <v>45</v>
      </c>
      <c r="E179" t="s">
        <v>1321</v>
      </c>
      <c r="F179" t="str">
        <f>_xlfn.XLOOKUP(Log_Reseau_Master[[#This Row],[Cell_ID]],_29_03_2026_Registre_Maintenance_V2[ID_Antenne],_29_03_2026_Registre_Maintenance_V2[Province_RDC],"Pas de correspondance")</f>
        <v>Pas de correspondance</v>
      </c>
      <c r="G179" t="str">
        <f>_xlfn.XLOOKUP(Log_Reseau_Master[[#This Row],[Cell_ID]],_29_03_2026_Registre_Maintenance_V2[ID_Antenne],_29_03_2026_Registre_Maintenance_V2[Technologie],"Pas de correspondance")</f>
        <v>Pas de correspondance</v>
      </c>
      <c r="H179" t="str">
        <f>_xlfn.XLOOKUP(Log_Reseau_Master[[#This Row],[Cell_ID]],_29_03_2026_Registre_Maintenance_V2[ID_Antenne],_29_03_2026_Registre_Maintenance_V2[Equipementier],"Pas de correspondance")</f>
        <v>Pas de correspondance</v>
      </c>
    </row>
    <row r="180" spans="1:8" hidden="1" x14ac:dyDescent="0.25">
      <c r="A180" s="1">
        <v>45221.555555555555</v>
      </c>
      <c r="B180">
        <f>Log_Reseau_Master[[#This Row],[Duree_Panne_Min]]/1440</f>
        <v>7.1527777777777773E-2</v>
      </c>
      <c r="C180" t="s">
        <v>1396</v>
      </c>
      <c r="D180">
        <v>103</v>
      </c>
      <c r="E180" t="s">
        <v>1312</v>
      </c>
      <c r="F180" t="str">
        <f>_xlfn.XLOOKUP(Log_Reseau_Master[[#This Row],[Cell_ID]],_29_03_2026_Registre_Maintenance_V2[ID_Antenne],_29_03_2026_Registre_Maintenance_V2[Province_RDC],"Pas de correspondance")</f>
        <v>Pas de correspondance</v>
      </c>
      <c r="G180" t="str">
        <f>_xlfn.XLOOKUP(Log_Reseau_Master[[#This Row],[Cell_ID]],_29_03_2026_Registre_Maintenance_V2[ID_Antenne],_29_03_2026_Registre_Maintenance_V2[Technologie],"Pas de correspondance")</f>
        <v>Pas de correspondance</v>
      </c>
      <c r="H180" t="str">
        <f>_xlfn.XLOOKUP(Log_Reseau_Master[[#This Row],[Cell_ID]],_29_03_2026_Registre_Maintenance_V2[ID_Antenne],_29_03_2026_Registre_Maintenance_V2[Equipementier],"Pas de correspondance")</f>
        <v>Pas de correspondance</v>
      </c>
    </row>
    <row r="181" spans="1:8" x14ac:dyDescent="0.25">
      <c r="A181" s="1">
        <v>45226.84097222222</v>
      </c>
      <c r="B181" s="4">
        <f>Log_Reseau_Master[[#This Row],[Duree_Panne_Min]]/1440</f>
        <v>5.1388888888888887E-2</v>
      </c>
      <c r="C181" t="s">
        <v>110</v>
      </c>
      <c r="D181">
        <v>74</v>
      </c>
      <c r="E181" t="s">
        <v>1312</v>
      </c>
      <c r="F181" t="str">
        <f>_xlfn.XLOOKUP(Log_Reseau_Master[[#This Row],[Cell_ID]],_29_03_2026_Registre_Maintenance_V2[ID_Antenne],_29_03_2026_Registre_Maintenance_V2[Province_RDC],"Pas de correspondance")</f>
        <v>Kinshasa</v>
      </c>
      <c r="G181" t="str">
        <f>_xlfn.XLOOKUP(Log_Reseau_Master[[#This Row],[Cell_ID]],_29_03_2026_Registre_Maintenance_V2[ID_Antenne],_29_03_2026_Registre_Maintenance_V2[Technologie],"Pas de correspondance")</f>
        <v>5G</v>
      </c>
      <c r="H181" t="str">
        <f>_xlfn.XLOOKUP(Log_Reseau_Master[[#This Row],[Cell_ID]],_29_03_2026_Registre_Maintenance_V2[ID_Antenne],_29_03_2026_Registre_Maintenance_V2[Equipementier],"Pas de correspondance")</f>
        <v>ZTE</v>
      </c>
    </row>
    <row r="182" spans="1:8" x14ac:dyDescent="0.25">
      <c r="A182" s="1">
        <v>45218.088888888888</v>
      </c>
      <c r="B182" s="4">
        <f>Log_Reseau_Master[[#This Row],[Duree_Panne_Min]]/1440</f>
        <v>8.3333333333333332E-3</v>
      </c>
      <c r="C182" t="s">
        <v>110</v>
      </c>
      <c r="D182">
        <v>12</v>
      </c>
      <c r="E182" t="s">
        <v>1321</v>
      </c>
      <c r="F182" t="str">
        <f>_xlfn.XLOOKUP(Log_Reseau_Master[[#This Row],[Cell_ID]],_29_03_2026_Registre_Maintenance_V2[ID_Antenne],_29_03_2026_Registre_Maintenance_V2[Province_RDC],"Pas de correspondance")</f>
        <v>Kinshasa</v>
      </c>
      <c r="G182" t="str">
        <f>_xlfn.XLOOKUP(Log_Reseau_Master[[#This Row],[Cell_ID]],_29_03_2026_Registre_Maintenance_V2[ID_Antenne],_29_03_2026_Registre_Maintenance_V2[Technologie],"Pas de correspondance")</f>
        <v>5G</v>
      </c>
      <c r="H182" t="str">
        <f>_xlfn.XLOOKUP(Log_Reseau_Master[[#This Row],[Cell_ID]],_29_03_2026_Registre_Maintenance_V2[ID_Antenne],_29_03_2026_Registre_Maintenance_V2[Equipementier],"Pas de correspondance")</f>
        <v>ZTE</v>
      </c>
    </row>
    <row r="183" spans="1:8" x14ac:dyDescent="0.25">
      <c r="A183" s="1">
        <v>45209.215277777781</v>
      </c>
      <c r="B183" s="4">
        <f>Log_Reseau_Master[[#This Row],[Duree_Panne_Min]]/1440</f>
        <v>1.5972222222222221E-2</v>
      </c>
      <c r="C183" t="s">
        <v>110</v>
      </c>
      <c r="D183">
        <v>23</v>
      </c>
      <c r="E183" t="s">
        <v>1321</v>
      </c>
      <c r="F183" t="str">
        <f>_xlfn.XLOOKUP(Log_Reseau_Master[[#This Row],[Cell_ID]],_29_03_2026_Registre_Maintenance_V2[ID_Antenne],_29_03_2026_Registre_Maintenance_V2[Province_RDC],"Pas de correspondance")</f>
        <v>Kinshasa</v>
      </c>
      <c r="G183" t="str">
        <f>_xlfn.XLOOKUP(Log_Reseau_Master[[#This Row],[Cell_ID]],_29_03_2026_Registre_Maintenance_V2[ID_Antenne],_29_03_2026_Registre_Maintenance_V2[Technologie],"Pas de correspondance")</f>
        <v>5G</v>
      </c>
      <c r="H183" t="str">
        <f>_xlfn.XLOOKUP(Log_Reseau_Master[[#This Row],[Cell_ID]],_29_03_2026_Registre_Maintenance_V2[ID_Antenne],_29_03_2026_Registre_Maintenance_V2[Equipementier],"Pas de correspondance")</f>
        <v>ZTE</v>
      </c>
    </row>
    <row r="184" spans="1:8" x14ac:dyDescent="0.25">
      <c r="A184" s="1">
        <v>45219.438888888886</v>
      </c>
      <c r="B184" s="4">
        <f>Log_Reseau_Master[[#This Row],[Duree_Panne_Min]]/1440</f>
        <v>7.2916666666666671E-2</v>
      </c>
      <c r="C184" t="s">
        <v>222</v>
      </c>
      <c r="D184">
        <v>105</v>
      </c>
      <c r="E184" t="s">
        <v>1312</v>
      </c>
      <c r="F184" t="str">
        <f>_xlfn.XLOOKUP(Log_Reseau_Master[[#This Row],[Cell_ID]],_29_03_2026_Registre_Maintenance_V2[ID_Antenne],_29_03_2026_Registre_Maintenance_V2[Province_RDC],"Pas de correspondance")</f>
        <v>Sud-Ubangi</v>
      </c>
      <c r="G184" t="str">
        <f>_xlfn.XLOOKUP(Log_Reseau_Master[[#This Row],[Cell_ID]],_29_03_2026_Registre_Maintenance_V2[ID_Antenne],_29_03_2026_Registre_Maintenance_V2[Technologie],"Pas de correspondance")</f>
        <v>5G</v>
      </c>
      <c r="H184" t="str">
        <f>_xlfn.XLOOKUP(Log_Reseau_Master[[#This Row],[Cell_ID]],_29_03_2026_Registre_Maintenance_V2[ID_Antenne],_29_03_2026_Registre_Maintenance_V2[Equipementier],"Pas de correspondance")</f>
        <v>ZTE</v>
      </c>
    </row>
    <row r="185" spans="1:8" x14ac:dyDescent="0.25">
      <c r="A185" s="1">
        <v>45206.919444444444</v>
      </c>
      <c r="B185" s="4">
        <f>Log_Reseau_Master[[#This Row],[Duree_Panne_Min]]/1440</f>
        <v>9.0277777777777769E-3</v>
      </c>
      <c r="C185" t="s">
        <v>213</v>
      </c>
      <c r="D185">
        <v>13</v>
      </c>
      <c r="E185" t="s">
        <v>1312</v>
      </c>
      <c r="F185" t="str">
        <f>_xlfn.XLOOKUP(Log_Reseau_Master[[#This Row],[Cell_ID]],_29_03_2026_Registre_Maintenance_V2[ID_Antenne],_29_03_2026_Registre_Maintenance_V2[Province_RDC],"Pas de correspondance")</f>
        <v>Sud-Ubangi</v>
      </c>
      <c r="G185" t="str">
        <f>_xlfn.XLOOKUP(Log_Reseau_Master[[#This Row],[Cell_ID]],_29_03_2026_Registre_Maintenance_V2[ID_Antenne],_29_03_2026_Registre_Maintenance_V2[Technologie],"Pas de correspondance")</f>
        <v>5G</v>
      </c>
      <c r="H185" t="str">
        <f>_xlfn.XLOOKUP(Log_Reseau_Master[[#This Row],[Cell_ID]],_29_03_2026_Registre_Maintenance_V2[ID_Antenne],_29_03_2026_Registre_Maintenance_V2[Equipementier],"Pas de correspondance")</f>
        <v>Ericsson</v>
      </c>
    </row>
    <row r="186" spans="1:8" x14ac:dyDescent="0.25">
      <c r="A186" s="1">
        <v>45229.595833333333</v>
      </c>
      <c r="B186" s="4">
        <f>Log_Reseau_Master[[#This Row],[Duree_Panne_Min]]/1440</f>
        <v>6.1111111111111109E-2</v>
      </c>
      <c r="C186" t="s">
        <v>213</v>
      </c>
      <c r="D186">
        <v>88</v>
      </c>
      <c r="E186" t="s">
        <v>1321</v>
      </c>
      <c r="F186" t="str">
        <f>_xlfn.XLOOKUP(Log_Reseau_Master[[#This Row],[Cell_ID]],_29_03_2026_Registre_Maintenance_V2[ID_Antenne],_29_03_2026_Registre_Maintenance_V2[Province_RDC],"Pas de correspondance")</f>
        <v>Sud-Ubangi</v>
      </c>
      <c r="G186" t="str">
        <f>_xlfn.XLOOKUP(Log_Reseau_Master[[#This Row],[Cell_ID]],_29_03_2026_Registre_Maintenance_V2[ID_Antenne],_29_03_2026_Registre_Maintenance_V2[Technologie],"Pas de correspondance")</f>
        <v>5G</v>
      </c>
      <c r="H186" t="str">
        <f>_xlfn.XLOOKUP(Log_Reseau_Master[[#This Row],[Cell_ID]],_29_03_2026_Registre_Maintenance_V2[ID_Antenne],_29_03_2026_Registre_Maintenance_V2[Equipementier],"Pas de correspondance")</f>
        <v>Ericsson</v>
      </c>
    </row>
    <row r="187" spans="1:8" x14ac:dyDescent="0.25">
      <c r="A187" s="1">
        <v>45202.42083333333</v>
      </c>
      <c r="B187" s="4">
        <f>Log_Reseau_Master[[#This Row],[Duree_Panne_Min]]/1440</f>
        <v>5.8333333333333334E-2</v>
      </c>
      <c r="C187" t="s">
        <v>213</v>
      </c>
      <c r="D187">
        <v>84</v>
      </c>
      <c r="E187" t="s">
        <v>1314</v>
      </c>
      <c r="F187" t="str">
        <f>_xlfn.XLOOKUP(Log_Reseau_Master[[#This Row],[Cell_ID]],_29_03_2026_Registre_Maintenance_V2[ID_Antenne],_29_03_2026_Registre_Maintenance_V2[Province_RDC],"Pas de correspondance")</f>
        <v>Sud-Ubangi</v>
      </c>
      <c r="G187" t="str">
        <f>_xlfn.XLOOKUP(Log_Reseau_Master[[#This Row],[Cell_ID]],_29_03_2026_Registre_Maintenance_V2[ID_Antenne],_29_03_2026_Registre_Maintenance_V2[Technologie],"Pas de correspondance")</f>
        <v>5G</v>
      </c>
      <c r="H187" t="str">
        <f>_xlfn.XLOOKUP(Log_Reseau_Master[[#This Row],[Cell_ID]],_29_03_2026_Registre_Maintenance_V2[ID_Antenne],_29_03_2026_Registre_Maintenance_V2[Equipementier],"Pas de correspondance")</f>
        <v>Ericsson</v>
      </c>
    </row>
    <row r="188" spans="1:8" hidden="1" x14ac:dyDescent="0.25">
      <c r="A188" s="1">
        <v>45208.594444444447</v>
      </c>
      <c r="B188">
        <f>Log_Reseau_Master[[#This Row],[Duree_Panne_Min]]/1440</f>
        <v>3.4722222222222224E-2</v>
      </c>
      <c r="C188" t="s">
        <v>1397</v>
      </c>
      <c r="D188">
        <v>50</v>
      </c>
      <c r="E188" t="s">
        <v>1314</v>
      </c>
      <c r="F188" t="str">
        <f>_xlfn.XLOOKUP(Log_Reseau_Master[[#This Row],[Cell_ID]],_29_03_2026_Registre_Maintenance_V2[ID_Antenne],_29_03_2026_Registre_Maintenance_V2[Province_RDC],"Pas de correspondance")</f>
        <v>Pas de correspondance</v>
      </c>
      <c r="G188" t="str">
        <f>_xlfn.XLOOKUP(Log_Reseau_Master[[#This Row],[Cell_ID]],_29_03_2026_Registre_Maintenance_V2[ID_Antenne],_29_03_2026_Registre_Maintenance_V2[Technologie],"Pas de correspondance")</f>
        <v>Pas de correspondance</v>
      </c>
      <c r="H188" t="str">
        <f>_xlfn.XLOOKUP(Log_Reseau_Master[[#This Row],[Cell_ID]],_29_03_2026_Registre_Maintenance_V2[ID_Antenne],_29_03_2026_Registre_Maintenance_V2[Equipementier],"Pas de correspondance")</f>
        <v>Pas de correspondance</v>
      </c>
    </row>
    <row r="189" spans="1:8" hidden="1" x14ac:dyDescent="0.25">
      <c r="A189" s="1">
        <v>45218.647916666669</v>
      </c>
      <c r="B189">
        <f>Log_Reseau_Master[[#This Row],[Duree_Panne_Min]]/1440</f>
        <v>5.4166666666666669E-2</v>
      </c>
      <c r="C189" t="s">
        <v>1398</v>
      </c>
      <c r="D189">
        <v>78</v>
      </c>
      <c r="E189" t="s">
        <v>1314</v>
      </c>
      <c r="F189" t="str">
        <f>_xlfn.XLOOKUP(Log_Reseau_Master[[#This Row],[Cell_ID]],_29_03_2026_Registre_Maintenance_V2[ID_Antenne],_29_03_2026_Registre_Maintenance_V2[Province_RDC],"Pas de correspondance")</f>
        <v>Pas de correspondance</v>
      </c>
      <c r="G189" t="str">
        <f>_xlfn.XLOOKUP(Log_Reseau_Master[[#This Row],[Cell_ID]],_29_03_2026_Registre_Maintenance_V2[ID_Antenne],_29_03_2026_Registre_Maintenance_V2[Technologie],"Pas de correspondance")</f>
        <v>Pas de correspondance</v>
      </c>
      <c r="H189" t="str">
        <f>_xlfn.XLOOKUP(Log_Reseau_Master[[#This Row],[Cell_ID]],_29_03_2026_Registre_Maintenance_V2[ID_Antenne],_29_03_2026_Registre_Maintenance_V2[Equipementier],"Pas de correspondance")</f>
        <v>Pas de correspondance</v>
      </c>
    </row>
    <row r="190" spans="1:8" hidden="1" x14ac:dyDescent="0.25">
      <c r="A190" s="1">
        <v>45200.629166666666</v>
      </c>
      <c r="B190">
        <f>Log_Reseau_Master[[#This Row],[Duree_Panne_Min]]/1440</f>
        <v>5.0694444444444445E-2</v>
      </c>
      <c r="C190" t="s">
        <v>1398</v>
      </c>
      <c r="D190">
        <v>73</v>
      </c>
      <c r="E190" t="s">
        <v>1312</v>
      </c>
      <c r="F190" t="str">
        <f>_xlfn.XLOOKUP(Log_Reseau_Master[[#This Row],[Cell_ID]],_29_03_2026_Registre_Maintenance_V2[ID_Antenne],_29_03_2026_Registre_Maintenance_V2[Province_RDC],"Pas de correspondance")</f>
        <v>Pas de correspondance</v>
      </c>
      <c r="G190" t="str">
        <f>_xlfn.XLOOKUP(Log_Reseau_Master[[#This Row],[Cell_ID]],_29_03_2026_Registre_Maintenance_V2[ID_Antenne],_29_03_2026_Registre_Maintenance_V2[Technologie],"Pas de correspondance")</f>
        <v>Pas de correspondance</v>
      </c>
      <c r="H190" t="str">
        <f>_xlfn.XLOOKUP(Log_Reseau_Master[[#This Row],[Cell_ID]],_29_03_2026_Registre_Maintenance_V2[ID_Antenne],_29_03_2026_Registre_Maintenance_V2[Equipementier],"Pas de correspondance")</f>
        <v>Pas de correspondance</v>
      </c>
    </row>
    <row r="191" spans="1:8" hidden="1" x14ac:dyDescent="0.25">
      <c r="A191" s="1">
        <v>45203.35833333333</v>
      </c>
      <c r="B191">
        <f>Log_Reseau_Master[[#This Row],[Duree_Panne_Min]]/1440</f>
        <v>3.472222222222222E-3</v>
      </c>
      <c r="C191" t="s">
        <v>1399</v>
      </c>
      <c r="D191">
        <v>5</v>
      </c>
      <c r="E191" t="s">
        <v>1314</v>
      </c>
      <c r="F191" t="str">
        <f>_xlfn.XLOOKUP(Log_Reseau_Master[[#This Row],[Cell_ID]],_29_03_2026_Registre_Maintenance_V2[ID_Antenne],_29_03_2026_Registre_Maintenance_V2[Province_RDC],"Pas de correspondance")</f>
        <v>Pas de correspondance</v>
      </c>
      <c r="G191" t="str">
        <f>_xlfn.XLOOKUP(Log_Reseau_Master[[#This Row],[Cell_ID]],_29_03_2026_Registre_Maintenance_V2[ID_Antenne],_29_03_2026_Registre_Maintenance_V2[Technologie],"Pas de correspondance")</f>
        <v>Pas de correspondance</v>
      </c>
      <c r="H191" t="str">
        <f>_xlfn.XLOOKUP(Log_Reseau_Master[[#This Row],[Cell_ID]],_29_03_2026_Registre_Maintenance_V2[ID_Antenne],_29_03_2026_Registre_Maintenance_V2[Equipementier],"Pas de correspondance")</f>
        <v>Pas de correspondance</v>
      </c>
    </row>
    <row r="192" spans="1:8" x14ac:dyDescent="0.25">
      <c r="A192" s="1">
        <v>45227.144444444442</v>
      </c>
      <c r="B192" s="4">
        <f>Log_Reseau_Master[[#This Row],[Duree_Panne_Min]]/1440</f>
        <v>7.6388888888888886E-3</v>
      </c>
      <c r="C192" t="s">
        <v>411</v>
      </c>
      <c r="D192">
        <v>11</v>
      </c>
      <c r="E192" t="s">
        <v>1312</v>
      </c>
      <c r="F192" t="str">
        <f>_xlfn.XLOOKUP(Log_Reseau_Master[[#This Row],[Cell_ID]],_29_03_2026_Registre_Maintenance_V2[ID_Antenne],_29_03_2026_Registre_Maintenance_V2[Province_RDC],"Pas de correspondance")</f>
        <v>Tshopo</v>
      </c>
      <c r="G192" t="str">
        <f>_xlfn.XLOOKUP(Log_Reseau_Master[[#This Row],[Cell_ID]],_29_03_2026_Registre_Maintenance_V2[ID_Antenne],_29_03_2026_Registre_Maintenance_V2[Technologie],"Pas de correspondance")</f>
        <v>5G</v>
      </c>
      <c r="H192" t="str">
        <f>_xlfn.XLOOKUP(Log_Reseau_Master[[#This Row],[Cell_ID]],_29_03_2026_Registre_Maintenance_V2[ID_Antenne],_29_03_2026_Registre_Maintenance_V2[Equipementier],"Pas de correspondance")</f>
        <v>Ericsson</v>
      </c>
    </row>
    <row r="193" spans="1:8" x14ac:dyDescent="0.25">
      <c r="A193" s="1">
        <v>45215.580555555556</v>
      </c>
      <c r="B193" s="4">
        <f>Log_Reseau_Master[[#This Row],[Duree_Panne_Min]]/1440</f>
        <v>7.0833333333333331E-2</v>
      </c>
      <c r="C193" t="s">
        <v>411</v>
      </c>
      <c r="D193">
        <v>102</v>
      </c>
      <c r="E193" t="s">
        <v>1321</v>
      </c>
      <c r="F193" t="str">
        <f>_xlfn.XLOOKUP(Log_Reseau_Master[[#This Row],[Cell_ID]],_29_03_2026_Registre_Maintenance_V2[ID_Antenne],_29_03_2026_Registre_Maintenance_V2[Province_RDC],"Pas de correspondance")</f>
        <v>Tshopo</v>
      </c>
      <c r="G193" t="str">
        <f>_xlfn.XLOOKUP(Log_Reseau_Master[[#This Row],[Cell_ID]],_29_03_2026_Registre_Maintenance_V2[ID_Antenne],_29_03_2026_Registre_Maintenance_V2[Technologie],"Pas de correspondance")</f>
        <v>5G</v>
      </c>
      <c r="H193" t="str">
        <f>_xlfn.XLOOKUP(Log_Reseau_Master[[#This Row],[Cell_ID]],_29_03_2026_Registre_Maintenance_V2[ID_Antenne],_29_03_2026_Registre_Maintenance_V2[Equipementier],"Pas de correspondance")</f>
        <v>Ericsson</v>
      </c>
    </row>
    <row r="194" spans="1:8" x14ac:dyDescent="0.25">
      <c r="A194" s="1">
        <v>45212.311111111114</v>
      </c>
      <c r="B194" s="4">
        <f>Log_Reseau_Master[[#This Row],[Duree_Panne_Min]]/1440</f>
        <v>5.486111111111111E-2</v>
      </c>
      <c r="C194" t="s">
        <v>500</v>
      </c>
      <c r="D194">
        <v>79</v>
      </c>
      <c r="E194" t="s">
        <v>1314</v>
      </c>
      <c r="F194" t="str">
        <f>_xlfn.XLOOKUP(Log_Reseau_Master[[#This Row],[Cell_ID]],_29_03_2026_Registre_Maintenance_V2[ID_Antenne],_29_03_2026_Registre_Maintenance_V2[Province_RDC],"Pas de correspondance")</f>
        <v>Kwango</v>
      </c>
      <c r="G194" t="str">
        <f>_xlfn.XLOOKUP(Log_Reseau_Master[[#This Row],[Cell_ID]],_29_03_2026_Registre_Maintenance_V2[ID_Antenne],_29_03_2026_Registre_Maintenance_V2[Technologie],"Pas de correspondance")</f>
        <v>5G</v>
      </c>
      <c r="H194" t="str">
        <f>_xlfn.XLOOKUP(Log_Reseau_Master[[#This Row],[Cell_ID]],_29_03_2026_Registre_Maintenance_V2[ID_Antenne],_29_03_2026_Registre_Maintenance_V2[Equipementier],"Pas de correspondance")</f>
        <v>Ericsson</v>
      </c>
    </row>
    <row r="195" spans="1:8" x14ac:dyDescent="0.25">
      <c r="A195" s="1">
        <v>45213.311111111114</v>
      </c>
      <c r="B195" s="4">
        <f>Log_Reseau_Master[[#This Row],[Duree_Panne_Min]]/1440</f>
        <v>1.5277777777777777E-2</v>
      </c>
      <c r="C195" t="s">
        <v>500</v>
      </c>
      <c r="D195">
        <v>22</v>
      </c>
      <c r="E195" t="s">
        <v>1312</v>
      </c>
      <c r="F195" t="str">
        <f>_xlfn.XLOOKUP(Log_Reseau_Master[[#This Row],[Cell_ID]],_29_03_2026_Registre_Maintenance_V2[ID_Antenne],_29_03_2026_Registre_Maintenance_V2[Province_RDC],"Pas de correspondance")</f>
        <v>Kwango</v>
      </c>
      <c r="G195" t="str">
        <f>_xlfn.XLOOKUP(Log_Reseau_Master[[#This Row],[Cell_ID]],_29_03_2026_Registre_Maintenance_V2[ID_Antenne],_29_03_2026_Registre_Maintenance_V2[Technologie],"Pas de correspondance")</f>
        <v>5G</v>
      </c>
      <c r="H195" t="str">
        <f>_xlfn.XLOOKUP(Log_Reseau_Master[[#This Row],[Cell_ID]],_29_03_2026_Registre_Maintenance_V2[ID_Antenne],_29_03_2026_Registre_Maintenance_V2[Equipementier],"Pas de correspondance")</f>
        <v>Ericsson</v>
      </c>
    </row>
    <row r="196" spans="1:8" x14ac:dyDescent="0.25">
      <c r="A196" s="1">
        <v>45227.091666666667</v>
      </c>
      <c r="B196" s="4">
        <f>Log_Reseau_Master[[#This Row],[Duree_Panne_Min]]/1440</f>
        <v>7.7777777777777779E-2</v>
      </c>
      <c r="C196" t="s">
        <v>111</v>
      </c>
      <c r="D196">
        <v>112</v>
      </c>
      <c r="E196" t="s">
        <v>1314</v>
      </c>
      <c r="F196" t="str">
        <f>_xlfn.XLOOKUP(Log_Reseau_Master[[#This Row],[Cell_ID]],_29_03_2026_Registre_Maintenance_V2[ID_Antenne],_29_03_2026_Registre_Maintenance_V2[Province_RDC],"Pas de correspondance")</f>
        <v>Kwilu</v>
      </c>
      <c r="G196" t="str">
        <f>_xlfn.XLOOKUP(Log_Reseau_Master[[#This Row],[Cell_ID]],_29_03_2026_Registre_Maintenance_V2[ID_Antenne],_29_03_2026_Registre_Maintenance_V2[Technologie],"Pas de correspondance")</f>
        <v>3G</v>
      </c>
      <c r="H196" t="str">
        <f>_xlfn.XLOOKUP(Log_Reseau_Master[[#This Row],[Cell_ID]],_29_03_2026_Registre_Maintenance_V2[ID_Antenne],_29_03_2026_Registre_Maintenance_V2[Equipementier],"Pas de correspondance")</f>
        <v>Nokia</v>
      </c>
    </row>
    <row r="197" spans="1:8" x14ac:dyDescent="0.25">
      <c r="A197" s="1">
        <v>45202.804166666669</v>
      </c>
      <c r="B197" s="4">
        <f>Log_Reseau_Master[[#This Row],[Duree_Panne_Min]]/1440</f>
        <v>7.9861111111111105E-2</v>
      </c>
      <c r="C197" t="s">
        <v>232</v>
      </c>
      <c r="D197">
        <v>115</v>
      </c>
      <c r="E197" t="s">
        <v>1312</v>
      </c>
      <c r="F197" t="str">
        <f>_xlfn.XLOOKUP(Log_Reseau_Master[[#This Row],[Cell_ID]],_29_03_2026_Registre_Maintenance_V2[ID_Antenne],_29_03_2026_Registre_Maintenance_V2[Province_RDC],"Pas de correspondance")</f>
        <v>Haut-Uele</v>
      </c>
      <c r="G197" t="str">
        <f>_xlfn.XLOOKUP(Log_Reseau_Master[[#This Row],[Cell_ID]],_29_03_2026_Registre_Maintenance_V2[ID_Antenne],_29_03_2026_Registre_Maintenance_V2[Technologie],"Pas de correspondance")</f>
        <v>5G</v>
      </c>
      <c r="H197" t="str">
        <f>_xlfn.XLOOKUP(Log_Reseau_Master[[#This Row],[Cell_ID]],_29_03_2026_Registre_Maintenance_V2[ID_Antenne],_29_03_2026_Registre_Maintenance_V2[Equipementier],"Pas de correspondance")</f>
        <v>ZTE</v>
      </c>
    </row>
    <row r="198" spans="1:8" hidden="1" x14ac:dyDescent="0.25">
      <c r="A198" s="1">
        <v>45206.902777777781</v>
      </c>
      <c r="B198">
        <f>Log_Reseau_Master[[#This Row],[Duree_Panne_Min]]/1440</f>
        <v>5.2083333333333336E-2</v>
      </c>
      <c r="C198" t="s">
        <v>1400</v>
      </c>
      <c r="D198">
        <v>75</v>
      </c>
      <c r="E198" t="s">
        <v>1321</v>
      </c>
      <c r="F198" t="str">
        <f>_xlfn.XLOOKUP(Log_Reseau_Master[[#This Row],[Cell_ID]],_29_03_2026_Registre_Maintenance_V2[ID_Antenne],_29_03_2026_Registre_Maintenance_V2[Province_RDC],"Pas de correspondance")</f>
        <v>Pas de correspondance</v>
      </c>
      <c r="G198" t="str">
        <f>_xlfn.XLOOKUP(Log_Reseau_Master[[#This Row],[Cell_ID]],_29_03_2026_Registre_Maintenance_V2[ID_Antenne],_29_03_2026_Registre_Maintenance_V2[Technologie],"Pas de correspondance")</f>
        <v>Pas de correspondance</v>
      </c>
      <c r="H198" t="str">
        <f>_xlfn.XLOOKUP(Log_Reseau_Master[[#This Row],[Cell_ID]],_29_03_2026_Registre_Maintenance_V2[ID_Antenne],_29_03_2026_Registre_Maintenance_V2[Equipementier],"Pas de correspondance")</f>
        <v>Pas de correspondance</v>
      </c>
    </row>
    <row r="199" spans="1:8" hidden="1" x14ac:dyDescent="0.25">
      <c r="A199" s="1">
        <v>45217.324305555558</v>
      </c>
      <c r="B199">
        <f>Log_Reseau_Master[[#This Row],[Duree_Panne_Min]]/1440</f>
        <v>9.7222222222222224E-3</v>
      </c>
      <c r="C199" t="s">
        <v>1401</v>
      </c>
      <c r="D199">
        <v>14</v>
      </c>
      <c r="E199" t="s">
        <v>1312</v>
      </c>
      <c r="F199" t="str">
        <f>_xlfn.XLOOKUP(Log_Reseau_Master[[#This Row],[Cell_ID]],_29_03_2026_Registre_Maintenance_V2[ID_Antenne],_29_03_2026_Registre_Maintenance_V2[Province_RDC],"Pas de correspondance")</f>
        <v>Pas de correspondance</v>
      </c>
      <c r="G199" t="str">
        <f>_xlfn.XLOOKUP(Log_Reseau_Master[[#This Row],[Cell_ID]],_29_03_2026_Registre_Maintenance_V2[ID_Antenne],_29_03_2026_Registre_Maintenance_V2[Technologie],"Pas de correspondance")</f>
        <v>Pas de correspondance</v>
      </c>
      <c r="H199" t="str">
        <f>_xlfn.XLOOKUP(Log_Reseau_Master[[#This Row],[Cell_ID]],_29_03_2026_Registre_Maintenance_V2[ID_Antenne],_29_03_2026_Registre_Maintenance_V2[Equipementier],"Pas de correspondance")</f>
        <v>Pas de correspondance</v>
      </c>
    </row>
    <row r="200" spans="1:8" hidden="1" x14ac:dyDescent="0.25">
      <c r="A200" s="1">
        <v>45226.975694444445</v>
      </c>
      <c r="B200">
        <f>Log_Reseau_Master[[#This Row],[Duree_Panne_Min]]/1440</f>
        <v>6.1805555555555558E-2</v>
      </c>
      <c r="C200" t="s">
        <v>1402</v>
      </c>
      <c r="D200">
        <v>89</v>
      </c>
      <c r="E200" t="s">
        <v>1321</v>
      </c>
      <c r="F200" t="str">
        <f>_xlfn.XLOOKUP(Log_Reseau_Master[[#This Row],[Cell_ID]],_29_03_2026_Registre_Maintenance_V2[ID_Antenne],_29_03_2026_Registre_Maintenance_V2[Province_RDC],"Pas de correspondance")</f>
        <v>Pas de correspondance</v>
      </c>
      <c r="G200" t="str">
        <f>_xlfn.XLOOKUP(Log_Reseau_Master[[#This Row],[Cell_ID]],_29_03_2026_Registre_Maintenance_V2[ID_Antenne],_29_03_2026_Registre_Maintenance_V2[Technologie],"Pas de correspondance")</f>
        <v>Pas de correspondance</v>
      </c>
      <c r="H200" t="str">
        <f>_xlfn.XLOOKUP(Log_Reseau_Master[[#This Row],[Cell_ID]],_29_03_2026_Registre_Maintenance_V2[ID_Antenne],_29_03_2026_Registre_Maintenance_V2[Equipementier],"Pas de correspondance")</f>
        <v>Pas de correspondance</v>
      </c>
    </row>
    <row r="201" spans="1:8" hidden="1" x14ac:dyDescent="0.25">
      <c r="A201" s="1">
        <v>45203.277777777781</v>
      </c>
      <c r="B201">
        <f>Log_Reseau_Master[[#This Row],[Duree_Panne_Min]]/1440</f>
        <v>5.486111111111111E-2</v>
      </c>
      <c r="C201" t="s">
        <v>1402</v>
      </c>
      <c r="D201">
        <v>79</v>
      </c>
      <c r="E201" t="s">
        <v>1312</v>
      </c>
      <c r="F201" t="str">
        <f>_xlfn.XLOOKUP(Log_Reseau_Master[[#This Row],[Cell_ID]],_29_03_2026_Registre_Maintenance_V2[ID_Antenne],_29_03_2026_Registre_Maintenance_V2[Province_RDC],"Pas de correspondance")</f>
        <v>Pas de correspondance</v>
      </c>
      <c r="G201" t="str">
        <f>_xlfn.XLOOKUP(Log_Reseau_Master[[#This Row],[Cell_ID]],_29_03_2026_Registre_Maintenance_V2[ID_Antenne],_29_03_2026_Registre_Maintenance_V2[Technologie],"Pas de correspondance")</f>
        <v>Pas de correspondance</v>
      </c>
      <c r="H201" t="str">
        <f>_xlfn.XLOOKUP(Log_Reseau_Master[[#This Row],[Cell_ID]],_29_03_2026_Registre_Maintenance_V2[ID_Antenne],_29_03_2026_Registre_Maintenance_V2[Equipementier],"Pas de correspondance")</f>
        <v>Pas de correspondance</v>
      </c>
    </row>
    <row r="202" spans="1:8" hidden="1" x14ac:dyDescent="0.25">
      <c r="A202" s="1">
        <v>45215.811111111114</v>
      </c>
      <c r="B202">
        <f>Log_Reseau_Master[[#This Row],[Duree_Panne_Min]]/1440</f>
        <v>3.4027777777777775E-2</v>
      </c>
      <c r="C202" t="s">
        <v>1402</v>
      </c>
      <c r="D202">
        <v>49</v>
      </c>
      <c r="E202" t="s">
        <v>1312</v>
      </c>
      <c r="F202" t="str">
        <f>_xlfn.XLOOKUP(Log_Reseau_Master[[#This Row],[Cell_ID]],_29_03_2026_Registre_Maintenance_V2[ID_Antenne],_29_03_2026_Registre_Maintenance_V2[Province_RDC],"Pas de correspondance")</f>
        <v>Pas de correspondance</v>
      </c>
      <c r="G202" t="str">
        <f>_xlfn.XLOOKUP(Log_Reseau_Master[[#This Row],[Cell_ID]],_29_03_2026_Registre_Maintenance_V2[ID_Antenne],_29_03_2026_Registre_Maintenance_V2[Technologie],"Pas de correspondance")</f>
        <v>Pas de correspondance</v>
      </c>
      <c r="H202" t="str">
        <f>_xlfn.XLOOKUP(Log_Reseau_Master[[#This Row],[Cell_ID]],_29_03_2026_Registre_Maintenance_V2[ID_Antenne],_29_03_2026_Registre_Maintenance_V2[Equipementier],"Pas de correspondance")</f>
        <v>Pas de correspondance</v>
      </c>
    </row>
    <row r="203" spans="1:8" x14ac:dyDescent="0.25">
      <c r="A203" s="1">
        <v>45210.908333333333</v>
      </c>
      <c r="B203" s="4">
        <f>Log_Reseau_Master[[#This Row],[Duree_Panne_Min]]/1440</f>
        <v>3.9583333333333331E-2</v>
      </c>
      <c r="C203" t="s">
        <v>328</v>
      </c>
      <c r="D203">
        <v>57</v>
      </c>
      <c r="E203" t="s">
        <v>1321</v>
      </c>
      <c r="F203" t="str">
        <f>_xlfn.XLOOKUP(Log_Reseau_Master[[#This Row],[Cell_ID]],_29_03_2026_Registre_Maintenance_V2[ID_Antenne],_29_03_2026_Registre_Maintenance_V2[Province_RDC],"Pas de correspondance")</f>
        <v>Nord-Ubangi</v>
      </c>
      <c r="G203" t="str">
        <f>_xlfn.XLOOKUP(Log_Reseau_Master[[#This Row],[Cell_ID]],_29_03_2026_Registre_Maintenance_V2[ID_Antenne],_29_03_2026_Registre_Maintenance_V2[Technologie],"Pas de correspondance")</f>
        <v>3G</v>
      </c>
      <c r="H203" t="str">
        <f>_xlfn.XLOOKUP(Log_Reseau_Master[[#This Row],[Cell_ID]],_29_03_2026_Registre_Maintenance_V2[ID_Antenne],_29_03_2026_Registre_Maintenance_V2[Equipementier],"Pas de correspondance")</f>
        <v>ZTE</v>
      </c>
    </row>
    <row r="204" spans="1:8" x14ac:dyDescent="0.25">
      <c r="A204" s="1">
        <v>45210.686111111114</v>
      </c>
      <c r="B204" s="4">
        <f>Log_Reseau_Master[[#This Row],[Duree_Panne_Min]]/1440</f>
        <v>4.3055555555555555E-2</v>
      </c>
      <c r="C204" t="s">
        <v>328</v>
      </c>
      <c r="D204">
        <v>62</v>
      </c>
      <c r="E204" t="s">
        <v>1312</v>
      </c>
      <c r="F204" t="str">
        <f>_xlfn.XLOOKUP(Log_Reseau_Master[[#This Row],[Cell_ID]],_29_03_2026_Registre_Maintenance_V2[ID_Antenne],_29_03_2026_Registre_Maintenance_V2[Province_RDC],"Pas de correspondance")</f>
        <v>Nord-Ubangi</v>
      </c>
      <c r="G204" t="str">
        <f>_xlfn.XLOOKUP(Log_Reseau_Master[[#This Row],[Cell_ID]],_29_03_2026_Registre_Maintenance_V2[ID_Antenne],_29_03_2026_Registre_Maintenance_V2[Technologie],"Pas de correspondance")</f>
        <v>3G</v>
      </c>
      <c r="H204" t="str">
        <f>_xlfn.XLOOKUP(Log_Reseau_Master[[#This Row],[Cell_ID]],_29_03_2026_Registre_Maintenance_V2[ID_Antenne],_29_03_2026_Registre_Maintenance_V2[Equipementier],"Pas de correspondance")</f>
        <v>ZTE</v>
      </c>
    </row>
    <row r="205" spans="1:8" x14ac:dyDescent="0.25">
      <c r="A205" s="1">
        <v>45216.078472222223</v>
      </c>
      <c r="B205" s="4">
        <f>Log_Reseau_Master[[#This Row],[Duree_Panne_Min]]/1440</f>
        <v>3.3333333333333333E-2</v>
      </c>
      <c r="C205" t="s">
        <v>507</v>
      </c>
      <c r="D205">
        <v>48</v>
      </c>
      <c r="E205" t="s">
        <v>1312</v>
      </c>
      <c r="F205" t="str">
        <f>_xlfn.XLOOKUP(Log_Reseau_Master[[#This Row],[Cell_ID]],_29_03_2026_Registre_Maintenance_V2[ID_Antenne],_29_03_2026_Registre_Maintenance_V2[Province_RDC],"Pas de correspondance")</f>
        <v>Sud-Ubangi</v>
      </c>
      <c r="G205" t="str">
        <f>_xlfn.XLOOKUP(Log_Reseau_Master[[#This Row],[Cell_ID]],_29_03_2026_Registre_Maintenance_V2[ID_Antenne],_29_03_2026_Registre_Maintenance_V2[Technologie],"Pas de correspondance")</f>
        <v>3G</v>
      </c>
      <c r="H205" t="str">
        <f>_xlfn.XLOOKUP(Log_Reseau_Master[[#This Row],[Cell_ID]],_29_03_2026_Registre_Maintenance_V2[ID_Antenne],_29_03_2026_Registre_Maintenance_V2[Equipementier],"Pas de correspondance")</f>
        <v>Ericsson</v>
      </c>
    </row>
    <row r="206" spans="1:8" hidden="1" x14ac:dyDescent="0.25">
      <c r="A206" s="1">
        <v>45210.270138888889</v>
      </c>
      <c r="B206">
        <f>Log_Reseau_Master[[#This Row],[Duree_Panne_Min]]/1440</f>
        <v>7.2222222222222215E-2</v>
      </c>
      <c r="C206" t="s">
        <v>1403</v>
      </c>
      <c r="D206">
        <v>104</v>
      </c>
      <c r="E206" t="s">
        <v>1321</v>
      </c>
      <c r="F206" t="str">
        <f>_xlfn.XLOOKUP(Log_Reseau_Master[[#This Row],[Cell_ID]],_29_03_2026_Registre_Maintenance_V2[ID_Antenne],_29_03_2026_Registre_Maintenance_V2[Province_RDC],"Pas de correspondance")</f>
        <v>Pas de correspondance</v>
      </c>
      <c r="G206" t="str">
        <f>_xlfn.XLOOKUP(Log_Reseau_Master[[#This Row],[Cell_ID]],_29_03_2026_Registre_Maintenance_V2[ID_Antenne],_29_03_2026_Registre_Maintenance_V2[Technologie],"Pas de correspondance")</f>
        <v>Pas de correspondance</v>
      </c>
      <c r="H206" t="str">
        <f>_xlfn.XLOOKUP(Log_Reseau_Master[[#This Row],[Cell_ID]],_29_03_2026_Registre_Maintenance_V2[ID_Antenne],_29_03_2026_Registre_Maintenance_V2[Equipementier],"Pas de correspondance")</f>
        <v>Pas de correspondance</v>
      </c>
    </row>
    <row r="207" spans="1:8" hidden="1" x14ac:dyDescent="0.25">
      <c r="A207" s="1">
        <v>45203.991666666669</v>
      </c>
      <c r="B207">
        <f>Log_Reseau_Master[[#This Row],[Duree_Panne_Min]]/1440</f>
        <v>3.472222222222222E-3</v>
      </c>
      <c r="C207" t="s">
        <v>1404</v>
      </c>
      <c r="D207">
        <v>5</v>
      </c>
      <c r="E207" t="s">
        <v>1321</v>
      </c>
      <c r="F207" t="str">
        <f>_xlfn.XLOOKUP(Log_Reseau_Master[[#This Row],[Cell_ID]],_29_03_2026_Registre_Maintenance_V2[ID_Antenne],_29_03_2026_Registre_Maintenance_V2[Province_RDC],"Pas de correspondance")</f>
        <v>Pas de correspondance</v>
      </c>
      <c r="G207" t="str">
        <f>_xlfn.XLOOKUP(Log_Reseau_Master[[#This Row],[Cell_ID]],_29_03_2026_Registre_Maintenance_V2[ID_Antenne],_29_03_2026_Registre_Maintenance_V2[Technologie],"Pas de correspondance")</f>
        <v>Pas de correspondance</v>
      </c>
      <c r="H207" t="str">
        <f>_xlfn.XLOOKUP(Log_Reseau_Master[[#This Row],[Cell_ID]],_29_03_2026_Registre_Maintenance_V2[ID_Antenne],_29_03_2026_Registre_Maintenance_V2[Equipementier],"Pas de correspondance")</f>
        <v>Pas de correspondance</v>
      </c>
    </row>
    <row r="208" spans="1:8" hidden="1" x14ac:dyDescent="0.25">
      <c r="A208" s="1">
        <v>45230.731944444444</v>
      </c>
      <c r="B208">
        <f>Log_Reseau_Master[[#This Row],[Duree_Panne_Min]]/1440</f>
        <v>3.6111111111111108E-2</v>
      </c>
      <c r="C208" t="s">
        <v>1405</v>
      </c>
      <c r="D208">
        <v>52</v>
      </c>
      <c r="E208" t="s">
        <v>1314</v>
      </c>
      <c r="F208" t="str">
        <f>_xlfn.XLOOKUP(Log_Reseau_Master[[#This Row],[Cell_ID]],_29_03_2026_Registre_Maintenance_V2[ID_Antenne],_29_03_2026_Registre_Maintenance_V2[Province_RDC],"Pas de correspondance")</f>
        <v>Pas de correspondance</v>
      </c>
      <c r="G208" t="str">
        <f>_xlfn.XLOOKUP(Log_Reseau_Master[[#This Row],[Cell_ID]],_29_03_2026_Registre_Maintenance_V2[ID_Antenne],_29_03_2026_Registre_Maintenance_V2[Technologie],"Pas de correspondance")</f>
        <v>Pas de correspondance</v>
      </c>
      <c r="H208" t="str">
        <f>_xlfn.XLOOKUP(Log_Reseau_Master[[#This Row],[Cell_ID]],_29_03_2026_Registre_Maintenance_V2[ID_Antenne],_29_03_2026_Registre_Maintenance_V2[Equipementier],"Pas de correspondance")</f>
        <v>Pas de correspondance</v>
      </c>
    </row>
    <row r="209" spans="1:8" hidden="1" x14ac:dyDescent="0.25">
      <c r="A209" s="1">
        <v>45201.623611111114</v>
      </c>
      <c r="B209">
        <f>Log_Reseau_Master[[#This Row],[Duree_Panne_Min]]/1440</f>
        <v>6.2500000000000003E-3</v>
      </c>
      <c r="C209" t="s">
        <v>1405</v>
      </c>
      <c r="D209">
        <v>9</v>
      </c>
      <c r="E209" t="s">
        <v>1314</v>
      </c>
      <c r="F209" t="str">
        <f>_xlfn.XLOOKUP(Log_Reseau_Master[[#This Row],[Cell_ID]],_29_03_2026_Registre_Maintenance_V2[ID_Antenne],_29_03_2026_Registre_Maintenance_V2[Province_RDC],"Pas de correspondance")</f>
        <v>Pas de correspondance</v>
      </c>
      <c r="G209" t="str">
        <f>_xlfn.XLOOKUP(Log_Reseau_Master[[#This Row],[Cell_ID]],_29_03_2026_Registre_Maintenance_V2[ID_Antenne],_29_03_2026_Registre_Maintenance_V2[Technologie],"Pas de correspondance")</f>
        <v>Pas de correspondance</v>
      </c>
      <c r="H209" t="str">
        <f>_xlfn.XLOOKUP(Log_Reseau_Master[[#This Row],[Cell_ID]],_29_03_2026_Registre_Maintenance_V2[ID_Antenne],_29_03_2026_Registre_Maintenance_V2[Equipementier],"Pas de correspondance")</f>
        <v>Pas de correspondance</v>
      </c>
    </row>
    <row r="210" spans="1:8" hidden="1" x14ac:dyDescent="0.25">
      <c r="A210" s="1">
        <v>45224.984027777777</v>
      </c>
      <c r="B210">
        <f>Log_Reseau_Master[[#This Row],[Duree_Panne_Min]]/1440</f>
        <v>3.4027777777777775E-2</v>
      </c>
      <c r="C210" t="s">
        <v>1406</v>
      </c>
      <c r="D210">
        <v>49</v>
      </c>
      <c r="E210" t="s">
        <v>1314</v>
      </c>
      <c r="F210" t="str">
        <f>_xlfn.XLOOKUP(Log_Reseau_Master[[#This Row],[Cell_ID]],_29_03_2026_Registre_Maintenance_V2[ID_Antenne],_29_03_2026_Registre_Maintenance_V2[Province_RDC],"Pas de correspondance")</f>
        <v>Pas de correspondance</v>
      </c>
      <c r="G210" t="str">
        <f>_xlfn.XLOOKUP(Log_Reseau_Master[[#This Row],[Cell_ID]],_29_03_2026_Registre_Maintenance_V2[ID_Antenne],_29_03_2026_Registre_Maintenance_V2[Technologie],"Pas de correspondance")</f>
        <v>Pas de correspondance</v>
      </c>
      <c r="H210" t="str">
        <f>_xlfn.XLOOKUP(Log_Reseau_Master[[#This Row],[Cell_ID]],_29_03_2026_Registre_Maintenance_V2[ID_Antenne],_29_03_2026_Registre_Maintenance_V2[Equipementier],"Pas de correspondance")</f>
        <v>Pas de correspondance</v>
      </c>
    </row>
    <row r="211" spans="1:8" hidden="1" x14ac:dyDescent="0.25">
      <c r="A211" s="1">
        <v>45229.503472222219</v>
      </c>
      <c r="B211">
        <f>Log_Reseau_Master[[#This Row],[Duree_Panne_Min]]/1440</f>
        <v>7.3611111111111113E-2</v>
      </c>
      <c r="C211" t="s">
        <v>1407</v>
      </c>
      <c r="D211">
        <v>106</v>
      </c>
      <c r="E211" t="s">
        <v>1312</v>
      </c>
      <c r="F211" t="str">
        <f>_xlfn.XLOOKUP(Log_Reseau_Master[[#This Row],[Cell_ID]],_29_03_2026_Registre_Maintenance_V2[ID_Antenne],_29_03_2026_Registre_Maintenance_V2[Province_RDC],"Pas de correspondance")</f>
        <v>Pas de correspondance</v>
      </c>
      <c r="G211" t="str">
        <f>_xlfn.XLOOKUP(Log_Reseau_Master[[#This Row],[Cell_ID]],_29_03_2026_Registre_Maintenance_V2[ID_Antenne],_29_03_2026_Registre_Maintenance_V2[Technologie],"Pas de correspondance")</f>
        <v>Pas de correspondance</v>
      </c>
      <c r="H211" t="str">
        <f>_xlfn.XLOOKUP(Log_Reseau_Master[[#This Row],[Cell_ID]],_29_03_2026_Registre_Maintenance_V2[ID_Antenne],_29_03_2026_Registre_Maintenance_V2[Equipementier],"Pas de correspondance")</f>
        <v>Pas de correspondance</v>
      </c>
    </row>
    <row r="212" spans="1:8" x14ac:dyDescent="0.25">
      <c r="A212" s="1">
        <v>45215.990277777775</v>
      </c>
      <c r="B212" s="4">
        <f>Log_Reseau_Master[[#This Row],[Duree_Panne_Min]]/1440</f>
        <v>4.583333333333333E-2</v>
      </c>
      <c r="C212" t="s">
        <v>509</v>
      </c>
      <c r="D212">
        <v>66</v>
      </c>
      <c r="E212" t="s">
        <v>1321</v>
      </c>
      <c r="F212" t="str">
        <f>_xlfn.XLOOKUP(Log_Reseau_Master[[#This Row],[Cell_ID]],_29_03_2026_Registre_Maintenance_V2[ID_Antenne],_29_03_2026_Registre_Maintenance_V2[Province_RDC],"Pas de correspondance")</f>
        <v>Sankuru</v>
      </c>
      <c r="G212" t="str">
        <f>_xlfn.XLOOKUP(Log_Reseau_Master[[#This Row],[Cell_ID]],_29_03_2026_Registre_Maintenance_V2[ID_Antenne],_29_03_2026_Registre_Maintenance_V2[Technologie],"Pas de correspondance")</f>
        <v>4G</v>
      </c>
      <c r="H212" t="str">
        <f>_xlfn.XLOOKUP(Log_Reseau_Master[[#This Row],[Cell_ID]],_29_03_2026_Registre_Maintenance_V2[ID_Antenne],_29_03_2026_Registre_Maintenance_V2[Equipementier],"Pas de correspondance")</f>
        <v>ZTE</v>
      </c>
    </row>
    <row r="213" spans="1:8" x14ac:dyDescent="0.25">
      <c r="A213" s="1">
        <v>45211.724999999999</v>
      </c>
      <c r="B213" s="4">
        <f>Log_Reseau_Master[[#This Row],[Duree_Panne_Min]]/1440</f>
        <v>5.8333333333333334E-2</v>
      </c>
      <c r="C213" t="s">
        <v>509</v>
      </c>
      <c r="D213">
        <v>84</v>
      </c>
      <c r="E213" t="s">
        <v>1321</v>
      </c>
      <c r="F213" t="str">
        <f>_xlfn.XLOOKUP(Log_Reseau_Master[[#This Row],[Cell_ID]],_29_03_2026_Registre_Maintenance_V2[ID_Antenne],_29_03_2026_Registre_Maintenance_V2[Province_RDC],"Pas de correspondance")</f>
        <v>Sankuru</v>
      </c>
      <c r="G213" t="str">
        <f>_xlfn.XLOOKUP(Log_Reseau_Master[[#This Row],[Cell_ID]],_29_03_2026_Registre_Maintenance_V2[ID_Antenne],_29_03_2026_Registre_Maintenance_V2[Technologie],"Pas de correspondance")</f>
        <v>4G</v>
      </c>
      <c r="H213" t="str">
        <f>_xlfn.XLOOKUP(Log_Reseau_Master[[#This Row],[Cell_ID]],_29_03_2026_Registre_Maintenance_V2[ID_Antenne],_29_03_2026_Registre_Maintenance_V2[Equipementier],"Pas de correspondance")</f>
        <v>ZTE</v>
      </c>
    </row>
    <row r="214" spans="1:8" x14ac:dyDescent="0.25">
      <c r="A214" s="1">
        <v>45209.365277777775</v>
      </c>
      <c r="B214" s="4">
        <f>Log_Reseau_Master[[#This Row],[Duree_Panne_Min]]/1440</f>
        <v>8.3333333333333329E-2</v>
      </c>
      <c r="C214" t="s">
        <v>509</v>
      </c>
      <c r="D214">
        <v>120</v>
      </c>
      <c r="E214" t="s">
        <v>1314</v>
      </c>
      <c r="F214" t="str">
        <f>_xlfn.XLOOKUP(Log_Reseau_Master[[#This Row],[Cell_ID]],_29_03_2026_Registre_Maintenance_V2[ID_Antenne],_29_03_2026_Registre_Maintenance_V2[Province_RDC],"Pas de correspondance")</f>
        <v>Sankuru</v>
      </c>
      <c r="G214" t="str">
        <f>_xlfn.XLOOKUP(Log_Reseau_Master[[#This Row],[Cell_ID]],_29_03_2026_Registre_Maintenance_V2[ID_Antenne],_29_03_2026_Registre_Maintenance_V2[Technologie],"Pas de correspondance")</f>
        <v>4G</v>
      </c>
      <c r="H214" t="str">
        <f>_xlfn.XLOOKUP(Log_Reseau_Master[[#This Row],[Cell_ID]],_29_03_2026_Registre_Maintenance_V2[ID_Antenne],_29_03_2026_Registre_Maintenance_V2[Equipementier],"Pas de correspondance")</f>
        <v>ZTE</v>
      </c>
    </row>
    <row r="215" spans="1:8" x14ac:dyDescent="0.25">
      <c r="A215" s="1">
        <v>45205.929861111108</v>
      </c>
      <c r="B215" s="4">
        <f>Log_Reseau_Master[[#This Row],[Duree_Panne_Min]]/1440</f>
        <v>5.6944444444444443E-2</v>
      </c>
      <c r="C215" t="s">
        <v>437</v>
      </c>
      <c r="D215">
        <v>82</v>
      </c>
      <c r="E215" t="s">
        <v>1321</v>
      </c>
      <c r="F215" t="str">
        <f>_xlfn.XLOOKUP(Log_Reseau_Master[[#This Row],[Cell_ID]],_29_03_2026_Registre_Maintenance_V2[ID_Antenne],_29_03_2026_Registre_Maintenance_V2[Province_RDC],"Pas de correspondance")</f>
        <v>Lualaba</v>
      </c>
      <c r="G215" t="str">
        <f>_xlfn.XLOOKUP(Log_Reseau_Master[[#This Row],[Cell_ID]],_29_03_2026_Registre_Maintenance_V2[ID_Antenne],_29_03_2026_Registre_Maintenance_V2[Technologie],"Pas de correspondance")</f>
        <v>5G</v>
      </c>
      <c r="H215" t="str">
        <f>_xlfn.XLOOKUP(Log_Reseau_Master[[#This Row],[Cell_ID]],_29_03_2026_Registre_Maintenance_V2[ID_Antenne],_29_03_2026_Registre_Maintenance_V2[Equipementier],"Pas de correspondance")</f>
        <v>Nokia</v>
      </c>
    </row>
    <row r="216" spans="1:8" x14ac:dyDescent="0.25">
      <c r="A216" s="1">
        <v>45207.368055555555</v>
      </c>
      <c r="B216" s="4">
        <f>Log_Reseau_Master[[#This Row],[Duree_Panne_Min]]/1440</f>
        <v>3.1944444444444442E-2</v>
      </c>
      <c r="C216" t="s">
        <v>358</v>
      </c>
      <c r="D216">
        <v>46</v>
      </c>
      <c r="E216" t="s">
        <v>1314</v>
      </c>
      <c r="F216" t="str">
        <f>_xlfn.XLOOKUP(Log_Reseau_Master[[#This Row],[Cell_ID]],_29_03_2026_Registre_Maintenance_V2[ID_Antenne],_29_03_2026_Registre_Maintenance_V2[Province_RDC],"Pas de correspondance")</f>
        <v>Tanganyika</v>
      </c>
      <c r="G216" t="str">
        <f>_xlfn.XLOOKUP(Log_Reseau_Master[[#This Row],[Cell_ID]],_29_03_2026_Registre_Maintenance_V2[ID_Antenne],_29_03_2026_Registre_Maintenance_V2[Technologie],"Pas de correspondance")</f>
        <v>5G</v>
      </c>
      <c r="H216" t="str">
        <f>_xlfn.XLOOKUP(Log_Reseau_Master[[#This Row],[Cell_ID]],_29_03_2026_Registre_Maintenance_V2[ID_Antenne],_29_03_2026_Registre_Maintenance_V2[Equipementier],"Pas de correspondance")</f>
        <v>Huawei</v>
      </c>
    </row>
    <row r="217" spans="1:8" x14ac:dyDescent="0.25">
      <c r="A217" s="1">
        <v>45206.636805555558</v>
      </c>
      <c r="B217" s="4">
        <f>Log_Reseau_Master[[#This Row],[Duree_Panne_Min]]/1440</f>
        <v>2.2222222222222223E-2</v>
      </c>
      <c r="C217" t="s">
        <v>338</v>
      </c>
      <c r="D217">
        <v>32</v>
      </c>
      <c r="E217" t="s">
        <v>1321</v>
      </c>
      <c r="F217" t="str">
        <f>_xlfn.XLOOKUP(Log_Reseau_Master[[#This Row],[Cell_ID]],_29_03_2026_Registre_Maintenance_V2[ID_Antenne],_29_03_2026_Registre_Maintenance_V2[Province_RDC],"Pas de correspondance")</f>
        <v>Sud-Kivu</v>
      </c>
      <c r="G217" t="str">
        <f>_xlfn.XLOOKUP(Log_Reseau_Master[[#This Row],[Cell_ID]],_29_03_2026_Registre_Maintenance_V2[ID_Antenne],_29_03_2026_Registre_Maintenance_V2[Technologie],"Pas de correspondance")</f>
        <v>3G</v>
      </c>
      <c r="H217" t="str">
        <f>_xlfn.XLOOKUP(Log_Reseau_Master[[#This Row],[Cell_ID]],_29_03_2026_Registre_Maintenance_V2[ID_Antenne],_29_03_2026_Registre_Maintenance_V2[Equipementier],"Pas de correspondance")</f>
        <v>Nokia</v>
      </c>
    </row>
    <row r="218" spans="1:8" x14ac:dyDescent="0.25">
      <c r="A218" s="1">
        <v>45218.589583333334</v>
      </c>
      <c r="B218" s="4">
        <f>Log_Reseau_Master[[#This Row],[Duree_Panne_Min]]/1440</f>
        <v>1.4583333333333334E-2</v>
      </c>
      <c r="C218" t="s">
        <v>338</v>
      </c>
      <c r="D218">
        <v>21</v>
      </c>
      <c r="E218" t="s">
        <v>1314</v>
      </c>
      <c r="F218" t="str">
        <f>_xlfn.XLOOKUP(Log_Reseau_Master[[#This Row],[Cell_ID]],_29_03_2026_Registre_Maintenance_V2[ID_Antenne],_29_03_2026_Registre_Maintenance_V2[Province_RDC],"Pas de correspondance")</f>
        <v>Sud-Kivu</v>
      </c>
      <c r="G218" t="str">
        <f>_xlfn.XLOOKUP(Log_Reseau_Master[[#This Row],[Cell_ID]],_29_03_2026_Registre_Maintenance_V2[ID_Antenne],_29_03_2026_Registre_Maintenance_V2[Technologie],"Pas de correspondance")</f>
        <v>3G</v>
      </c>
      <c r="H218" t="str">
        <f>_xlfn.XLOOKUP(Log_Reseau_Master[[#This Row],[Cell_ID]],_29_03_2026_Registre_Maintenance_V2[ID_Antenne],_29_03_2026_Registre_Maintenance_V2[Equipementier],"Pas de correspondance")</f>
        <v>Nokia</v>
      </c>
    </row>
    <row r="219" spans="1:8" x14ac:dyDescent="0.25">
      <c r="A219" s="1">
        <v>45200.913888888892</v>
      </c>
      <c r="B219" s="4">
        <f>Log_Reseau_Master[[#This Row],[Duree_Panne_Min]]/1440</f>
        <v>6.0416666666666667E-2</v>
      </c>
      <c r="C219" t="s">
        <v>132</v>
      </c>
      <c r="D219">
        <v>87</v>
      </c>
      <c r="E219" t="s">
        <v>1314</v>
      </c>
      <c r="F219" t="str">
        <f>_xlfn.XLOOKUP(Log_Reseau_Master[[#This Row],[Cell_ID]],_29_03_2026_Registre_Maintenance_V2[ID_Antenne],_29_03_2026_Registre_Maintenance_V2[Province_RDC],"Pas de correspondance")</f>
        <v>Sankuru</v>
      </c>
      <c r="G219" t="str">
        <f>_xlfn.XLOOKUP(Log_Reseau_Master[[#This Row],[Cell_ID]],_29_03_2026_Registre_Maintenance_V2[ID_Antenne],_29_03_2026_Registre_Maintenance_V2[Technologie],"Pas de correspondance")</f>
        <v>5G</v>
      </c>
      <c r="H219" t="str">
        <f>_xlfn.XLOOKUP(Log_Reseau_Master[[#This Row],[Cell_ID]],_29_03_2026_Registre_Maintenance_V2[ID_Antenne],_29_03_2026_Registre_Maintenance_V2[Equipementier],"Pas de correspondance")</f>
        <v>Ericsson</v>
      </c>
    </row>
    <row r="220" spans="1:8" hidden="1" x14ac:dyDescent="0.25">
      <c r="A220" s="1">
        <v>45213.607638888891</v>
      </c>
      <c r="B220">
        <f>Log_Reseau_Master[[#This Row],[Duree_Panne_Min]]/1440</f>
        <v>1.5277777777777777E-2</v>
      </c>
      <c r="C220" t="s">
        <v>1408</v>
      </c>
      <c r="D220">
        <v>22</v>
      </c>
      <c r="E220" t="s">
        <v>1314</v>
      </c>
      <c r="F220" t="str">
        <f>_xlfn.XLOOKUP(Log_Reseau_Master[[#This Row],[Cell_ID]],_29_03_2026_Registre_Maintenance_V2[ID_Antenne],_29_03_2026_Registre_Maintenance_V2[Province_RDC],"Pas de correspondance")</f>
        <v>Pas de correspondance</v>
      </c>
      <c r="G220" t="str">
        <f>_xlfn.XLOOKUP(Log_Reseau_Master[[#This Row],[Cell_ID]],_29_03_2026_Registre_Maintenance_V2[ID_Antenne],_29_03_2026_Registre_Maintenance_V2[Technologie],"Pas de correspondance")</f>
        <v>Pas de correspondance</v>
      </c>
      <c r="H220" t="str">
        <f>_xlfn.XLOOKUP(Log_Reseau_Master[[#This Row],[Cell_ID]],_29_03_2026_Registre_Maintenance_V2[ID_Antenne],_29_03_2026_Registre_Maintenance_V2[Equipementier],"Pas de correspondance")</f>
        <v>Pas de correspondance</v>
      </c>
    </row>
    <row r="221" spans="1:8" hidden="1" x14ac:dyDescent="0.25">
      <c r="A221" s="1">
        <v>45206.768055555556</v>
      </c>
      <c r="B221">
        <f>Log_Reseau_Master[[#This Row],[Duree_Panne_Min]]/1440</f>
        <v>2.4305555555555556E-2</v>
      </c>
      <c r="C221" t="s">
        <v>1409</v>
      </c>
      <c r="D221">
        <v>35</v>
      </c>
      <c r="E221" t="s">
        <v>1321</v>
      </c>
      <c r="F221" t="str">
        <f>_xlfn.XLOOKUP(Log_Reseau_Master[[#This Row],[Cell_ID]],_29_03_2026_Registre_Maintenance_V2[ID_Antenne],_29_03_2026_Registre_Maintenance_V2[Province_RDC],"Pas de correspondance")</f>
        <v>Pas de correspondance</v>
      </c>
      <c r="G221" t="str">
        <f>_xlfn.XLOOKUP(Log_Reseau_Master[[#This Row],[Cell_ID]],_29_03_2026_Registre_Maintenance_V2[ID_Antenne],_29_03_2026_Registre_Maintenance_V2[Technologie],"Pas de correspondance")</f>
        <v>Pas de correspondance</v>
      </c>
      <c r="H221" t="str">
        <f>_xlfn.XLOOKUP(Log_Reseau_Master[[#This Row],[Cell_ID]],_29_03_2026_Registre_Maintenance_V2[ID_Antenne],_29_03_2026_Registre_Maintenance_V2[Equipementier],"Pas de correspondance")</f>
        <v>Pas de correspondance</v>
      </c>
    </row>
    <row r="222" spans="1:8" x14ac:dyDescent="0.25">
      <c r="A222" s="1">
        <v>45203.71597222222</v>
      </c>
      <c r="B222" s="4">
        <f>Log_Reseau_Master[[#This Row],[Duree_Panne_Min]]/1440</f>
        <v>4.7222222222222221E-2</v>
      </c>
      <c r="C222" t="s">
        <v>504</v>
      </c>
      <c r="D222">
        <v>68</v>
      </c>
      <c r="E222" t="s">
        <v>1312</v>
      </c>
      <c r="F222" t="str">
        <f>_xlfn.XLOOKUP(Log_Reseau_Master[[#This Row],[Cell_ID]],_29_03_2026_Registre_Maintenance_V2[ID_Antenne],_29_03_2026_Registre_Maintenance_V2[Province_RDC],"Pas de correspondance")</f>
        <v>Nord-Kivu</v>
      </c>
      <c r="G222" t="str">
        <f>_xlfn.XLOOKUP(Log_Reseau_Master[[#This Row],[Cell_ID]],_29_03_2026_Registre_Maintenance_V2[ID_Antenne],_29_03_2026_Registre_Maintenance_V2[Technologie],"Pas de correspondance")</f>
        <v>5G</v>
      </c>
      <c r="H222" t="str">
        <f>_xlfn.XLOOKUP(Log_Reseau_Master[[#This Row],[Cell_ID]],_29_03_2026_Registre_Maintenance_V2[ID_Antenne],_29_03_2026_Registre_Maintenance_V2[Equipementier],"Pas de correspondance")</f>
        <v>Huawei</v>
      </c>
    </row>
    <row r="223" spans="1:8" x14ac:dyDescent="0.25">
      <c r="A223" s="1">
        <v>45222.479166666664</v>
      </c>
      <c r="B223" s="4">
        <f>Log_Reseau_Master[[#This Row],[Duree_Panne_Min]]/1440</f>
        <v>7.7777777777777779E-2</v>
      </c>
      <c r="C223" t="s">
        <v>122</v>
      </c>
      <c r="D223">
        <v>112</v>
      </c>
      <c r="E223" t="s">
        <v>1312</v>
      </c>
      <c r="F223" t="str">
        <f>_xlfn.XLOOKUP(Log_Reseau_Master[[#This Row],[Cell_ID]],_29_03_2026_Registre_Maintenance_V2[ID_Antenne],_29_03_2026_Registre_Maintenance_V2[Province_RDC],"Pas de correspondance")</f>
        <v>Haut-Uele</v>
      </c>
      <c r="G223" t="str">
        <f>_xlfn.XLOOKUP(Log_Reseau_Master[[#This Row],[Cell_ID]],_29_03_2026_Registre_Maintenance_V2[ID_Antenne],_29_03_2026_Registre_Maintenance_V2[Technologie],"Pas de correspondance")</f>
        <v>5G</v>
      </c>
      <c r="H223" t="str">
        <f>_xlfn.XLOOKUP(Log_Reseau_Master[[#This Row],[Cell_ID]],_29_03_2026_Registre_Maintenance_V2[ID_Antenne],_29_03_2026_Registre_Maintenance_V2[Equipementier],"Pas de correspondance")</f>
        <v>Nokia</v>
      </c>
    </row>
    <row r="224" spans="1:8" x14ac:dyDescent="0.25">
      <c r="A224" s="1">
        <v>45211.587500000001</v>
      </c>
      <c r="B224" s="4">
        <f>Log_Reseau_Master[[#This Row],[Duree_Panne_Min]]/1440</f>
        <v>1.8749999999999999E-2</v>
      </c>
      <c r="C224" t="s">
        <v>484</v>
      </c>
      <c r="D224">
        <v>27</v>
      </c>
      <c r="E224" t="s">
        <v>1321</v>
      </c>
      <c r="F224" t="str">
        <f>_xlfn.XLOOKUP(Log_Reseau_Master[[#This Row],[Cell_ID]],_29_03_2026_Registre_Maintenance_V2[ID_Antenne],_29_03_2026_Registre_Maintenance_V2[Province_RDC],"Pas de correspondance")</f>
        <v>Equateur</v>
      </c>
      <c r="G224" t="str">
        <f>_xlfn.XLOOKUP(Log_Reseau_Master[[#This Row],[Cell_ID]],_29_03_2026_Registre_Maintenance_V2[ID_Antenne],_29_03_2026_Registre_Maintenance_V2[Technologie],"Pas de correspondance")</f>
        <v>3G</v>
      </c>
      <c r="H224" t="str">
        <f>_xlfn.XLOOKUP(Log_Reseau_Master[[#This Row],[Cell_ID]],_29_03_2026_Registre_Maintenance_V2[ID_Antenne],_29_03_2026_Registre_Maintenance_V2[Equipementier],"Pas de correspondance")</f>
        <v>Ericsson</v>
      </c>
    </row>
    <row r="225" spans="1:8" hidden="1" x14ac:dyDescent="0.25">
      <c r="A225" s="1">
        <v>45224.671527777777</v>
      </c>
      <c r="B225">
        <f>Log_Reseau_Master[[#This Row],[Duree_Panne_Min]]/1440</f>
        <v>9.7222222222222224E-3</v>
      </c>
      <c r="C225" t="s">
        <v>1410</v>
      </c>
      <c r="D225">
        <v>14</v>
      </c>
      <c r="E225" t="s">
        <v>1321</v>
      </c>
      <c r="F225" t="str">
        <f>_xlfn.XLOOKUP(Log_Reseau_Master[[#This Row],[Cell_ID]],_29_03_2026_Registre_Maintenance_V2[ID_Antenne],_29_03_2026_Registre_Maintenance_V2[Province_RDC],"Pas de correspondance")</f>
        <v>Pas de correspondance</v>
      </c>
      <c r="G225" t="str">
        <f>_xlfn.XLOOKUP(Log_Reseau_Master[[#This Row],[Cell_ID]],_29_03_2026_Registre_Maintenance_V2[ID_Antenne],_29_03_2026_Registre_Maintenance_V2[Technologie],"Pas de correspondance")</f>
        <v>Pas de correspondance</v>
      </c>
      <c r="H225" t="str">
        <f>_xlfn.XLOOKUP(Log_Reseau_Master[[#This Row],[Cell_ID]],_29_03_2026_Registre_Maintenance_V2[ID_Antenne],_29_03_2026_Registre_Maintenance_V2[Equipementier],"Pas de correspondance")</f>
        <v>Pas de correspondance</v>
      </c>
    </row>
    <row r="226" spans="1:8" hidden="1" x14ac:dyDescent="0.25">
      <c r="A226" s="1">
        <v>45229.4</v>
      </c>
      <c r="B226">
        <f>Log_Reseau_Master[[#This Row],[Duree_Panne_Min]]/1440</f>
        <v>5.347222222222222E-2</v>
      </c>
      <c r="C226" t="s">
        <v>1410</v>
      </c>
      <c r="D226">
        <v>77</v>
      </c>
      <c r="E226" t="s">
        <v>1314</v>
      </c>
      <c r="F226" t="str">
        <f>_xlfn.XLOOKUP(Log_Reseau_Master[[#This Row],[Cell_ID]],_29_03_2026_Registre_Maintenance_V2[ID_Antenne],_29_03_2026_Registre_Maintenance_V2[Province_RDC],"Pas de correspondance")</f>
        <v>Pas de correspondance</v>
      </c>
      <c r="G226" t="str">
        <f>_xlfn.XLOOKUP(Log_Reseau_Master[[#This Row],[Cell_ID]],_29_03_2026_Registre_Maintenance_V2[ID_Antenne],_29_03_2026_Registre_Maintenance_V2[Technologie],"Pas de correspondance")</f>
        <v>Pas de correspondance</v>
      </c>
      <c r="H226" t="str">
        <f>_xlfn.XLOOKUP(Log_Reseau_Master[[#This Row],[Cell_ID]],_29_03_2026_Registre_Maintenance_V2[ID_Antenne],_29_03_2026_Registre_Maintenance_V2[Equipementier],"Pas de correspondance")</f>
        <v>Pas de correspondance</v>
      </c>
    </row>
    <row r="227" spans="1:8" x14ac:dyDescent="0.25">
      <c r="A227" s="1">
        <v>45230.913194444445</v>
      </c>
      <c r="B227" s="4">
        <f>Log_Reseau_Master[[#This Row],[Duree_Panne_Min]]/1440</f>
        <v>4.3055555555555555E-2</v>
      </c>
      <c r="C227" t="s">
        <v>78</v>
      </c>
      <c r="D227">
        <v>62</v>
      </c>
      <c r="E227" t="s">
        <v>1314</v>
      </c>
      <c r="F227" t="str">
        <f>_xlfn.XLOOKUP(Log_Reseau_Master[[#This Row],[Cell_ID]],_29_03_2026_Registre_Maintenance_V2[ID_Antenne],_29_03_2026_Registre_Maintenance_V2[Province_RDC],"Pas de correspondance")</f>
        <v>Tshuapa</v>
      </c>
      <c r="G227" t="str">
        <f>_xlfn.XLOOKUP(Log_Reseau_Master[[#This Row],[Cell_ID]],_29_03_2026_Registre_Maintenance_V2[ID_Antenne],_29_03_2026_Registre_Maintenance_V2[Technologie],"Pas de correspondance")</f>
        <v>4G</v>
      </c>
      <c r="H227" t="str">
        <f>_xlfn.XLOOKUP(Log_Reseau_Master[[#This Row],[Cell_ID]],_29_03_2026_Registre_Maintenance_V2[ID_Antenne],_29_03_2026_Registre_Maintenance_V2[Equipementier],"Pas de correspondance")</f>
        <v>Huawei</v>
      </c>
    </row>
    <row r="228" spans="1:8" x14ac:dyDescent="0.25">
      <c r="A228" s="1">
        <v>45203.59652777778</v>
      </c>
      <c r="B228" s="4">
        <f>Log_Reseau_Master[[#This Row],[Duree_Panne_Min]]/1440</f>
        <v>9.0277777777777769E-3</v>
      </c>
      <c r="C228" t="s">
        <v>78</v>
      </c>
      <c r="D228">
        <v>13</v>
      </c>
      <c r="E228" t="s">
        <v>1312</v>
      </c>
      <c r="F228" t="str">
        <f>_xlfn.XLOOKUP(Log_Reseau_Master[[#This Row],[Cell_ID]],_29_03_2026_Registre_Maintenance_V2[ID_Antenne],_29_03_2026_Registre_Maintenance_V2[Province_RDC],"Pas de correspondance")</f>
        <v>Tshuapa</v>
      </c>
      <c r="G228" t="str">
        <f>_xlfn.XLOOKUP(Log_Reseau_Master[[#This Row],[Cell_ID]],_29_03_2026_Registre_Maintenance_V2[ID_Antenne],_29_03_2026_Registre_Maintenance_V2[Technologie],"Pas de correspondance")</f>
        <v>4G</v>
      </c>
      <c r="H228" t="str">
        <f>_xlfn.XLOOKUP(Log_Reseau_Master[[#This Row],[Cell_ID]],_29_03_2026_Registre_Maintenance_V2[ID_Antenne],_29_03_2026_Registre_Maintenance_V2[Equipementier],"Pas de correspondance")</f>
        <v>Huawei</v>
      </c>
    </row>
    <row r="229" spans="1:8" hidden="1" x14ac:dyDescent="0.25">
      <c r="A229" s="1">
        <v>45212.617361111108</v>
      </c>
      <c r="B229">
        <f>Log_Reseau_Master[[#This Row],[Duree_Panne_Min]]/1440</f>
        <v>1.9444444444444445E-2</v>
      </c>
      <c r="C229" t="s">
        <v>1411</v>
      </c>
      <c r="D229">
        <v>28</v>
      </c>
      <c r="E229" t="s">
        <v>1314</v>
      </c>
      <c r="F229" t="str">
        <f>_xlfn.XLOOKUP(Log_Reseau_Master[[#This Row],[Cell_ID]],_29_03_2026_Registre_Maintenance_V2[ID_Antenne],_29_03_2026_Registre_Maintenance_V2[Province_RDC],"Pas de correspondance")</f>
        <v>Pas de correspondance</v>
      </c>
      <c r="G229" t="str">
        <f>_xlfn.XLOOKUP(Log_Reseau_Master[[#This Row],[Cell_ID]],_29_03_2026_Registre_Maintenance_V2[ID_Antenne],_29_03_2026_Registre_Maintenance_V2[Technologie],"Pas de correspondance")</f>
        <v>Pas de correspondance</v>
      </c>
      <c r="H229" t="str">
        <f>_xlfn.XLOOKUP(Log_Reseau_Master[[#This Row],[Cell_ID]],_29_03_2026_Registre_Maintenance_V2[ID_Antenne],_29_03_2026_Registre_Maintenance_V2[Equipementier],"Pas de correspondance")</f>
        <v>Pas de correspondance</v>
      </c>
    </row>
    <row r="230" spans="1:8" x14ac:dyDescent="0.25">
      <c r="A230" s="1">
        <v>45228.672222222223</v>
      </c>
      <c r="B230" s="4">
        <f>Log_Reseau_Master[[#This Row],[Duree_Panne_Min]]/1440</f>
        <v>7.3611111111111113E-2</v>
      </c>
      <c r="C230" t="s">
        <v>450</v>
      </c>
      <c r="D230">
        <v>106</v>
      </c>
      <c r="E230" t="s">
        <v>1314</v>
      </c>
      <c r="F230" t="str">
        <f>_xlfn.XLOOKUP(Log_Reseau_Master[[#This Row],[Cell_ID]],_29_03_2026_Registre_Maintenance_V2[ID_Antenne],_29_03_2026_Registre_Maintenance_V2[Province_RDC],"Pas de correspondance")</f>
        <v>Lualaba</v>
      </c>
      <c r="G230" t="str">
        <f>_xlfn.XLOOKUP(Log_Reseau_Master[[#This Row],[Cell_ID]],_29_03_2026_Registre_Maintenance_V2[ID_Antenne],_29_03_2026_Registre_Maintenance_V2[Technologie],"Pas de correspondance")</f>
        <v>4G</v>
      </c>
      <c r="H230" t="str">
        <f>_xlfn.XLOOKUP(Log_Reseau_Master[[#This Row],[Cell_ID]],_29_03_2026_Registre_Maintenance_V2[ID_Antenne],_29_03_2026_Registre_Maintenance_V2[Equipementier],"Pas de correspondance")</f>
        <v>Nokia</v>
      </c>
    </row>
    <row r="231" spans="1:8" x14ac:dyDescent="0.25">
      <c r="A231" s="1">
        <v>45204.26458333333</v>
      </c>
      <c r="B231" s="4">
        <f>Log_Reseau_Master[[#This Row],[Duree_Panne_Min]]/1440</f>
        <v>6.25E-2</v>
      </c>
      <c r="C231" t="s">
        <v>450</v>
      </c>
      <c r="D231">
        <v>90</v>
      </c>
      <c r="E231" t="s">
        <v>1321</v>
      </c>
      <c r="F231" t="str">
        <f>_xlfn.XLOOKUP(Log_Reseau_Master[[#This Row],[Cell_ID]],_29_03_2026_Registre_Maintenance_V2[ID_Antenne],_29_03_2026_Registre_Maintenance_V2[Province_RDC],"Pas de correspondance")</f>
        <v>Lualaba</v>
      </c>
      <c r="G231" t="str">
        <f>_xlfn.XLOOKUP(Log_Reseau_Master[[#This Row],[Cell_ID]],_29_03_2026_Registre_Maintenance_V2[ID_Antenne],_29_03_2026_Registre_Maintenance_V2[Technologie],"Pas de correspondance")</f>
        <v>4G</v>
      </c>
      <c r="H231" t="str">
        <f>_xlfn.XLOOKUP(Log_Reseau_Master[[#This Row],[Cell_ID]],_29_03_2026_Registre_Maintenance_V2[ID_Antenne],_29_03_2026_Registre_Maintenance_V2[Equipementier],"Pas de correspondance")</f>
        <v>Nokia</v>
      </c>
    </row>
    <row r="232" spans="1:8" hidden="1" x14ac:dyDescent="0.25">
      <c r="A232" s="1">
        <v>45207.919444444444</v>
      </c>
      <c r="B232">
        <f>Log_Reseau_Master[[#This Row],[Duree_Panne_Min]]/1440</f>
        <v>2.9166666666666667E-2</v>
      </c>
      <c r="C232" t="s">
        <v>1412</v>
      </c>
      <c r="D232">
        <v>42</v>
      </c>
      <c r="E232" t="s">
        <v>1314</v>
      </c>
      <c r="F232" t="str">
        <f>_xlfn.XLOOKUP(Log_Reseau_Master[[#This Row],[Cell_ID]],_29_03_2026_Registre_Maintenance_V2[ID_Antenne],_29_03_2026_Registre_Maintenance_V2[Province_RDC],"Pas de correspondance")</f>
        <v>Pas de correspondance</v>
      </c>
      <c r="G232" t="str">
        <f>_xlfn.XLOOKUP(Log_Reseau_Master[[#This Row],[Cell_ID]],_29_03_2026_Registre_Maintenance_V2[ID_Antenne],_29_03_2026_Registre_Maintenance_V2[Technologie],"Pas de correspondance")</f>
        <v>Pas de correspondance</v>
      </c>
      <c r="H232" t="str">
        <f>_xlfn.XLOOKUP(Log_Reseau_Master[[#This Row],[Cell_ID]],_29_03_2026_Registre_Maintenance_V2[ID_Antenne],_29_03_2026_Registre_Maintenance_V2[Equipementier],"Pas de correspondance")</f>
        <v>Pas de correspondance</v>
      </c>
    </row>
    <row r="233" spans="1:8" x14ac:dyDescent="0.25">
      <c r="A233" s="1">
        <v>45214.697916666664</v>
      </c>
      <c r="B233" s="4">
        <f>Log_Reseau_Master[[#This Row],[Duree_Panne_Min]]/1440</f>
        <v>6.805555555555555E-2</v>
      </c>
      <c r="C233" t="s">
        <v>185</v>
      </c>
      <c r="D233">
        <v>98</v>
      </c>
      <c r="E233" t="s">
        <v>1321</v>
      </c>
      <c r="F233" t="str">
        <f>_xlfn.XLOOKUP(Log_Reseau_Master[[#This Row],[Cell_ID]],_29_03_2026_Registre_Maintenance_V2[ID_Antenne],_29_03_2026_Registre_Maintenance_V2[Province_RDC],"Pas de correspondance")</f>
        <v>Mai-Ndombe</v>
      </c>
      <c r="G233" t="str">
        <f>_xlfn.XLOOKUP(Log_Reseau_Master[[#This Row],[Cell_ID]],_29_03_2026_Registre_Maintenance_V2[ID_Antenne],_29_03_2026_Registre_Maintenance_V2[Technologie],"Pas de correspondance")</f>
        <v>3G</v>
      </c>
      <c r="H233" t="str">
        <f>_xlfn.XLOOKUP(Log_Reseau_Master[[#This Row],[Cell_ID]],_29_03_2026_Registre_Maintenance_V2[ID_Antenne],_29_03_2026_Registre_Maintenance_V2[Equipementier],"Pas de correspondance")</f>
        <v>ZTE</v>
      </c>
    </row>
    <row r="234" spans="1:8" x14ac:dyDescent="0.25">
      <c r="A234" s="1">
        <v>45228.15902777778</v>
      </c>
      <c r="B234" s="4">
        <f>Log_Reseau_Master[[#This Row],[Duree_Panne_Min]]/1440</f>
        <v>2.0833333333333332E-2</v>
      </c>
      <c r="C234" t="s">
        <v>125</v>
      </c>
      <c r="D234">
        <v>30</v>
      </c>
      <c r="E234" t="s">
        <v>1314</v>
      </c>
      <c r="F234" t="str">
        <f>_xlfn.XLOOKUP(Log_Reseau_Master[[#This Row],[Cell_ID]],_29_03_2026_Registre_Maintenance_V2[ID_Antenne],_29_03_2026_Registre_Maintenance_V2[Province_RDC],"Pas de correspondance")</f>
        <v>Kwilu</v>
      </c>
      <c r="G234" t="str">
        <f>_xlfn.XLOOKUP(Log_Reseau_Master[[#This Row],[Cell_ID]],_29_03_2026_Registre_Maintenance_V2[ID_Antenne],_29_03_2026_Registre_Maintenance_V2[Technologie],"Pas de correspondance")</f>
        <v>5G</v>
      </c>
      <c r="H234" t="str">
        <f>_xlfn.XLOOKUP(Log_Reseau_Master[[#This Row],[Cell_ID]],_29_03_2026_Registre_Maintenance_V2[ID_Antenne],_29_03_2026_Registre_Maintenance_V2[Equipementier],"Pas de correspondance")</f>
        <v>Nokia</v>
      </c>
    </row>
    <row r="235" spans="1:8" x14ac:dyDescent="0.25">
      <c r="A235" s="1">
        <v>45230.40902777778</v>
      </c>
      <c r="B235" s="4">
        <f>Log_Reseau_Master[[#This Row],[Duree_Panne_Min]]/1440</f>
        <v>5.5555555555555552E-2</v>
      </c>
      <c r="C235" t="s">
        <v>125</v>
      </c>
      <c r="D235">
        <v>80</v>
      </c>
      <c r="E235" t="s">
        <v>1312</v>
      </c>
      <c r="F235" t="str">
        <f>_xlfn.XLOOKUP(Log_Reseau_Master[[#This Row],[Cell_ID]],_29_03_2026_Registre_Maintenance_V2[ID_Antenne],_29_03_2026_Registre_Maintenance_V2[Province_RDC],"Pas de correspondance")</f>
        <v>Kwilu</v>
      </c>
      <c r="G235" t="str">
        <f>_xlfn.XLOOKUP(Log_Reseau_Master[[#This Row],[Cell_ID]],_29_03_2026_Registre_Maintenance_V2[ID_Antenne],_29_03_2026_Registre_Maintenance_V2[Technologie],"Pas de correspondance")</f>
        <v>5G</v>
      </c>
      <c r="H235" t="str">
        <f>_xlfn.XLOOKUP(Log_Reseau_Master[[#This Row],[Cell_ID]],_29_03_2026_Registre_Maintenance_V2[ID_Antenne],_29_03_2026_Registre_Maintenance_V2[Equipementier],"Pas de correspondance")</f>
        <v>Nokia</v>
      </c>
    </row>
    <row r="236" spans="1:8" x14ac:dyDescent="0.25">
      <c r="A236" s="1">
        <v>45205.527083333334</v>
      </c>
      <c r="B236" s="4">
        <f>Log_Reseau_Master[[#This Row],[Duree_Panne_Min]]/1440</f>
        <v>2.7777777777777776E-2</v>
      </c>
      <c r="C236" t="s">
        <v>321</v>
      </c>
      <c r="D236">
        <v>40</v>
      </c>
      <c r="E236" t="s">
        <v>1321</v>
      </c>
      <c r="F236" t="str">
        <f>_xlfn.XLOOKUP(Log_Reseau_Master[[#This Row],[Cell_ID]],_29_03_2026_Registre_Maintenance_V2[ID_Antenne],_29_03_2026_Registre_Maintenance_V2[Province_RDC],"Pas de correspondance")</f>
        <v>Nord-Kivu</v>
      </c>
      <c r="G236" t="str">
        <f>_xlfn.XLOOKUP(Log_Reseau_Master[[#This Row],[Cell_ID]],_29_03_2026_Registre_Maintenance_V2[ID_Antenne],_29_03_2026_Registre_Maintenance_V2[Technologie],"Pas de correspondance")</f>
        <v>5G</v>
      </c>
      <c r="H236" t="str">
        <f>_xlfn.XLOOKUP(Log_Reseau_Master[[#This Row],[Cell_ID]],_29_03_2026_Registre_Maintenance_V2[ID_Antenne],_29_03_2026_Registre_Maintenance_V2[Equipementier],"Pas de correspondance")</f>
        <v>Ericsson</v>
      </c>
    </row>
    <row r="237" spans="1:8" x14ac:dyDescent="0.25">
      <c r="A237" s="1">
        <v>45220.743055555555</v>
      </c>
      <c r="B237" s="4">
        <f>Log_Reseau_Master[[#This Row],[Duree_Panne_Min]]/1440</f>
        <v>3.7499999999999999E-2</v>
      </c>
      <c r="C237" t="s">
        <v>321</v>
      </c>
      <c r="D237">
        <v>54</v>
      </c>
      <c r="E237" t="s">
        <v>1312</v>
      </c>
      <c r="F237" t="str">
        <f>_xlfn.XLOOKUP(Log_Reseau_Master[[#This Row],[Cell_ID]],_29_03_2026_Registre_Maintenance_V2[ID_Antenne],_29_03_2026_Registre_Maintenance_V2[Province_RDC],"Pas de correspondance")</f>
        <v>Nord-Kivu</v>
      </c>
      <c r="G237" t="str">
        <f>_xlfn.XLOOKUP(Log_Reseau_Master[[#This Row],[Cell_ID]],_29_03_2026_Registre_Maintenance_V2[ID_Antenne],_29_03_2026_Registre_Maintenance_V2[Technologie],"Pas de correspondance")</f>
        <v>5G</v>
      </c>
      <c r="H237" t="str">
        <f>_xlfn.XLOOKUP(Log_Reseau_Master[[#This Row],[Cell_ID]],_29_03_2026_Registre_Maintenance_V2[ID_Antenne],_29_03_2026_Registre_Maintenance_V2[Equipementier],"Pas de correspondance")</f>
        <v>Ericsson</v>
      </c>
    </row>
    <row r="238" spans="1:8" x14ac:dyDescent="0.25">
      <c r="A238" s="1">
        <v>45212.720833333333</v>
      </c>
      <c r="B238" s="4">
        <f>Log_Reseau_Master[[#This Row],[Duree_Panne_Min]]/1440</f>
        <v>2.2916666666666665E-2</v>
      </c>
      <c r="C238" t="s">
        <v>510</v>
      </c>
      <c r="D238">
        <v>33</v>
      </c>
      <c r="E238" t="s">
        <v>1321</v>
      </c>
      <c r="F238" t="str">
        <f>_xlfn.XLOOKUP(Log_Reseau_Master[[#This Row],[Cell_ID]],_29_03_2026_Registre_Maintenance_V2[ID_Antenne],_29_03_2026_Registre_Maintenance_V2[Province_RDC],"Pas de correspondance")</f>
        <v>Tshuapa</v>
      </c>
      <c r="G238" t="str">
        <f>_xlfn.XLOOKUP(Log_Reseau_Master[[#This Row],[Cell_ID]],_29_03_2026_Registre_Maintenance_V2[ID_Antenne],_29_03_2026_Registre_Maintenance_V2[Technologie],"Pas de correspondance")</f>
        <v>5G</v>
      </c>
      <c r="H238" t="str">
        <f>_xlfn.XLOOKUP(Log_Reseau_Master[[#This Row],[Cell_ID]],_29_03_2026_Registre_Maintenance_V2[ID_Antenne],_29_03_2026_Registre_Maintenance_V2[Equipementier],"Pas de correspondance")</f>
        <v>Ericsson</v>
      </c>
    </row>
    <row r="239" spans="1:8" hidden="1" x14ac:dyDescent="0.25">
      <c r="A239" s="1">
        <v>45211.079861111109</v>
      </c>
      <c r="B239">
        <f>Log_Reseau_Master[[#This Row],[Duree_Panne_Min]]/1440</f>
        <v>4.0972222222222222E-2</v>
      </c>
      <c r="C239" t="s">
        <v>1413</v>
      </c>
      <c r="D239">
        <v>59</v>
      </c>
      <c r="E239" t="s">
        <v>1312</v>
      </c>
      <c r="F239" t="str">
        <f>_xlfn.XLOOKUP(Log_Reseau_Master[[#This Row],[Cell_ID]],_29_03_2026_Registre_Maintenance_V2[ID_Antenne],_29_03_2026_Registre_Maintenance_V2[Province_RDC],"Pas de correspondance")</f>
        <v>Pas de correspondance</v>
      </c>
      <c r="G239" t="str">
        <f>_xlfn.XLOOKUP(Log_Reseau_Master[[#This Row],[Cell_ID]],_29_03_2026_Registre_Maintenance_V2[ID_Antenne],_29_03_2026_Registre_Maintenance_V2[Technologie],"Pas de correspondance")</f>
        <v>Pas de correspondance</v>
      </c>
      <c r="H239" t="str">
        <f>_xlfn.XLOOKUP(Log_Reseau_Master[[#This Row],[Cell_ID]],_29_03_2026_Registre_Maintenance_V2[ID_Antenne],_29_03_2026_Registre_Maintenance_V2[Equipementier],"Pas de correspondance")</f>
        <v>Pas de correspondance</v>
      </c>
    </row>
    <row r="240" spans="1:8" hidden="1" x14ac:dyDescent="0.25">
      <c r="A240" s="1">
        <v>45212.240277777775</v>
      </c>
      <c r="B240">
        <f>Log_Reseau_Master[[#This Row],[Duree_Panne_Min]]/1440</f>
        <v>3.7499999999999999E-2</v>
      </c>
      <c r="C240" t="s">
        <v>1413</v>
      </c>
      <c r="D240">
        <v>54</v>
      </c>
      <c r="E240" t="s">
        <v>1312</v>
      </c>
      <c r="F240" t="str">
        <f>_xlfn.XLOOKUP(Log_Reseau_Master[[#This Row],[Cell_ID]],_29_03_2026_Registre_Maintenance_V2[ID_Antenne],_29_03_2026_Registre_Maintenance_V2[Province_RDC],"Pas de correspondance")</f>
        <v>Pas de correspondance</v>
      </c>
      <c r="G240" t="str">
        <f>_xlfn.XLOOKUP(Log_Reseau_Master[[#This Row],[Cell_ID]],_29_03_2026_Registre_Maintenance_V2[ID_Antenne],_29_03_2026_Registre_Maintenance_V2[Technologie],"Pas de correspondance")</f>
        <v>Pas de correspondance</v>
      </c>
      <c r="H240" t="str">
        <f>_xlfn.XLOOKUP(Log_Reseau_Master[[#This Row],[Cell_ID]],_29_03_2026_Registre_Maintenance_V2[ID_Antenne],_29_03_2026_Registre_Maintenance_V2[Equipementier],"Pas de correspondance")</f>
        <v>Pas de correspondance</v>
      </c>
    </row>
    <row r="241" spans="1:8" hidden="1" x14ac:dyDescent="0.25">
      <c r="A241" s="1">
        <v>45209.388888888891</v>
      </c>
      <c r="B241">
        <f>Log_Reseau_Master[[#This Row],[Duree_Panne_Min]]/1440</f>
        <v>3.0555555555555555E-2</v>
      </c>
      <c r="C241" t="s">
        <v>1414</v>
      </c>
      <c r="D241">
        <v>44</v>
      </c>
      <c r="E241" t="s">
        <v>1314</v>
      </c>
      <c r="F241" t="str">
        <f>_xlfn.XLOOKUP(Log_Reseau_Master[[#This Row],[Cell_ID]],_29_03_2026_Registre_Maintenance_V2[ID_Antenne],_29_03_2026_Registre_Maintenance_V2[Province_RDC],"Pas de correspondance")</f>
        <v>Pas de correspondance</v>
      </c>
      <c r="G241" t="str">
        <f>_xlfn.XLOOKUP(Log_Reseau_Master[[#This Row],[Cell_ID]],_29_03_2026_Registre_Maintenance_V2[ID_Antenne],_29_03_2026_Registre_Maintenance_V2[Technologie],"Pas de correspondance")</f>
        <v>Pas de correspondance</v>
      </c>
      <c r="H241" t="str">
        <f>_xlfn.XLOOKUP(Log_Reseau_Master[[#This Row],[Cell_ID]],_29_03_2026_Registre_Maintenance_V2[ID_Antenne],_29_03_2026_Registre_Maintenance_V2[Equipementier],"Pas de correspondance")</f>
        <v>Pas de correspondance</v>
      </c>
    </row>
    <row r="242" spans="1:8" hidden="1" x14ac:dyDescent="0.25">
      <c r="A242" s="1">
        <v>45207.124305555553</v>
      </c>
      <c r="B242">
        <f>Log_Reseau_Master[[#This Row],[Duree_Panne_Min]]/1440</f>
        <v>5.347222222222222E-2</v>
      </c>
      <c r="C242" t="s">
        <v>1415</v>
      </c>
      <c r="D242">
        <v>77</v>
      </c>
      <c r="E242" t="s">
        <v>1321</v>
      </c>
      <c r="F242" t="str">
        <f>_xlfn.XLOOKUP(Log_Reseau_Master[[#This Row],[Cell_ID]],_29_03_2026_Registre_Maintenance_V2[ID_Antenne],_29_03_2026_Registre_Maintenance_V2[Province_RDC],"Pas de correspondance")</f>
        <v>Pas de correspondance</v>
      </c>
      <c r="G242" t="str">
        <f>_xlfn.XLOOKUP(Log_Reseau_Master[[#This Row],[Cell_ID]],_29_03_2026_Registre_Maintenance_V2[ID_Antenne],_29_03_2026_Registre_Maintenance_V2[Technologie],"Pas de correspondance")</f>
        <v>Pas de correspondance</v>
      </c>
      <c r="H242" t="str">
        <f>_xlfn.XLOOKUP(Log_Reseau_Master[[#This Row],[Cell_ID]],_29_03_2026_Registre_Maintenance_V2[ID_Antenne],_29_03_2026_Registre_Maintenance_V2[Equipementier],"Pas de correspondance")</f>
        <v>Pas de correspondance</v>
      </c>
    </row>
    <row r="243" spans="1:8" x14ac:dyDescent="0.25">
      <c r="A243" s="1">
        <v>45219.420138888891</v>
      </c>
      <c r="B243" s="4">
        <f>Log_Reseau_Master[[#This Row],[Duree_Panne_Min]]/1440</f>
        <v>4.3749999999999997E-2</v>
      </c>
      <c r="C243" t="s">
        <v>100</v>
      </c>
      <c r="D243">
        <v>63</v>
      </c>
      <c r="E243" t="s">
        <v>1321</v>
      </c>
      <c r="F243" t="str">
        <f>_xlfn.XLOOKUP(Log_Reseau_Master[[#This Row],[Cell_ID]],_29_03_2026_Registre_Maintenance_V2[ID_Antenne],_29_03_2026_Registre_Maintenance_V2[Province_RDC],"Pas de correspondance")</f>
        <v>Lomami</v>
      </c>
      <c r="G243" t="str">
        <f>_xlfn.XLOOKUP(Log_Reseau_Master[[#This Row],[Cell_ID]],_29_03_2026_Registre_Maintenance_V2[ID_Antenne],_29_03_2026_Registre_Maintenance_V2[Technologie],"Pas de correspondance")</f>
        <v>3G</v>
      </c>
      <c r="H243" t="str">
        <f>_xlfn.XLOOKUP(Log_Reseau_Master[[#This Row],[Cell_ID]],_29_03_2026_Registre_Maintenance_V2[ID_Antenne],_29_03_2026_Registre_Maintenance_V2[Equipementier],"Pas de correspondance")</f>
        <v>ZTE</v>
      </c>
    </row>
    <row r="244" spans="1:8" hidden="1" x14ac:dyDescent="0.25">
      <c r="A244" s="1">
        <v>45228.840277777781</v>
      </c>
      <c r="B244">
        <f>Log_Reseau_Master[[#This Row],[Duree_Panne_Min]]/1440</f>
        <v>7.013888888888889E-2</v>
      </c>
      <c r="C244" t="s">
        <v>1416</v>
      </c>
      <c r="D244">
        <v>101</v>
      </c>
      <c r="E244" t="s">
        <v>1314</v>
      </c>
      <c r="F244" t="str">
        <f>_xlfn.XLOOKUP(Log_Reseau_Master[[#This Row],[Cell_ID]],_29_03_2026_Registre_Maintenance_V2[ID_Antenne],_29_03_2026_Registre_Maintenance_V2[Province_RDC],"Pas de correspondance")</f>
        <v>Pas de correspondance</v>
      </c>
      <c r="G244" t="str">
        <f>_xlfn.XLOOKUP(Log_Reseau_Master[[#This Row],[Cell_ID]],_29_03_2026_Registre_Maintenance_V2[ID_Antenne],_29_03_2026_Registre_Maintenance_V2[Technologie],"Pas de correspondance")</f>
        <v>Pas de correspondance</v>
      </c>
      <c r="H244" t="str">
        <f>_xlfn.XLOOKUP(Log_Reseau_Master[[#This Row],[Cell_ID]],_29_03_2026_Registre_Maintenance_V2[ID_Antenne],_29_03_2026_Registre_Maintenance_V2[Equipementier],"Pas de correspondance")</f>
        <v>Pas de correspondance</v>
      </c>
    </row>
    <row r="245" spans="1:8" hidden="1" x14ac:dyDescent="0.25">
      <c r="A245" s="1">
        <v>45230.788888888892</v>
      </c>
      <c r="B245">
        <f>Log_Reseau_Master[[#This Row],[Duree_Panne_Min]]/1440</f>
        <v>6.0416666666666667E-2</v>
      </c>
      <c r="C245" t="s">
        <v>1416</v>
      </c>
      <c r="D245">
        <v>87</v>
      </c>
      <c r="E245" t="s">
        <v>1312</v>
      </c>
      <c r="F245" t="str">
        <f>_xlfn.XLOOKUP(Log_Reseau_Master[[#This Row],[Cell_ID]],_29_03_2026_Registre_Maintenance_V2[ID_Antenne],_29_03_2026_Registre_Maintenance_V2[Province_RDC],"Pas de correspondance")</f>
        <v>Pas de correspondance</v>
      </c>
      <c r="G245" t="str">
        <f>_xlfn.XLOOKUP(Log_Reseau_Master[[#This Row],[Cell_ID]],_29_03_2026_Registre_Maintenance_V2[ID_Antenne],_29_03_2026_Registre_Maintenance_V2[Technologie],"Pas de correspondance")</f>
        <v>Pas de correspondance</v>
      </c>
      <c r="H245" t="str">
        <f>_xlfn.XLOOKUP(Log_Reseau_Master[[#This Row],[Cell_ID]],_29_03_2026_Registre_Maintenance_V2[ID_Antenne],_29_03_2026_Registre_Maintenance_V2[Equipementier],"Pas de correspondance")</f>
        <v>Pas de correspondance</v>
      </c>
    </row>
    <row r="246" spans="1:8" hidden="1" x14ac:dyDescent="0.25">
      <c r="A246" s="1">
        <v>45200.093055555553</v>
      </c>
      <c r="B246">
        <f>Log_Reseau_Master[[#This Row],[Duree_Panne_Min]]/1440</f>
        <v>4.3749999999999997E-2</v>
      </c>
      <c r="C246" t="s">
        <v>1416</v>
      </c>
      <c r="D246">
        <v>63</v>
      </c>
      <c r="E246" t="s">
        <v>1312</v>
      </c>
      <c r="F246" t="str">
        <f>_xlfn.XLOOKUP(Log_Reseau_Master[[#This Row],[Cell_ID]],_29_03_2026_Registre_Maintenance_V2[ID_Antenne],_29_03_2026_Registre_Maintenance_V2[Province_RDC],"Pas de correspondance")</f>
        <v>Pas de correspondance</v>
      </c>
      <c r="G246" t="str">
        <f>_xlfn.XLOOKUP(Log_Reseau_Master[[#This Row],[Cell_ID]],_29_03_2026_Registre_Maintenance_V2[ID_Antenne],_29_03_2026_Registre_Maintenance_V2[Technologie],"Pas de correspondance")</f>
        <v>Pas de correspondance</v>
      </c>
      <c r="H246" t="str">
        <f>_xlfn.XLOOKUP(Log_Reseau_Master[[#This Row],[Cell_ID]],_29_03_2026_Registre_Maintenance_V2[ID_Antenne],_29_03_2026_Registre_Maintenance_V2[Equipementier],"Pas de correspondance")</f>
        <v>Pas de correspondance</v>
      </c>
    </row>
    <row r="247" spans="1:8" hidden="1" x14ac:dyDescent="0.25">
      <c r="A247" s="1">
        <v>45230.834722222222</v>
      </c>
      <c r="B247">
        <f>Log_Reseau_Master[[#This Row],[Duree_Panne_Min]]/1440</f>
        <v>3.1944444444444442E-2</v>
      </c>
      <c r="C247" t="s">
        <v>1417</v>
      </c>
      <c r="D247">
        <v>46</v>
      </c>
      <c r="E247" t="s">
        <v>1312</v>
      </c>
      <c r="F247" t="str">
        <f>_xlfn.XLOOKUP(Log_Reseau_Master[[#This Row],[Cell_ID]],_29_03_2026_Registre_Maintenance_V2[ID_Antenne],_29_03_2026_Registre_Maintenance_V2[Province_RDC],"Pas de correspondance")</f>
        <v>Pas de correspondance</v>
      </c>
      <c r="G247" t="str">
        <f>_xlfn.XLOOKUP(Log_Reseau_Master[[#This Row],[Cell_ID]],_29_03_2026_Registre_Maintenance_V2[ID_Antenne],_29_03_2026_Registre_Maintenance_V2[Technologie],"Pas de correspondance")</f>
        <v>Pas de correspondance</v>
      </c>
      <c r="H247" t="str">
        <f>_xlfn.XLOOKUP(Log_Reseau_Master[[#This Row],[Cell_ID]],_29_03_2026_Registre_Maintenance_V2[ID_Antenne],_29_03_2026_Registre_Maintenance_V2[Equipementier],"Pas de correspondance")</f>
        <v>Pas de correspondance</v>
      </c>
    </row>
    <row r="248" spans="1:8" hidden="1" x14ac:dyDescent="0.25">
      <c r="A248" s="1">
        <v>45220.642361111109</v>
      </c>
      <c r="B248">
        <f>Log_Reseau_Master[[#This Row],[Duree_Panne_Min]]/1440</f>
        <v>1.3194444444444444E-2</v>
      </c>
      <c r="C248" t="s">
        <v>1417</v>
      </c>
      <c r="D248">
        <v>19</v>
      </c>
      <c r="E248" t="s">
        <v>1314</v>
      </c>
      <c r="F248" t="str">
        <f>_xlfn.XLOOKUP(Log_Reseau_Master[[#This Row],[Cell_ID]],_29_03_2026_Registre_Maintenance_V2[ID_Antenne],_29_03_2026_Registre_Maintenance_V2[Province_RDC],"Pas de correspondance")</f>
        <v>Pas de correspondance</v>
      </c>
      <c r="G248" t="str">
        <f>_xlfn.XLOOKUP(Log_Reseau_Master[[#This Row],[Cell_ID]],_29_03_2026_Registre_Maintenance_V2[ID_Antenne],_29_03_2026_Registre_Maintenance_V2[Technologie],"Pas de correspondance")</f>
        <v>Pas de correspondance</v>
      </c>
      <c r="H248" t="str">
        <f>_xlfn.XLOOKUP(Log_Reseau_Master[[#This Row],[Cell_ID]],_29_03_2026_Registre_Maintenance_V2[ID_Antenne],_29_03_2026_Registre_Maintenance_V2[Equipementier],"Pas de correspondance")</f>
        <v>Pas de correspondance</v>
      </c>
    </row>
    <row r="249" spans="1:8" hidden="1" x14ac:dyDescent="0.25">
      <c r="A249" s="1">
        <v>45220.114583333336</v>
      </c>
      <c r="B249">
        <f>Log_Reseau_Master[[#This Row],[Duree_Panne_Min]]/1440</f>
        <v>3.7499999999999999E-2</v>
      </c>
      <c r="C249" t="s">
        <v>1417</v>
      </c>
      <c r="D249">
        <v>54</v>
      </c>
      <c r="E249" t="s">
        <v>1312</v>
      </c>
      <c r="F249" t="str">
        <f>_xlfn.XLOOKUP(Log_Reseau_Master[[#This Row],[Cell_ID]],_29_03_2026_Registre_Maintenance_V2[ID_Antenne],_29_03_2026_Registre_Maintenance_V2[Province_RDC],"Pas de correspondance")</f>
        <v>Pas de correspondance</v>
      </c>
      <c r="G249" t="str">
        <f>_xlfn.XLOOKUP(Log_Reseau_Master[[#This Row],[Cell_ID]],_29_03_2026_Registre_Maintenance_V2[ID_Antenne],_29_03_2026_Registre_Maintenance_V2[Technologie],"Pas de correspondance")</f>
        <v>Pas de correspondance</v>
      </c>
      <c r="H249" t="str">
        <f>_xlfn.XLOOKUP(Log_Reseau_Master[[#This Row],[Cell_ID]],_29_03_2026_Registre_Maintenance_V2[ID_Antenne],_29_03_2026_Registre_Maintenance_V2[Equipementier],"Pas de correspondance")</f>
        <v>Pas de correspondance</v>
      </c>
    </row>
    <row r="250" spans="1:8" hidden="1" x14ac:dyDescent="0.25">
      <c r="A250" s="1">
        <v>45226.920138888891</v>
      </c>
      <c r="B250">
        <f>Log_Reseau_Master[[#This Row],[Duree_Panne_Min]]/1440</f>
        <v>4.4444444444444446E-2</v>
      </c>
      <c r="C250" t="s">
        <v>1417</v>
      </c>
      <c r="D250">
        <v>64</v>
      </c>
      <c r="E250" t="s">
        <v>1321</v>
      </c>
      <c r="F250" t="str">
        <f>_xlfn.XLOOKUP(Log_Reseau_Master[[#This Row],[Cell_ID]],_29_03_2026_Registre_Maintenance_V2[ID_Antenne],_29_03_2026_Registre_Maintenance_V2[Province_RDC],"Pas de correspondance")</f>
        <v>Pas de correspondance</v>
      </c>
      <c r="G250" t="str">
        <f>_xlfn.XLOOKUP(Log_Reseau_Master[[#This Row],[Cell_ID]],_29_03_2026_Registre_Maintenance_V2[ID_Antenne],_29_03_2026_Registre_Maintenance_V2[Technologie],"Pas de correspondance")</f>
        <v>Pas de correspondance</v>
      </c>
      <c r="H250" t="str">
        <f>_xlfn.XLOOKUP(Log_Reseau_Master[[#This Row],[Cell_ID]],_29_03_2026_Registre_Maintenance_V2[ID_Antenne],_29_03_2026_Registre_Maintenance_V2[Equipementier],"Pas de correspondance")</f>
        <v>Pas de correspondance</v>
      </c>
    </row>
    <row r="251" spans="1:8" hidden="1" x14ac:dyDescent="0.25">
      <c r="A251" s="1">
        <v>45229.282638888886</v>
      </c>
      <c r="B251">
        <f>Log_Reseau_Master[[#This Row],[Duree_Panne_Min]]/1440</f>
        <v>7.0833333333333331E-2</v>
      </c>
      <c r="C251" t="s">
        <v>1417</v>
      </c>
      <c r="D251">
        <v>102</v>
      </c>
      <c r="E251" t="s">
        <v>1312</v>
      </c>
      <c r="F251" t="str">
        <f>_xlfn.XLOOKUP(Log_Reseau_Master[[#This Row],[Cell_ID]],_29_03_2026_Registre_Maintenance_V2[ID_Antenne],_29_03_2026_Registre_Maintenance_V2[Province_RDC],"Pas de correspondance")</f>
        <v>Pas de correspondance</v>
      </c>
      <c r="G251" t="str">
        <f>_xlfn.XLOOKUP(Log_Reseau_Master[[#This Row],[Cell_ID]],_29_03_2026_Registre_Maintenance_V2[ID_Antenne],_29_03_2026_Registre_Maintenance_V2[Technologie],"Pas de correspondance")</f>
        <v>Pas de correspondance</v>
      </c>
      <c r="H251" t="str">
        <f>_xlfn.XLOOKUP(Log_Reseau_Master[[#This Row],[Cell_ID]],_29_03_2026_Registre_Maintenance_V2[ID_Antenne],_29_03_2026_Registre_Maintenance_V2[Equipementier],"Pas de correspondance")</f>
        <v>Pas de correspondance</v>
      </c>
    </row>
    <row r="252" spans="1:8" hidden="1" x14ac:dyDescent="0.25">
      <c r="A252" s="1">
        <v>45218.361805555556</v>
      </c>
      <c r="B252">
        <f>Log_Reseau_Master[[#This Row],[Duree_Panne_Min]]/1440</f>
        <v>3.125E-2</v>
      </c>
      <c r="C252" t="s">
        <v>1417</v>
      </c>
      <c r="D252">
        <v>45</v>
      </c>
      <c r="E252" t="s">
        <v>1321</v>
      </c>
      <c r="F252" t="str">
        <f>_xlfn.XLOOKUP(Log_Reseau_Master[[#This Row],[Cell_ID]],_29_03_2026_Registre_Maintenance_V2[ID_Antenne],_29_03_2026_Registre_Maintenance_V2[Province_RDC],"Pas de correspondance")</f>
        <v>Pas de correspondance</v>
      </c>
      <c r="G252" t="str">
        <f>_xlfn.XLOOKUP(Log_Reseau_Master[[#This Row],[Cell_ID]],_29_03_2026_Registre_Maintenance_V2[ID_Antenne],_29_03_2026_Registre_Maintenance_V2[Technologie],"Pas de correspondance")</f>
        <v>Pas de correspondance</v>
      </c>
      <c r="H252" t="str">
        <f>_xlfn.XLOOKUP(Log_Reseau_Master[[#This Row],[Cell_ID]],_29_03_2026_Registre_Maintenance_V2[ID_Antenne],_29_03_2026_Registre_Maintenance_V2[Equipementier],"Pas de correspondance")</f>
        <v>Pas de correspondance</v>
      </c>
    </row>
    <row r="253" spans="1:8" x14ac:dyDescent="0.25">
      <c r="A253" s="1">
        <v>45228.511805555558</v>
      </c>
      <c r="B253" s="4">
        <f>Log_Reseau_Master[[#This Row],[Duree_Panne_Min]]/1440</f>
        <v>4.4444444444444446E-2</v>
      </c>
      <c r="C253" t="s">
        <v>511</v>
      </c>
      <c r="D253">
        <v>64</v>
      </c>
      <c r="E253" t="s">
        <v>1312</v>
      </c>
      <c r="F253" t="str">
        <f>_xlfn.XLOOKUP(Log_Reseau_Master[[#This Row],[Cell_ID]],_29_03_2026_Registre_Maintenance_V2[ID_Antenne],_29_03_2026_Registre_Maintenance_V2[Province_RDC],"Pas de correspondance")</f>
        <v>Haut-Uele</v>
      </c>
      <c r="G253" t="str">
        <f>_xlfn.XLOOKUP(Log_Reseau_Master[[#This Row],[Cell_ID]],_29_03_2026_Registre_Maintenance_V2[ID_Antenne],_29_03_2026_Registre_Maintenance_V2[Technologie],"Pas de correspondance")</f>
        <v>4G</v>
      </c>
      <c r="H253" t="str">
        <f>_xlfn.XLOOKUP(Log_Reseau_Master[[#This Row],[Cell_ID]],_29_03_2026_Registre_Maintenance_V2[ID_Antenne],_29_03_2026_Registre_Maintenance_V2[Equipementier],"Pas de correspondance")</f>
        <v>Huawei</v>
      </c>
    </row>
    <row r="254" spans="1:8" x14ac:dyDescent="0.25">
      <c r="A254" s="1">
        <v>45230.323611111111</v>
      </c>
      <c r="B254" s="4">
        <f>Log_Reseau_Master[[#This Row],[Duree_Panne_Min]]/1440</f>
        <v>7.2916666666666671E-2</v>
      </c>
      <c r="C254" t="s">
        <v>511</v>
      </c>
      <c r="D254">
        <v>105</v>
      </c>
      <c r="E254" t="s">
        <v>1314</v>
      </c>
      <c r="F254" t="str">
        <f>_xlfn.XLOOKUP(Log_Reseau_Master[[#This Row],[Cell_ID]],_29_03_2026_Registre_Maintenance_V2[ID_Antenne],_29_03_2026_Registre_Maintenance_V2[Province_RDC],"Pas de correspondance")</f>
        <v>Haut-Uele</v>
      </c>
      <c r="G254" t="str">
        <f>_xlfn.XLOOKUP(Log_Reseau_Master[[#This Row],[Cell_ID]],_29_03_2026_Registre_Maintenance_V2[ID_Antenne],_29_03_2026_Registre_Maintenance_V2[Technologie],"Pas de correspondance")</f>
        <v>4G</v>
      </c>
      <c r="H254" t="str">
        <f>_xlfn.XLOOKUP(Log_Reseau_Master[[#This Row],[Cell_ID]],_29_03_2026_Registre_Maintenance_V2[ID_Antenne],_29_03_2026_Registre_Maintenance_V2[Equipementier],"Pas de correspondance")</f>
        <v>Huawei</v>
      </c>
    </row>
    <row r="255" spans="1:8" x14ac:dyDescent="0.25">
      <c r="A255" s="1">
        <v>45217.775694444441</v>
      </c>
      <c r="B255" s="4">
        <f>Log_Reseau_Master[[#This Row],[Duree_Panne_Min]]/1440</f>
        <v>5.8333333333333334E-2</v>
      </c>
      <c r="C255" t="s">
        <v>217</v>
      </c>
      <c r="D255">
        <v>84</v>
      </c>
      <c r="E255" t="s">
        <v>1314</v>
      </c>
      <c r="F255" t="str">
        <f>_xlfn.XLOOKUP(Log_Reseau_Master[[#This Row],[Cell_ID]],_29_03_2026_Registre_Maintenance_V2[ID_Antenne],_29_03_2026_Registre_Maintenance_V2[Province_RDC],"Pas de correspondance")</f>
        <v>Maniema</v>
      </c>
      <c r="G255" t="str">
        <f>_xlfn.XLOOKUP(Log_Reseau_Master[[#This Row],[Cell_ID]],_29_03_2026_Registre_Maintenance_V2[ID_Antenne],_29_03_2026_Registre_Maintenance_V2[Technologie],"Pas de correspondance")</f>
        <v>5G</v>
      </c>
      <c r="H255" t="str">
        <f>_xlfn.XLOOKUP(Log_Reseau_Master[[#This Row],[Cell_ID]],_29_03_2026_Registre_Maintenance_V2[ID_Antenne],_29_03_2026_Registre_Maintenance_V2[Equipementier],"Pas de correspondance")</f>
        <v>Ericsson</v>
      </c>
    </row>
    <row r="256" spans="1:8" x14ac:dyDescent="0.25">
      <c r="A256" s="1">
        <v>45216.26666666667</v>
      </c>
      <c r="B256" s="4">
        <f>Log_Reseau_Master[[#This Row],[Duree_Panne_Min]]/1440</f>
        <v>6.25E-2</v>
      </c>
      <c r="C256" t="s">
        <v>217</v>
      </c>
      <c r="D256">
        <v>90</v>
      </c>
      <c r="E256" t="s">
        <v>1321</v>
      </c>
      <c r="F256" t="str">
        <f>_xlfn.XLOOKUP(Log_Reseau_Master[[#This Row],[Cell_ID]],_29_03_2026_Registre_Maintenance_V2[ID_Antenne],_29_03_2026_Registre_Maintenance_V2[Province_RDC],"Pas de correspondance")</f>
        <v>Maniema</v>
      </c>
      <c r="G256" t="str">
        <f>_xlfn.XLOOKUP(Log_Reseau_Master[[#This Row],[Cell_ID]],_29_03_2026_Registre_Maintenance_V2[ID_Antenne],_29_03_2026_Registre_Maintenance_V2[Technologie],"Pas de correspondance")</f>
        <v>5G</v>
      </c>
      <c r="H256" t="str">
        <f>_xlfn.XLOOKUP(Log_Reseau_Master[[#This Row],[Cell_ID]],_29_03_2026_Registre_Maintenance_V2[ID_Antenne],_29_03_2026_Registre_Maintenance_V2[Equipementier],"Pas de correspondance")</f>
        <v>Ericsson</v>
      </c>
    </row>
    <row r="257" spans="1:8" x14ac:dyDescent="0.25">
      <c r="A257" s="1">
        <v>45202.780555555553</v>
      </c>
      <c r="B257" s="4">
        <f>Log_Reseau_Master[[#This Row],[Duree_Panne_Min]]/1440</f>
        <v>3.6805555555555557E-2</v>
      </c>
      <c r="C257" t="s">
        <v>217</v>
      </c>
      <c r="D257">
        <v>53</v>
      </c>
      <c r="E257" t="s">
        <v>1321</v>
      </c>
      <c r="F257" t="str">
        <f>_xlfn.XLOOKUP(Log_Reseau_Master[[#This Row],[Cell_ID]],_29_03_2026_Registre_Maintenance_V2[ID_Antenne],_29_03_2026_Registre_Maintenance_V2[Province_RDC],"Pas de correspondance")</f>
        <v>Maniema</v>
      </c>
      <c r="G257" t="str">
        <f>_xlfn.XLOOKUP(Log_Reseau_Master[[#This Row],[Cell_ID]],_29_03_2026_Registre_Maintenance_V2[ID_Antenne],_29_03_2026_Registre_Maintenance_V2[Technologie],"Pas de correspondance")</f>
        <v>5G</v>
      </c>
      <c r="H257" t="str">
        <f>_xlfn.XLOOKUP(Log_Reseau_Master[[#This Row],[Cell_ID]],_29_03_2026_Registre_Maintenance_V2[ID_Antenne],_29_03_2026_Registre_Maintenance_V2[Equipementier],"Pas de correspondance")</f>
        <v>Ericsson</v>
      </c>
    </row>
    <row r="258" spans="1:8" hidden="1" x14ac:dyDescent="0.25">
      <c r="A258" s="1">
        <v>45211.123611111114</v>
      </c>
      <c r="B258">
        <f>Log_Reseau_Master[[#This Row],[Duree_Panne_Min]]/1440</f>
        <v>6.0416666666666667E-2</v>
      </c>
      <c r="C258" t="s">
        <v>1418</v>
      </c>
      <c r="D258">
        <v>87</v>
      </c>
      <c r="E258" t="s">
        <v>1314</v>
      </c>
      <c r="F258" t="str">
        <f>_xlfn.XLOOKUP(Log_Reseau_Master[[#This Row],[Cell_ID]],_29_03_2026_Registre_Maintenance_V2[ID_Antenne],_29_03_2026_Registre_Maintenance_V2[Province_RDC],"Pas de correspondance")</f>
        <v>Pas de correspondance</v>
      </c>
      <c r="G258" t="str">
        <f>_xlfn.XLOOKUP(Log_Reseau_Master[[#This Row],[Cell_ID]],_29_03_2026_Registre_Maintenance_V2[ID_Antenne],_29_03_2026_Registre_Maintenance_V2[Technologie],"Pas de correspondance")</f>
        <v>Pas de correspondance</v>
      </c>
      <c r="H258" t="str">
        <f>_xlfn.XLOOKUP(Log_Reseau_Master[[#This Row],[Cell_ID]],_29_03_2026_Registre_Maintenance_V2[ID_Antenne],_29_03_2026_Registre_Maintenance_V2[Equipementier],"Pas de correspondance")</f>
        <v>Pas de correspondance</v>
      </c>
    </row>
    <row r="259" spans="1:8" hidden="1" x14ac:dyDescent="0.25">
      <c r="A259" s="1">
        <v>45217.414583333331</v>
      </c>
      <c r="B259">
        <f>Log_Reseau_Master[[#This Row],[Duree_Panne_Min]]/1440</f>
        <v>5.1388888888888887E-2</v>
      </c>
      <c r="C259" t="s">
        <v>1418</v>
      </c>
      <c r="D259">
        <v>74</v>
      </c>
      <c r="E259" t="s">
        <v>1321</v>
      </c>
      <c r="F259" t="str">
        <f>_xlfn.XLOOKUP(Log_Reseau_Master[[#This Row],[Cell_ID]],_29_03_2026_Registre_Maintenance_V2[ID_Antenne],_29_03_2026_Registre_Maintenance_V2[Province_RDC],"Pas de correspondance")</f>
        <v>Pas de correspondance</v>
      </c>
      <c r="G259" t="str">
        <f>_xlfn.XLOOKUP(Log_Reseau_Master[[#This Row],[Cell_ID]],_29_03_2026_Registre_Maintenance_V2[ID_Antenne],_29_03_2026_Registre_Maintenance_V2[Technologie],"Pas de correspondance")</f>
        <v>Pas de correspondance</v>
      </c>
      <c r="H259" t="str">
        <f>_xlfn.XLOOKUP(Log_Reseau_Master[[#This Row],[Cell_ID]],_29_03_2026_Registre_Maintenance_V2[ID_Antenne],_29_03_2026_Registre_Maintenance_V2[Equipementier],"Pas de correspondance")</f>
        <v>Pas de correspondance</v>
      </c>
    </row>
    <row r="260" spans="1:8" hidden="1" x14ac:dyDescent="0.25">
      <c r="A260" s="1">
        <v>45211.495833333334</v>
      </c>
      <c r="B260">
        <f>Log_Reseau_Master[[#This Row],[Duree_Panne_Min]]/1440</f>
        <v>4.2361111111111113E-2</v>
      </c>
      <c r="C260" t="s">
        <v>1418</v>
      </c>
      <c r="D260">
        <v>61</v>
      </c>
      <c r="E260" t="s">
        <v>1312</v>
      </c>
      <c r="F260" t="str">
        <f>_xlfn.XLOOKUP(Log_Reseau_Master[[#This Row],[Cell_ID]],_29_03_2026_Registre_Maintenance_V2[ID_Antenne],_29_03_2026_Registre_Maintenance_V2[Province_RDC],"Pas de correspondance")</f>
        <v>Pas de correspondance</v>
      </c>
      <c r="G260" t="str">
        <f>_xlfn.XLOOKUP(Log_Reseau_Master[[#This Row],[Cell_ID]],_29_03_2026_Registre_Maintenance_V2[ID_Antenne],_29_03_2026_Registre_Maintenance_V2[Technologie],"Pas de correspondance")</f>
        <v>Pas de correspondance</v>
      </c>
      <c r="H260" t="str">
        <f>_xlfn.XLOOKUP(Log_Reseau_Master[[#This Row],[Cell_ID]],_29_03_2026_Registre_Maintenance_V2[ID_Antenne],_29_03_2026_Registre_Maintenance_V2[Equipementier],"Pas de correspondance")</f>
        <v>Pas de correspondance</v>
      </c>
    </row>
    <row r="261" spans="1:8" hidden="1" x14ac:dyDescent="0.25">
      <c r="A261" s="1">
        <v>45226.013194444444</v>
      </c>
      <c r="B261">
        <f>Log_Reseau_Master[[#This Row],[Duree_Panne_Min]]/1440</f>
        <v>7.4305555555555555E-2</v>
      </c>
      <c r="C261" t="s">
        <v>1418</v>
      </c>
      <c r="D261">
        <v>107</v>
      </c>
      <c r="E261" t="s">
        <v>1312</v>
      </c>
      <c r="F261" t="str">
        <f>_xlfn.XLOOKUP(Log_Reseau_Master[[#This Row],[Cell_ID]],_29_03_2026_Registre_Maintenance_V2[ID_Antenne],_29_03_2026_Registre_Maintenance_V2[Province_RDC],"Pas de correspondance")</f>
        <v>Pas de correspondance</v>
      </c>
      <c r="G261" t="str">
        <f>_xlfn.XLOOKUP(Log_Reseau_Master[[#This Row],[Cell_ID]],_29_03_2026_Registre_Maintenance_V2[ID_Antenne],_29_03_2026_Registre_Maintenance_V2[Technologie],"Pas de correspondance")</f>
        <v>Pas de correspondance</v>
      </c>
      <c r="H261" t="str">
        <f>_xlfn.XLOOKUP(Log_Reseau_Master[[#This Row],[Cell_ID]],_29_03_2026_Registre_Maintenance_V2[ID_Antenne],_29_03_2026_Registre_Maintenance_V2[Equipementier],"Pas de correspondance")</f>
        <v>Pas de correspondance</v>
      </c>
    </row>
    <row r="262" spans="1:8" x14ac:dyDescent="0.25">
      <c r="A262" s="1">
        <v>45228.086111111108</v>
      </c>
      <c r="B262" s="4">
        <f>Log_Reseau_Master[[#This Row],[Duree_Panne_Min]]/1440</f>
        <v>2.9861111111111113E-2</v>
      </c>
      <c r="C262" t="s">
        <v>493</v>
      </c>
      <c r="D262">
        <v>43</v>
      </c>
      <c r="E262" t="s">
        <v>1321</v>
      </c>
      <c r="F262" t="str">
        <f>_xlfn.XLOOKUP(Log_Reseau_Master[[#This Row],[Cell_ID]],_29_03_2026_Registre_Maintenance_V2[ID_Antenne],_29_03_2026_Registre_Maintenance_V2[Province_RDC],"Pas de correspondance")</f>
        <v>Sankuru</v>
      </c>
      <c r="G262" t="str">
        <f>_xlfn.XLOOKUP(Log_Reseau_Master[[#This Row],[Cell_ID]],_29_03_2026_Registre_Maintenance_V2[ID_Antenne],_29_03_2026_Registre_Maintenance_V2[Technologie],"Pas de correspondance")</f>
        <v>5G</v>
      </c>
      <c r="H262" t="str">
        <f>_xlfn.XLOOKUP(Log_Reseau_Master[[#This Row],[Cell_ID]],_29_03_2026_Registre_Maintenance_V2[ID_Antenne],_29_03_2026_Registre_Maintenance_V2[Equipementier],"Pas de correspondance")</f>
        <v>ZTE</v>
      </c>
    </row>
    <row r="263" spans="1:8" x14ac:dyDescent="0.25">
      <c r="A263" s="1">
        <v>45217.02847222222</v>
      </c>
      <c r="B263" s="4">
        <f>Log_Reseau_Master[[#This Row],[Duree_Panne_Min]]/1440</f>
        <v>8.3333333333333329E-2</v>
      </c>
      <c r="C263" t="s">
        <v>470</v>
      </c>
      <c r="D263">
        <v>120</v>
      </c>
      <c r="E263" t="s">
        <v>1321</v>
      </c>
      <c r="F263" t="str">
        <f>_xlfn.XLOOKUP(Log_Reseau_Master[[#This Row],[Cell_ID]],_29_03_2026_Registre_Maintenance_V2[ID_Antenne],_29_03_2026_Registre_Maintenance_V2[Province_RDC],"Pas de correspondance")</f>
        <v>Sud-Kivu</v>
      </c>
      <c r="G263" t="str">
        <f>_xlfn.XLOOKUP(Log_Reseau_Master[[#This Row],[Cell_ID]],_29_03_2026_Registre_Maintenance_V2[ID_Antenne],_29_03_2026_Registre_Maintenance_V2[Technologie],"Pas de correspondance")</f>
        <v>3G</v>
      </c>
      <c r="H263" t="str">
        <f>_xlfn.XLOOKUP(Log_Reseau_Master[[#This Row],[Cell_ID]],_29_03_2026_Registre_Maintenance_V2[ID_Antenne],_29_03_2026_Registre_Maintenance_V2[Equipementier],"Pas de correspondance")</f>
        <v>Nokia</v>
      </c>
    </row>
    <row r="264" spans="1:8" x14ac:dyDescent="0.25">
      <c r="A264" s="1">
        <v>45230.863888888889</v>
      </c>
      <c r="B264" s="4">
        <f>Log_Reseau_Master[[#This Row],[Duree_Panne_Min]]/1440</f>
        <v>3.9583333333333331E-2</v>
      </c>
      <c r="C264" t="s">
        <v>470</v>
      </c>
      <c r="D264">
        <v>57</v>
      </c>
      <c r="E264" t="s">
        <v>1314</v>
      </c>
      <c r="F264" t="str">
        <f>_xlfn.XLOOKUP(Log_Reseau_Master[[#This Row],[Cell_ID]],_29_03_2026_Registre_Maintenance_V2[ID_Antenne],_29_03_2026_Registre_Maintenance_V2[Province_RDC],"Pas de correspondance")</f>
        <v>Sud-Kivu</v>
      </c>
      <c r="G264" t="str">
        <f>_xlfn.XLOOKUP(Log_Reseau_Master[[#This Row],[Cell_ID]],_29_03_2026_Registre_Maintenance_V2[ID_Antenne],_29_03_2026_Registre_Maintenance_V2[Technologie],"Pas de correspondance")</f>
        <v>3G</v>
      </c>
      <c r="H264" t="str">
        <f>_xlfn.XLOOKUP(Log_Reseau_Master[[#This Row],[Cell_ID]],_29_03_2026_Registre_Maintenance_V2[ID_Antenne],_29_03_2026_Registre_Maintenance_V2[Equipementier],"Pas de correspondance")</f>
        <v>Nokia</v>
      </c>
    </row>
    <row r="265" spans="1:8" x14ac:dyDescent="0.25">
      <c r="A265" s="1">
        <v>45214.960416666669</v>
      </c>
      <c r="B265" s="4">
        <f>Log_Reseau_Master[[#This Row],[Duree_Panne_Min]]/1440</f>
        <v>2.6388888888888889E-2</v>
      </c>
      <c r="C265" t="s">
        <v>168</v>
      </c>
      <c r="D265">
        <v>38</v>
      </c>
      <c r="E265" t="s">
        <v>1314</v>
      </c>
      <c r="F265" t="str">
        <f>_xlfn.XLOOKUP(Log_Reseau_Master[[#This Row],[Cell_ID]],_29_03_2026_Registre_Maintenance_V2[ID_Antenne],_29_03_2026_Registre_Maintenance_V2[Province_RDC],"Pas de correspondance")</f>
        <v>Lualaba</v>
      </c>
      <c r="G265" t="str">
        <f>_xlfn.XLOOKUP(Log_Reseau_Master[[#This Row],[Cell_ID]],_29_03_2026_Registre_Maintenance_V2[ID_Antenne],_29_03_2026_Registre_Maintenance_V2[Technologie],"Pas de correspondance")</f>
        <v>3G</v>
      </c>
      <c r="H265" t="str">
        <f>_xlfn.XLOOKUP(Log_Reseau_Master[[#This Row],[Cell_ID]],_29_03_2026_Registre_Maintenance_V2[ID_Antenne],_29_03_2026_Registre_Maintenance_V2[Equipementier],"Pas de correspondance")</f>
        <v>Huawei</v>
      </c>
    </row>
    <row r="266" spans="1:8" hidden="1" x14ac:dyDescent="0.25">
      <c r="A266" s="1">
        <v>45203.89166666667</v>
      </c>
      <c r="B266">
        <f>Log_Reseau_Master[[#This Row],[Duree_Panne_Min]]/1440</f>
        <v>4.8611111111111112E-3</v>
      </c>
      <c r="C266" t="s">
        <v>1419</v>
      </c>
      <c r="D266">
        <v>7</v>
      </c>
      <c r="E266" t="s">
        <v>1312</v>
      </c>
      <c r="F266" t="str">
        <f>_xlfn.XLOOKUP(Log_Reseau_Master[[#This Row],[Cell_ID]],_29_03_2026_Registre_Maintenance_V2[ID_Antenne],_29_03_2026_Registre_Maintenance_V2[Province_RDC],"Pas de correspondance")</f>
        <v>Pas de correspondance</v>
      </c>
      <c r="G266" t="str">
        <f>_xlfn.XLOOKUP(Log_Reseau_Master[[#This Row],[Cell_ID]],_29_03_2026_Registre_Maintenance_V2[ID_Antenne],_29_03_2026_Registre_Maintenance_V2[Technologie],"Pas de correspondance")</f>
        <v>Pas de correspondance</v>
      </c>
      <c r="H266" t="str">
        <f>_xlfn.XLOOKUP(Log_Reseau_Master[[#This Row],[Cell_ID]],_29_03_2026_Registre_Maintenance_V2[ID_Antenne],_29_03_2026_Registre_Maintenance_V2[Equipementier],"Pas de correspondance")</f>
        <v>Pas de correspondance</v>
      </c>
    </row>
    <row r="267" spans="1:8" hidden="1" x14ac:dyDescent="0.25">
      <c r="A267" s="1">
        <v>45220.651388888888</v>
      </c>
      <c r="B267">
        <f>Log_Reseau_Master[[#This Row],[Duree_Panne_Min]]/1440</f>
        <v>2.5000000000000001E-2</v>
      </c>
      <c r="C267" t="s">
        <v>1419</v>
      </c>
      <c r="D267">
        <v>36</v>
      </c>
      <c r="E267" t="s">
        <v>1314</v>
      </c>
      <c r="F267" t="str">
        <f>_xlfn.XLOOKUP(Log_Reseau_Master[[#This Row],[Cell_ID]],_29_03_2026_Registre_Maintenance_V2[ID_Antenne],_29_03_2026_Registre_Maintenance_V2[Province_RDC],"Pas de correspondance")</f>
        <v>Pas de correspondance</v>
      </c>
      <c r="G267" t="str">
        <f>_xlfn.XLOOKUP(Log_Reseau_Master[[#This Row],[Cell_ID]],_29_03_2026_Registre_Maintenance_V2[ID_Antenne],_29_03_2026_Registre_Maintenance_V2[Technologie],"Pas de correspondance")</f>
        <v>Pas de correspondance</v>
      </c>
      <c r="H267" t="str">
        <f>_xlfn.XLOOKUP(Log_Reseau_Master[[#This Row],[Cell_ID]],_29_03_2026_Registre_Maintenance_V2[ID_Antenne],_29_03_2026_Registre_Maintenance_V2[Equipementier],"Pas de correspondance")</f>
        <v>Pas de correspondance</v>
      </c>
    </row>
    <row r="268" spans="1:8" hidden="1" x14ac:dyDescent="0.25">
      <c r="A268" s="1">
        <v>45212.315972222219</v>
      </c>
      <c r="B268">
        <f>Log_Reseau_Master[[#This Row],[Duree_Panne_Min]]/1440</f>
        <v>7.7777777777777779E-2</v>
      </c>
      <c r="C268" t="s">
        <v>1419</v>
      </c>
      <c r="D268">
        <v>112</v>
      </c>
      <c r="E268" t="s">
        <v>1314</v>
      </c>
      <c r="F268" t="str">
        <f>_xlfn.XLOOKUP(Log_Reseau_Master[[#This Row],[Cell_ID]],_29_03_2026_Registre_Maintenance_V2[ID_Antenne],_29_03_2026_Registre_Maintenance_V2[Province_RDC],"Pas de correspondance")</f>
        <v>Pas de correspondance</v>
      </c>
      <c r="G268" t="str">
        <f>_xlfn.XLOOKUP(Log_Reseau_Master[[#This Row],[Cell_ID]],_29_03_2026_Registre_Maintenance_V2[ID_Antenne],_29_03_2026_Registre_Maintenance_V2[Technologie],"Pas de correspondance")</f>
        <v>Pas de correspondance</v>
      </c>
      <c r="H268" t="str">
        <f>_xlfn.XLOOKUP(Log_Reseau_Master[[#This Row],[Cell_ID]],_29_03_2026_Registre_Maintenance_V2[ID_Antenne],_29_03_2026_Registre_Maintenance_V2[Equipementier],"Pas de correspondance")</f>
        <v>Pas de correspondance</v>
      </c>
    </row>
    <row r="269" spans="1:8" hidden="1" x14ac:dyDescent="0.25">
      <c r="A269" s="1">
        <v>45215.597916666666</v>
      </c>
      <c r="B269">
        <f>Log_Reseau_Master[[#This Row],[Duree_Panne_Min]]/1440</f>
        <v>4.8611111111111112E-3</v>
      </c>
      <c r="C269" t="s">
        <v>1419</v>
      </c>
      <c r="D269">
        <v>7</v>
      </c>
      <c r="E269" t="s">
        <v>1321</v>
      </c>
      <c r="F269" t="str">
        <f>_xlfn.XLOOKUP(Log_Reseau_Master[[#This Row],[Cell_ID]],_29_03_2026_Registre_Maintenance_V2[ID_Antenne],_29_03_2026_Registre_Maintenance_V2[Province_RDC],"Pas de correspondance")</f>
        <v>Pas de correspondance</v>
      </c>
      <c r="G269" t="str">
        <f>_xlfn.XLOOKUP(Log_Reseau_Master[[#This Row],[Cell_ID]],_29_03_2026_Registre_Maintenance_V2[ID_Antenne],_29_03_2026_Registre_Maintenance_V2[Technologie],"Pas de correspondance")</f>
        <v>Pas de correspondance</v>
      </c>
      <c r="H269" t="str">
        <f>_xlfn.XLOOKUP(Log_Reseau_Master[[#This Row],[Cell_ID]],_29_03_2026_Registre_Maintenance_V2[ID_Antenne],_29_03_2026_Registre_Maintenance_V2[Equipementier],"Pas de correspondance")</f>
        <v>Pas de correspondance</v>
      </c>
    </row>
    <row r="270" spans="1:8" hidden="1" x14ac:dyDescent="0.25">
      <c r="A270" s="1">
        <v>45207.350694444445</v>
      </c>
      <c r="B270">
        <f>Log_Reseau_Master[[#This Row],[Duree_Panne_Min]]/1440</f>
        <v>5.2083333333333336E-2</v>
      </c>
      <c r="C270" t="s">
        <v>1420</v>
      </c>
      <c r="D270">
        <v>75</v>
      </c>
      <c r="E270" t="s">
        <v>1321</v>
      </c>
      <c r="F270" t="str">
        <f>_xlfn.XLOOKUP(Log_Reseau_Master[[#This Row],[Cell_ID]],_29_03_2026_Registre_Maintenance_V2[ID_Antenne],_29_03_2026_Registre_Maintenance_V2[Province_RDC],"Pas de correspondance")</f>
        <v>Pas de correspondance</v>
      </c>
      <c r="G270" t="str">
        <f>_xlfn.XLOOKUP(Log_Reseau_Master[[#This Row],[Cell_ID]],_29_03_2026_Registre_Maintenance_V2[ID_Antenne],_29_03_2026_Registre_Maintenance_V2[Technologie],"Pas de correspondance")</f>
        <v>Pas de correspondance</v>
      </c>
      <c r="H270" t="str">
        <f>_xlfn.XLOOKUP(Log_Reseau_Master[[#This Row],[Cell_ID]],_29_03_2026_Registre_Maintenance_V2[ID_Antenne],_29_03_2026_Registre_Maintenance_V2[Equipementier],"Pas de correspondance")</f>
        <v>Pas de correspondance</v>
      </c>
    </row>
    <row r="271" spans="1:8" x14ac:dyDescent="0.25">
      <c r="A271" s="1">
        <v>45221.039583333331</v>
      </c>
      <c r="B271" s="4">
        <f>Log_Reseau_Master[[#This Row],[Duree_Panne_Min]]/1440</f>
        <v>2.2916666666666665E-2</v>
      </c>
      <c r="C271" t="s">
        <v>327</v>
      </c>
      <c r="D271">
        <v>33</v>
      </c>
      <c r="E271" t="s">
        <v>1312</v>
      </c>
      <c r="F271" t="str">
        <f>_xlfn.XLOOKUP(Log_Reseau_Master[[#This Row],[Cell_ID]],_29_03_2026_Registre_Maintenance_V2[ID_Antenne],_29_03_2026_Registre_Maintenance_V2[Province_RDC],"Pas de correspondance")</f>
        <v>Kinshasa</v>
      </c>
      <c r="G271" t="str">
        <f>_xlfn.XLOOKUP(Log_Reseau_Master[[#This Row],[Cell_ID]],_29_03_2026_Registre_Maintenance_V2[ID_Antenne],_29_03_2026_Registre_Maintenance_V2[Technologie],"Pas de correspondance")</f>
        <v>4G</v>
      </c>
      <c r="H271" t="str">
        <f>_xlfn.XLOOKUP(Log_Reseau_Master[[#This Row],[Cell_ID]],_29_03_2026_Registre_Maintenance_V2[ID_Antenne],_29_03_2026_Registre_Maintenance_V2[Equipementier],"Pas de correspondance")</f>
        <v>Huawei</v>
      </c>
    </row>
    <row r="272" spans="1:8" hidden="1" x14ac:dyDescent="0.25">
      <c r="A272" s="1">
        <v>45205.816666666666</v>
      </c>
      <c r="B272">
        <f>Log_Reseau_Master[[#This Row],[Duree_Panne_Min]]/1440</f>
        <v>2.2916666666666665E-2</v>
      </c>
      <c r="C272" t="s">
        <v>1421</v>
      </c>
      <c r="D272">
        <v>33</v>
      </c>
      <c r="E272" t="s">
        <v>1321</v>
      </c>
      <c r="F272" t="str">
        <f>_xlfn.XLOOKUP(Log_Reseau_Master[[#This Row],[Cell_ID]],_29_03_2026_Registre_Maintenance_V2[ID_Antenne],_29_03_2026_Registre_Maintenance_V2[Province_RDC],"Pas de correspondance")</f>
        <v>Pas de correspondance</v>
      </c>
      <c r="G272" t="str">
        <f>_xlfn.XLOOKUP(Log_Reseau_Master[[#This Row],[Cell_ID]],_29_03_2026_Registre_Maintenance_V2[ID_Antenne],_29_03_2026_Registre_Maintenance_V2[Technologie],"Pas de correspondance")</f>
        <v>Pas de correspondance</v>
      </c>
      <c r="H272" t="str">
        <f>_xlfn.XLOOKUP(Log_Reseau_Master[[#This Row],[Cell_ID]],_29_03_2026_Registre_Maintenance_V2[ID_Antenne],_29_03_2026_Registre_Maintenance_V2[Equipementier],"Pas de correspondance")</f>
        <v>Pas de correspondance</v>
      </c>
    </row>
    <row r="273" spans="1:8" x14ac:dyDescent="0.25">
      <c r="A273" s="1">
        <v>45201.293055555558</v>
      </c>
      <c r="B273" s="4">
        <f>Log_Reseau_Master[[#This Row],[Duree_Panne_Min]]/1440</f>
        <v>6.5972222222222224E-2</v>
      </c>
      <c r="C273" t="s">
        <v>350</v>
      </c>
      <c r="D273">
        <v>95</v>
      </c>
      <c r="E273" t="s">
        <v>1321</v>
      </c>
      <c r="F273" t="str">
        <f>_xlfn.XLOOKUP(Log_Reseau_Master[[#This Row],[Cell_ID]],_29_03_2026_Registre_Maintenance_V2[ID_Antenne],_29_03_2026_Registre_Maintenance_V2[Province_RDC],"Pas de correspondance")</f>
        <v>Lomami</v>
      </c>
      <c r="G273" t="str">
        <f>_xlfn.XLOOKUP(Log_Reseau_Master[[#This Row],[Cell_ID]],_29_03_2026_Registre_Maintenance_V2[ID_Antenne],_29_03_2026_Registre_Maintenance_V2[Technologie],"Pas de correspondance")</f>
        <v>4G</v>
      </c>
      <c r="H273" t="str">
        <f>_xlfn.XLOOKUP(Log_Reseau_Master[[#This Row],[Cell_ID]],_29_03_2026_Registre_Maintenance_V2[ID_Antenne],_29_03_2026_Registre_Maintenance_V2[Equipementier],"Pas de correspondance")</f>
        <v>Nokia</v>
      </c>
    </row>
    <row r="274" spans="1:8" x14ac:dyDescent="0.25">
      <c r="A274" s="1">
        <v>45200.466666666667</v>
      </c>
      <c r="B274" s="4">
        <f>Log_Reseau_Master[[#This Row],[Duree_Panne_Min]]/1440</f>
        <v>2.1527777777777778E-2</v>
      </c>
      <c r="C274" t="s">
        <v>350</v>
      </c>
      <c r="D274">
        <v>31</v>
      </c>
      <c r="E274" t="s">
        <v>1312</v>
      </c>
      <c r="F274" t="str">
        <f>_xlfn.XLOOKUP(Log_Reseau_Master[[#This Row],[Cell_ID]],_29_03_2026_Registre_Maintenance_V2[ID_Antenne],_29_03_2026_Registre_Maintenance_V2[Province_RDC],"Pas de correspondance")</f>
        <v>Lomami</v>
      </c>
      <c r="G274" t="str">
        <f>_xlfn.XLOOKUP(Log_Reseau_Master[[#This Row],[Cell_ID]],_29_03_2026_Registre_Maintenance_V2[ID_Antenne],_29_03_2026_Registre_Maintenance_V2[Technologie],"Pas de correspondance")</f>
        <v>4G</v>
      </c>
      <c r="H274" t="str">
        <f>_xlfn.XLOOKUP(Log_Reseau_Master[[#This Row],[Cell_ID]],_29_03_2026_Registre_Maintenance_V2[ID_Antenne],_29_03_2026_Registre_Maintenance_V2[Equipementier],"Pas de correspondance")</f>
        <v>Nokia</v>
      </c>
    </row>
    <row r="275" spans="1:8" hidden="1" x14ac:dyDescent="0.25">
      <c r="A275" s="1">
        <v>45200.511111111111</v>
      </c>
      <c r="B275">
        <f>Log_Reseau_Master[[#This Row],[Duree_Panne_Min]]/1440</f>
        <v>7.4999999999999997E-2</v>
      </c>
      <c r="C275" t="s">
        <v>1422</v>
      </c>
      <c r="D275">
        <v>108</v>
      </c>
      <c r="E275" t="s">
        <v>1321</v>
      </c>
      <c r="F275" t="str">
        <f>_xlfn.XLOOKUP(Log_Reseau_Master[[#This Row],[Cell_ID]],_29_03_2026_Registre_Maintenance_V2[ID_Antenne],_29_03_2026_Registre_Maintenance_V2[Province_RDC],"Pas de correspondance")</f>
        <v>Pas de correspondance</v>
      </c>
      <c r="G275" t="str">
        <f>_xlfn.XLOOKUP(Log_Reseau_Master[[#This Row],[Cell_ID]],_29_03_2026_Registre_Maintenance_V2[ID_Antenne],_29_03_2026_Registre_Maintenance_V2[Technologie],"Pas de correspondance")</f>
        <v>Pas de correspondance</v>
      </c>
      <c r="H275" t="str">
        <f>_xlfn.XLOOKUP(Log_Reseau_Master[[#This Row],[Cell_ID]],_29_03_2026_Registre_Maintenance_V2[ID_Antenne],_29_03_2026_Registre_Maintenance_V2[Equipementier],"Pas de correspondance")</f>
        <v>Pas de correspondance</v>
      </c>
    </row>
    <row r="276" spans="1:8" x14ac:dyDescent="0.25">
      <c r="A276" s="1">
        <v>45202.259722222225</v>
      </c>
      <c r="B276" s="4">
        <f>Log_Reseau_Master[[#This Row],[Duree_Panne_Min]]/1440</f>
        <v>5.486111111111111E-2</v>
      </c>
      <c r="C276" t="s">
        <v>31</v>
      </c>
      <c r="D276">
        <v>79</v>
      </c>
      <c r="E276" t="s">
        <v>1314</v>
      </c>
      <c r="F276" t="str">
        <f>_xlfn.XLOOKUP(Log_Reseau_Master[[#This Row],[Cell_ID]],_29_03_2026_Registre_Maintenance_V2[ID_Antenne],_29_03_2026_Registre_Maintenance_V2[Province_RDC],"Pas de correspondance")</f>
        <v>Kasai-Central</v>
      </c>
      <c r="G276" t="str">
        <f>_xlfn.XLOOKUP(Log_Reseau_Master[[#This Row],[Cell_ID]],_29_03_2026_Registre_Maintenance_V2[ID_Antenne],_29_03_2026_Registre_Maintenance_V2[Technologie],"Pas de correspondance")</f>
        <v>5G</v>
      </c>
      <c r="H276" t="str">
        <f>_xlfn.XLOOKUP(Log_Reseau_Master[[#This Row],[Cell_ID]],_29_03_2026_Registre_Maintenance_V2[ID_Antenne],_29_03_2026_Registre_Maintenance_V2[Equipementier],"Pas de correspondance")</f>
        <v>Ericsson</v>
      </c>
    </row>
    <row r="277" spans="1:8" x14ac:dyDescent="0.25">
      <c r="A277" s="1">
        <v>45221.180555555555</v>
      </c>
      <c r="B277" s="4">
        <f>Log_Reseau_Master[[#This Row],[Duree_Panne_Min]]/1440</f>
        <v>5.5555555555555558E-3</v>
      </c>
      <c r="C277" t="s">
        <v>31</v>
      </c>
      <c r="D277">
        <v>8</v>
      </c>
      <c r="E277" t="s">
        <v>1314</v>
      </c>
      <c r="F277" t="str">
        <f>_xlfn.XLOOKUP(Log_Reseau_Master[[#This Row],[Cell_ID]],_29_03_2026_Registre_Maintenance_V2[ID_Antenne],_29_03_2026_Registre_Maintenance_V2[Province_RDC],"Pas de correspondance")</f>
        <v>Kasai-Central</v>
      </c>
      <c r="G277" t="str">
        <f>_xlfn.XLOOKUP(Log_Reseau_Master[[#This Row],[Cell_ID]],_29_03_2026_Registre_Maintenance_V2[ID_Antenne],_29_03_2026_Registre_Maintenance_V2[Technologie],"Pas de correspondance")</f>
        <v>5G</v>
      </c>
      <c r="H277" t="str">
        <f>_xlfn.XLOOKUP(Log_Reseau_Master[[#This Row],[Cell_ID]],_29_03_2026_Registre_Maintenance_V2[ID_Antenne],_29_03_2026_Registre_Maintenance_V2[Equipementier],"Pas de correspondance")</f>
        <v>Ericsson</v>
      </c>
    </row>
    <row r="278" spans="1:8" x14ac:dyDescent="0.25">
      <c r="A278" s="1">
        <v>45226.17083333333</v>
      </c>
      <c r="B278" s="4">
        <f>Log_Reseau_Master[[#This Row],[Duree_Panne_Min]]/1440</f>
        <v>3.7499999999999999E-2</v>
      </c>
      <c r="C278" t="s">
        <v>127</v>
      </c>
      <c r="D278">
        <v>54</v>
      </c>
      <c r="E278" t="s">
        <v>1314</v>
      </c>
      <c r="F278" t="str">
        <f>_xlfn.XLOOKUP(Log_Reseau_Master[[#This Row],[Cell_ID]],_29_03_2026_Registre_Maintenance_V2[ID_Antenne],_29_03_2026_Registre_Maintenance_V2[Province_RDC],"Pas de correspondance")</f>
        <v>Tshuapa</v>
      </c>
      <c r="G278" t="str">
        <f>_xlfn.XLOOKUP(Log_Reseau_Master[[#This Row],[Cell_ID]],_29_03_2026_Registre_Maintenance_V2[ID_Antenne],_29_03_2026_Registre_Maintenance_V2[Technologie],"Pas de correspondance")</f>
        <v>5G</v>
      </c>
      <c r="H278" t="str">
        <f>_xlfn.XLOOKUP(Log_Reseau_Master[[#This Row],[Cell_ID]],_29_03_2026_Registre_Maintenance_V2[ID_Antenne],_29_03_2026_Registre_Maintenance_V2[Equipementier],"Pas de correspondance")</f>
        <v>ZTE</v>
      </c>
    </row>
    <row r="279" spans="1:8" x14ac:dyDescent="0.25">
      <c r="A279" s="1">
        <v>45213.254166666666</v>
      </c>
      <c r="B279" s="4">
        <f>Log_Reseau_Master[[#This Row],[Duree_Panne_Min]]/1440</f>
        <v>5.0694444444444445E-2</v>
      </c>
      <c r="C279" t="s">
        <v>127</v>
      </c>
      <c r="D279">
        <v>73</v>
      </c>
      <c r="E279" t="s">
        <v>1321</v>
      </c>
      <c r="F279" t="str">
        <f>_xlfn.XLOOKUP(Log_Reseau_Master[[#This Row],[Cell_ID]],_29_03_2026_Registre_Maintenance_V2[ID_Antenne],_29_03_2026_Registre_Maintenance_V2[Province_RDC],"Pas de correspondance")</f>
        <v>Tshuapa</v>
      </c>
      <c r="G279" t="str">
        <f>_xlfn.XLOOKUP(Log_Reseau_Master[[#This Row],[Cell_ID]],_29_03_2026_Registre_Maintenance_V2[ID_Antenne],_29_03_2026_Registre_Maintenance_V2[Technologie],"Pas de correspondance")</f>
        <v>5G</v>
      </c>
      <c r="H279" t="str">
        <f>_xlfn.XLOOKUP(Log_Reseau_Master[[#This Row],[Cell_ID]],_29_03_2026_Registre_Maintenance_V2[ID_Antenne],_29_03_2026_Registre_Maintenance_V2[Equipementier],"Pas de correspondance")</f>
        <v>ZTE</v>
      </c>
    </row>
    <row r="280" spans="1:8" hidden="1" x14ac:dyDescent="0.25">
      <c r="A280" s="1">
        <v>45210.890277777777</v>
      </c>
      <c r="B280">
        <f>Log_Reseau_Master[[#This Row],[Duree_Panne_Min]]/1440</f>
        <v>8.1944444444444445E-2</v>
      </c>
      <c r="C280" t="s">
        <v>1423</v>
      </c>
      <c r="D280">
        <v>118</v>
      </c>
      <c r="E280" t="s">
        <v>1314</v>
      </c>
      <c r="F280" t="str">
        <f>_xlfn.XLOOKUP(Log_Reseau_Master[[#This Row],[Cell_ID]],_29_03_2026_Registre_Maintenance_V2[ID_Antenne],_29_03_2026_Registre_Maintenance_V2[Province_RDC],"Pas de correspondance")</f>
        <v>Pas de correspondance</v>
      </c>
      <c r="G280" t="str">
        <f>_xlfn.XLOOKUP(Log_Reseau_Master[[#This Row],[Cell_ID]],_29_03_2026_Registre_Maintenance_V2[ID_Antenne],_29_03_2026_Registre_Maintenance_V2[Technologie],"Pas de correspondance")</f>
        <v>Pas de correspondance</v>
      </c>
      <c r="H280" t="str">
        <f>_xlfn.XLOOKUP(Log_Reseau_Master[[#This Row],[Cell_ID]],_29_03_2026_Registre_Maintenance_V2[ID_Antenne],_29_03_2026_Registre_Maintenance_V2[Equipementier],"Pas de correspondance")</f>
        <v>Pas de correspondance</v>
      </c>
    </row>
    <row r="281" spans="1:8" hidden="1" x14ac:dyDescent="0.25">
      <c r="A281" s="1">
        <v>45211.386111111111</v>
      </c>
      <c r="B281">
        <f>Log_Reseau_Master[[#This Row],[Duree_Panne_Min]]/1440</f>
        <v>9.0277777777777769E-3</v>
      </c>
      <c r="C281" t="s">
        <v>1423</v>
      </c>
      <c r="D281">
        <v>13</v>
      </c>
      <c r="E281" t="s">
        <v>1312</v>
      </c>
      <c r="F281" t="str">
        <f>_xlfn.XLOOKUP(Log_Reseau_Master[[#This Row],[Cell_ID]],_29_03_2026_Registre_Maintenance_V2[ID_Antenne],_29_03_2026_Registre_Maintenance_V2[Province_RDC],"Pas de correspondance")</f>
        <v>Pas de correspondance</v>
      </c>
      <c r="G281" t="str">
        <f>_xlfn.XLOOKUP(Log_Reseau_Master[[#This Row],[Cell_ID]],_29_03_2026_Registre_Maintenance_V2[ID_Antenne],_29_03_2026_Registre_Maintenance_V2[Technologie],"Pas de correspondance")</f>
        <v>Pas de correspondance</v>
      </c>
      <c r="H281" t="str">
        <f>_xlfn.XLOOKUP(Log_Reseau_Master[[#This Row],[Cell_ID]],_29_03_2026_Registre_Maintenance_V2[ID_Antenne],_29_03_2026_Registre_Maintenance_V2[Equipementier],"Pas de correspondance")</f>
        <v>Pas de correspondance</v>
      </c>
    </row>
    <row r="282" spans="1:8" hidden="1" x14ac:dyDescent="0.25">
      <c r="A282" s="1">
        <v>45225.859027777777</v>
      </c>
      <c r="B282">
        <f>Log_Reseau_Master[[#This Row],[Duree_Panne_Min]]/1440</f>
        <v>6.25E-2</v>
      </c>
      <c r="C282" t="s">
        <v>1423</v>
      </c>
      <c r="D282">
        <v>90</v>
      </c>
      <c r="E282" t="s">
        <v>1312</v>
      </c>
      <c r="F282" t="str">
        <f>_xlfn.XLOOKUP(Log_Reseau_Master[[#This Row],[Cell_ID]],_29_03_2026_Registre_Maintenance_V2[ID_Antenne],_29_03_2026_Registre_Maintenance_V2[Province_RDC],"Pas de correspondance")</f>
        <v>Pas de correspondance</v>
      </c>
      <c r="G282" t="str">
        <f>_xlfn.XLOOKUP(Log_Reseau_Master[[#This Row],[Cell_ID]],_29_03_2026_Registre_Maintenance_V2[ID_Antenne],_29_03_2026_Registre_Maintenance_V2[Technologie],"Pas de correspondance")</f>
        <v>Pas de correspondance</v>
      </c>
      <c r="H282" t="str">
        <f>_xlfn.XLOOKUP(Log_Reseau_Master[[#This Row],[Cell_ID]],_29_03_2026_Registre_Maintenance_V2[ID_Antenne],_29_03_2026_Registre_Maintenance_V2[Equipementier],"Pas de correspondance")</f>
        <v>Pas de correspondance</v>
      </c>
    </row>
    <row r="283" spans="1:8" hidden="1" x14ac:dyDescent="0.25">
      <c r="A283" s="1">
        <v>45205.96875</v>
      </c>
      <c r="B283">
        <f>Log_Reseau_Master[[#This Row],[Duree_Panne_Min]]/1440</f>
        <v>5.8333333333333334E-2</v>
      </c>
      <c r="C283" t="s">
        <v>1424</v>
      </c>
      <c r="D283">
        <v>84</v>
      </c>
      <c r="E283" t="s">
        <v>1312</v>
      </c>
      <c r="F283" t="str">
        <f>_xlfn.XLOOKUP(Log_Reseau_Master[[#This Row],[Cell_ID]],_29_03_2026_Registre_Maintenance_V2[ID_Antenne],_29_03_2026_Registre_Maintenance_V2[Province_RDC],"Pas de correspondance")</f>
        <v>Pas de correspondance</v>
      </c>
      <c r="G283" t="str">
        <f>_xlfn.XLOOKUP(Log_Reseau_Master[[#This Row],[Cell_ID]],_29_03_2026_Registre_Maintenance_V2[ID_Antenne],_29_03_2026_Registre_Maintenance_V2[Technologie],"Pas de correspondance")</f>
        <v>Pas de correspondance</v>
      </c>
      <c r="H283" t="str">
        <f>_xlfn.XLOOKUP(Log_Reseau_Master[[#This Row],[Cell_ID]],_29_03_2026_Registre_Maintenance_V2[ID_Antenne],_29_03_2026_Registre_Maintenance_V2[Equipementier],"Pas de correspondance")</f>
        <v>Pas de correspondance</v>
      </c>
    </row>
    <row r="284" spans="1:8" x14ac:dyDescent="0.25">
      <c r="A284" s="1">
        <v>45226.224999999999</v>
      </c>
      <c r="B284" s="4">
        <f>Log_Reseau_Master[[#This Row],[Duree_Panne_Min]]/1440</f>
        <v>7.6388888888888886E-3</v>
      </c>
      <c r="C284" t="s">
        <v>505</v>
      </c>
      <c r="D284">
        <v>11</v>
      </c>
      <c r="E284" t="s">
        <v>1312</v>
      </c>
      <c r="F284" t="str">
        <f>_xlfn.XLOOKUP(Log_Reseau_Master[[#This Row],[Cell_ID]],_29_03_2026_Registre_Maintenance_V2[ID_Antenne],_29_03_2026_Registre_Maintenance_V2[Province_RDC],"Pas de correspondance")</f>
        <v>Sankuru</v>
      </c>
      <c r="G284" t="str">
        <f>_xlfn.XLOOKUP(Log_Reseau_Master[[#This Row],[Cell_ID]],_29_03_2026_Registre_Maintenance_V2[ID_Antenne],_29_03_2026_Registre_Maintenance_V2[Technologie],"Pas de correspondance")</f>
        <v>4G</v>
      </c>
      <c r="H284" t="str">
        <f>_xlfn.XLOOKUP(Log_Reseau_Master[[#This Row],[Cell_ID]],_29_03_2026_Registre_Maintenance_V2[ID_Antenne],_29_03_2026_Registre_Maintenance_V2[Equipementier],"Pas de correspondance")</f>
        <v>Ericsson</v>
      </c>
    </row>
    <row r="285" spans="1:8" x14ac:dyDescent="0.25">
      <c r="A285" s="1">
        <v>45230.64166666667</v>
      </c>
      <c r="B285" s="4">
        <f>Log_Reseau_Master[[#This Row],[Duree_Panne_Min]]/1440</f>
        <v>7.3611111111111113E-2</v>
      </c>
      <c r="C285" t="s">
        <v>539</v>
      </c>
      <c r="D285">
        <v>106</v>
      </c>
      <c r="E285" t="s">
        <v>1314</v>
      </c>
      <c r="F285" t="str">
        <f>_xlfn.XLOOKUP(Log_Reseau_Master[[#This Row],[Cell_ID]],_29_03_2026_Registre_Maintenance_V2[ID_Antenne],_29_03_2026_Registre_Maintenance_V2[Province_RDC],"Pas de correspondance")</f>
        <v>Nord-Ubangi</v>
      </c>
      <c r="G285" t="str">
        <f>_xlfn.XLOOKUP(Log_Reseau_Master[[#This Row],[Cell_ID]],_29_03_2026_Registre_Maintenance_V2[ID_Antenne],_29_03_2026_Registre_Maintenance_V2[Technologie],"Pas de correspondance")</f>
        <v>5G</v>
      </c>
      <c r="H285" t="str">
        <f>_xlfn.XLOOKUP(Log_Reseau_Master[[#This Row],[Cell_ID]],_29_03_2026_Registre_Maintenance_V2[ID_Antenne],_29_03_2026_Registre_Maintenance_V2[Equipementier],"Pas de correspondance")</f>
        <v>Huawei</v>
      </c>
    </row>
    <row r="286" spans="1:8" hidden="1" x14ac:dyDescent="0.25">
      <c r="A286" s="1">
        <v>45229.756249999999</v>
      </c>
      <c r="B286">
        <f>Log_Reseau_Master[[#This Row],[Duree_Panne_Min]]/1440</f>
        <v>5.6944444444444443E-2</v>
      </c>
      <c r="C286" t="s">
        <v>1425</v>
      </c>
      <c r="D286">
        <v>82</v>
      </c>
      <c r="E286" t="s">
        <v>1321</v>
      </c>
      <c r="F286" t="str">
        <f>_xlfn.XLOOKUP(Log_Reseau_Master[[#This Row],[Cell_ID]],_29_03_2026_Registre_Maintenance_V2[ID_Antenne],_29_03_2026_Registre_Maintenance_V2[Province_RDC],"Pas de correspondance")</f>
        <v>Pas de correspondance</v>
      </c>
      <c r="G286" t="str">
        <f>_xlfn.XLOOKUP(Log_Reseau_Master[[#This Row],[Cell_ID]],_29_03_2026_Registre_Maintenance_V2[ID_Antenne],_29_03_2026_Registre_Maintenance_V2[Technologie],"Pas de correspondance")</f>
        <v>Pas de correspondance</v>
      </c>
      <c r="H286" t="str">
        <f>_xlfn.XLOOKUP(Log_Reseau_Master[[#This Row],[Cell_ID]],_29_03_2026_Registre_Maintenance_V2[ID_Antenne],_29_03_2026_Registre_Maintenance_V2[Equipementier],"Pas de correspondance")</f>
        <v>Pas de correspondance</v>
      </c>
    </row>
    <row r="287" spans="1:8" x14ac:dyDescent="0.25">
      <c r="A287" s="1">
        <v>45201.511805555558</v>
      </c>
      <c r="B287" s="4">
        <f>Log_Reseau_Master[[#This Row],[Duree_Panne_Min]]/1440</f>
        <v>4.3055555555555555E-2</v>
      </c>
      <c r="C287" t="s">
        <v>528</v>
      </c>
      <c r="D287">
        <v>62</v>
      </c>
      <c r="E287" t="s">
        <v>1312</v>
      </c>
      <c r="F287" t="str">
        <f>_xlfn.XLOOKUP(Log_Reseau_Master[[#This Row],[Cell_ID]],_29_03_2026_Registre_Maintenance_V2[ID_Antenne],_29_03_2026_Registre_Maintenance_V2[Province_RDC],"Pas de correspondance")</f>
        <v>Nord-Kivu</v>
      </c>
      <c r="G287" t="str">
        <f>_xlfn.XLOOKUP(Log_Reseau_Master[[#This Row],[Cell_ID]],_29_03_2026_Registre_Maintenance_V2[ID_Antenne],_29_03_2026_Registre_Maintenance_V2[Technologie],"Pas de correspondance")</f>
        <v>4G</v>
      </c>
      <c r="H287" t="str">
        <f>_xlfn.XLOOKUP(Log_Reseau_Master[[#This Row],[Cell_ID]],_29_03_2026_Registre_Maintenance_V2[ID_Antenne],_29_03_2026_Registre_Maintenance_V2[Equipementier],"Pas de correspondance")</f>
        <v>Huawei</v>
      </c>
    </row>
    <row r="288" spans="1:8" x14ac:dyDescent="0.25">
      <c r="A288" s="1">
        <v>45226.321527777778</v>
      </c>
      <c r="B288" s="4">
        <f>Log_Reseau_Master[[#This Row],[Duree_Panne_Min]]/1440</f>
        <v>1.5277777777777777E-2</v>
      </c>
      <c r="C288" t="s">
        <v>528</v>
      </c>
      <c r="D288">
        <v>22</v>
      </c>
      <c r="E288" t="s">
        <v>1321</v>
      </c>
      <c r="F288" t="str">
        <f>_xlfn.XLOOKUP(Log_Reseau_Master[[#This Row],[Cell_ID]],_29_03_2026_Registre_Maintenance_V2[ID_Antenne],_29_03_2026_Registre_Maintenance_V2[Province_RDC],"Pas de correspondance")</f>
        <v>Nord-Kivu</v>
      </c>
      <c r="G288" t="str">
        <f>_xlfn.XLOOKUP(Log_Reseau_Master[[#This Row],[Cell_ID]],_29_03_2026_Registre_Maintenance_V2[ID_Antenne],_29_03_2026_Registre_Maintenance_V2[Technologie],"Pas de correspondance")</f>
        <v>4G</v>
      </c>
      <c r="H288" t="str">
        <f>_xlfn.XLOOKUP(Log_Reseau_Master[[#This Row],[Cell_ID]],_29_03_2026_Registre_Maintenance_V2[ID_Antenne],_29_03_2026_Registre_Maintenance_V2[Equipementier],"Pas de correspondance")</f>
        <v>Huawei</v>
      </c>
    </row>
    <row r="289" spans="1:8" x14ac:dyDescent="0.25">
      <c r="A289" s="1">
        <v>45207.599305555559</v>
      </c>
      <c r="B289" s="4">
        <f>Log_Reseau_Master[[#This Row],[Duree_Panne_Min]]/1440</f>
        <v>4.0972222222222222E-2</v>
      </c>
      <c r="C289" t="s">
        <v>528</v>
      </c>
      <c r="D289">
        <v>59</v>
      </c>
      <c r="E289" t="s">
        <v>1314</v>
      </c>
      <c r="F289" t="str">
        <f>_xlfn.XLOOKUP(Log_Reseau_Master[[#This Row],[Cell_ID]],_29_03_2026_Registre_Maintenance_V2[ID_Antenne],_29_03_2026_Registre_Maintenance_V2[Province_RDC],"Pas de correspondance")</f>
        <v>Nord-Kivu</v>
      </c>
      <c r="G289" t="str">
        <f>_xlfn.XLOOKUP(Log_Reseau_Master[[#This Row],[Cell_ID]],_29_03_2026_Registre_Maintenance_V2[ID_Antenne],_29_03_2026_Registre_Maintenance_V2[Technologie],"Pas de correspondance")</f>
        <v>4G</v>
      </c>
      <c r="H289" t="str">
        <f>_xlfn.XLOOKUP(Log_Reseau_Master[[#This Row],[Cell_ID]],_29_03_2026_Registre_Maintenance_V2[ID_Antenne],_29_03_2026_Registre_Maintenance_V2[Equipementier],"Pas de correspondance")</f>
        <v>Huawei</v>
      </c>
    </row>
    <row r="290" spans="1:8" x14ac:dyDescent="0.25">
      <c r="A290" s="1">
        <v>45227.92291666667</v>
      </c>
      <c r="B290" s="4">
        <f>Log_Reseau_Master[[#This Row],[Duree_Panne_Min]]/1440</f>
        <v>1.8055555555555554E-2</v>
      </c>
      <c r="C290" t="s">
        <v>528</v>
      </c>
      <c r="D290">
        <v>26</v>
      </c>
      <c r="E290" t="s">
        <v>1321</v>
      </c>
      <c r="F290" t="str">
        <f>_xlfn.XLOOKUP(Log_Reseau_Master[[#This Row],[Cell_ID]],_29_03_2026_Registre_Maintenance_V2[ID_Antenne],_29_03_2026_Registre_Maintenance_V2[Province_RDC],"Pas de correspondance")</f>
        <v>Nord-Kivu</v>
      </c>
      <c r="G290" t="str">
        <f>_xlfn.XLOOKUP(Log_Reseau_Master[[#This Row],[Cell_ID]],_29_03_2026_Registre_Maintenance_V2[ID_Antenne],_29_03_2026_Registre_Maintenance_V2[Technologie],"Pas de correspondance")</f>
        <v>4G</v>
      </c>
      <c r="H290" t="str">
        <f>_xlfn.XLOOKUP(Log_Reseau_Master[[#This Row],[Cell_ID]],_29_03_2026_Registre_Maintenance_V2[ID_Antenne],_29_03_2026_Registre_Maintenance_V2[Equipementier],"Pas de correspondance")</f>
        <v>Huawei</v>
      </c>
    </row>
    <row r="291" spans="1:8" x14ac:dyDescent="0.25">
      <c r="A291" s="1">
        <v>45213.237500000003</v>
      </c>
      <c r="B291" s="4">
        <f>Log_Reseau_Master[[#This Row],[Duree_Panne_Min]]/1440</f>
        <v>4.7222222222222221E-2</v>
      </c>
      <c r="C291" t="s">
        <v>528</v>
      </c>
      <c r="D291">
        <v>68</v>
      </c>
      <c r="E291" t="s">
        <v>1321</v>
      </c>
      <c r="F291" t="str">
        <f>_xlfn.XLOOKUP(Log_Reseau_Master[[#This Row],[Cell_ID]],_29_03_2026_Registre_Maintenance_V2[ID_Antenne],_29_03_2026_Registre_Maintenance_V2[Province_RDC],"Pas de correspondance")</f>
        <v>Nord-Kivu</v>
      </c>
      <c r="G291" t="str">
        <f>_xlfn.XLOOKUP(Log_Reseau_Master[[#This Row],[Cell_ID]],_29_03_2026_Registre_Maintenance_V2[ID_Antenne],_29_03_2026_Registre_Maintenance_V2[Technologie],"Pas de correspondance")</f>
        <v>4G</v>
      </c>
      <c r="H291" t="str">
        <f>_xlfn.XLOOKUP(Log_Reseau_Master[[#This Row],[Cell_ID]],_29_03_2026_Registre_Maintenance_V2[ID_Antenne],_29_03_2026_Registre_Maintenance_V2[Equipementier],"Pas de correspondance")</f>
        <v>Huawei</v>
      </c>
    </row>
    <row r="292" spans="1:8" x14ac:dyDescent="0.25">
      <c r="A292" s="1">
        <v>45217.173611111109</v>
      </c>
      <c r="B292" s="4">
        <f>Log_Reseau_Master[[#This Row],[Duree_Panne_Min]]/1440</f>
        <v>3.6805555555555557E-2</v>
      </c>
      <c r="C292" t="s">
        <v>356</v>
      </c>
      <c r="D292">
        <v>53</v>
      </c>
      <c r="E292" t="s">
        <v>1312</v>
      </c>
      <c r="F292" t="str">
        <f>_xlfn.XLOOKUP(Log_Reseau_Master[[#This Row],[Cell_ID]],_29_03_2026_Registre_Maintenance_V2[ID_Antenne],_29_03_2026_Registre_Maintenance_V2[Province_RDC],"Pas de correspondance")</f>
        <v>Kinshasa</v>
      </c>
      <c r="G292" t="str">
        <f>_xlfn.XLOOKUP(Log_Reseau_Master[[#This Row],[Cell_ID]],_29_03_2026_Registre_Maintenance_V2[ID_Antenne],_29_03_2026_Registre_Maintenance_V2[Technologie],"Pas de correspondance")</f>
        <v>4G</v>
      </c>
      <c r="H292" t="str">
        <f>_xlfn.XLOOKUP(Log_Reseau_Master[[#This Row],[Cell_ID]],_29_03_2026_Registre_Maintenance_V2[ID_Antenne],_29_03_2026_Registre_Maintenance_V2[Equipementier],"Pas de correspondance")</f>
        <v>Ericsson</v>
      </c>
    </row>
    <row r="293" spans="1:8" x14ac:dyDescent="0.25">
      <c r="A293" s="1">
        <v>45200.525694444441</v>
      </c>
      <c r="B293" s="4">
        <f>Log_Reseau_Master[[#This Row],[Duree_Panne_Min]]/1440</f>
        <v>6.1111111111111109E-2</v>
      </c>
      <c r="C293" t="s">
        <v>356</v>
      </c>
      <c r="D293">
        <v>88</v>
      </c>
      <c r="E293" t="s">
        <v>1321</v>
      </c>
      <c r="F293" t="str">
        <f>_xlfn.XLOOKUP(Log_Reseau_Master[[#This Row],[Cell_ID]],_29_03_2026_Registre_Maintenance_V2[ID_Antenne],_29_03_2026_Registre_Maintenance_V2[Province_RDC],"Pas de correspondance")</f>
        <v>Kinshasa</v>
      </c>
      <c r="G293" t="str">
        <f>_xlfn.XLOOKUP(Log_Reseau_Master[[#This Row],[Cell_ID]],_29_03_2026_Registre_Maintenance_V2[ID_Antenne],_29_03_2026_Registre_Maintenance_V2[Technologie],"Pas de correspondance")</f>
        <v>4G</v>
      </c>
      <c r="H293" t="str">
        <f>_xlfn.XLOOKUP(Log_Reseau_Master[[#This Row],[Cell_ID]],_29_03_2026_Registre_Maintenance_V2[ID_Antenne],_29_03_2026_Registre_Maintenance_V2[Equipementier],"Pas de correspondance")</f>
        <v>Ericsson</v>
      </c>
    </row>
    <row r="294" spans="1:8" x14ac:dyDescent="0.25">
      <c r="A294" s="1">
        <v>45225.712500000001</v>
      </c>
      <c r="B294" s="4">
        <f>Log_Reseau_Master[[#This Row],[Duree_Panne_Min]]/1440</f>
        <v>1.7361111111111112E-2</v>
      </c>
      <c r="C294" t="s">
        <v>449</v>
      </c>
      <c r="D294">
        <v>25</v>
      </c>
      <c r="E294" t="s">
        <v>1314</v>
      </c>
      <c r="F294" t="str">
        <f>_xlfn.XLOOKUP(Log_Reseau_Master[[#This Row],[Cell_ID]],_29_03_2026_Registre_Maintenance_V2[ID_Antenne],_29_03_2026_Registre_Maintenance_V2[Province_RDC],"Pas de correspondance")</f>
        <v>Haut-Katanga</v>
      </c>
      <c r="G294" t="str">
        <f>_xlfn.XLOOKUP(Log_Reseau_Master[[#This Row],[Cell_ID]],_29_03_2026_Registre_Maintenance_V2[ID_Antenne],_29_03_2026_Registre_Maintenance_V2[Technologie],"Pas de correspondance")</f>
        <v>4G</v>
      </c>
      <c r="H294" t="str">
        <f>_xlfn.XLOOKUP(Log_Reseau_Master[[#This Row],[Cell_ID]],_29_03_2026_Registre_Maintenance_V2[ID_Antenne],_29_03_2026_Registre_Maintenance_V2[Equipementier],"Pas de correspondance")</f>
        <v>Ericsson</v>
      </c>
    </row>
    <row r="295" spans="1:8" x14ac:dyDescent="0.25">
      <c r="A295" s="1">
        <v>45206.286805555559</v>
      </c>
      <c r="B295" s="4">
        <f>Log_Reseau_Master[[#This Row],[Duree_Panne_Min]]/1440</f>
        <v>6.6666666666666666E-2</v>
      </c>
      <c r="C295" t="s">
        <v>449</v>
      </c>
      <c r="D295">
        <v>96</v>
      </c>
      <c r="E295" t="s">
        <v>1312</v>
      </c>
      <c r="F295" t="str">
        <f>_xlfn.XLOOKUP(Log_Reseau_Master[[#This Row],[Cell_ID]],_29_03_2026_Registre_Maintenance_V2[ID_Antenne],_29_03_2026_Registre_Maintenance_V2[Province_RDC],"Pas de correspondance")</f>
        <v>Haut-Katanga</v>
      </c>
      <c r="G295" t="str">
        <f>_xlfn.XLOOKUP(Log_Reseau_Master[[#This Row],[Cell_ID]],_29_03_2026_Registre_Maintenance_V2[ID_Antenne],_29_03_2026_Registre_Maintenance_V2[Technologie],"Pas de correspondance")</f>
        <v>4G</v>
      </c>
      <c r="H295" t="str">
        <f>_xlfn.XLOOKUP(Log_Reseau_Master[[#This Row],[Cell_ID]],_29_03_2026_Registre_Maintenance_V2[ID_Antenne],_29_03_2026_Registre_Maintenance_V2[Equipementier],"Pas de correspondance")</f>
        <v>Ericsson</v>
      </c>
    </row>
    <row r="296" spans="1:8" x14ac:dyDescent="0.25">
      <c r="A296" s="1">
        <v>45209.938888888886</v>
      </c>
      <c r="B296" s="4">
        <f>Log_Reseau_Master[[#This Row],[Duree_Panne_Min]]/1440</f>
        <v>2.5694444444444443E-2</v>
      </c>
      <c r="C296" t="s">
        <v>449</v>
      </c>
      <c r="D296">
        <v>37</v>
      </c>
      <c r="E296" t="s">
        <v>1312</v>
      </c>
      <c r="F296" t="str">
        <f>_xlfn.XLOOKUP(Log_Reseau_Master[[#This Row],[Cell_ID]],_29_03_2026_Registre_Maintenance_V2[ID_Antenne],_29_03_2026_Registre_Maintenance_V2[Province_RDC],"Pas de correspondance")</f>
        <v>Haut-Katanga</v>
      </c>
      <c r="G296" t="str">
        <f>_xlfn.XLOOKUP(Log_Reseau_Master[[#This Row],[Cell_ID]],_29_03_2026_Registre_Maintenance_V2[ID_Antenne],_29_03_2026_Registre_Maintenance_V2[Technologie],"Pas de correspondance")</f>
        <v>4G</v>
      </c>
      <c r="H296" t="str">
        <f>_xlfn.XLOOKUP(Log_Reseau_Master[[#This Row],[Cell_ID]],_29_03_2026_Registre_Maintenance_V2[ID_Antenne],_29_03_2026_Registre_Maintenance_V2[Equipementier],"Pas de correspondance")</f>
        <v>Ericsson</v>
      </c>
    </row>
    <row r="297" spans="1:8" x14ac:dyDescent="0.25">
      <c r="A297" s="1">
        <v>45220.436805555553</v>
      </c>
      <c r="B297" s="4">
        <f>Log_Reseau_Master[[#This Row],[Duree_Panne_Min]]/1440</f>
        <v>4.4444444444444446E-2</v>
      </c>
      <c r="C297" t="s">
        <v>449</v>
      </c>
      <c r="D297">
        <v>64</v>
      </c>
      <c r="E297" t="s">
        <v>1312</v>
      </c>
      <c r="F297" t="str">
        <f>_xlfn.XLOOKUP(Log_Reseau_Master[[#This Row],[Cell_ID]],_29_03_2026_Registre_Maintenance_V2[ID_Antenne],_29_03_2026_Registre_Maintenance_V2[Province_RDC],"Pas de correspondance")</f>
        <v>Haut-Katanga</v>
      </c>
      <c r="G297" t="str">
        <f>_xlfn.XLOOKUP(Log_Reseau_Master[[#This Row],[Cell_ID]],_29_03_2026_Registre_Maintenance_V2[ID_Antenne],_29_03_2026_Registre_Maintenance_V2[Technologie],"Pas de correspondance")</f>
        <v>4G</v>
      </c>
      <c r="H297" t="str">
        <f>_xlfn.XLOOKUP(Log_Reseau_Master[[#This Row],[Cell_ID]],_29_03_2026_Registre_Maintenance_V2[ID_Antenne],_29_03_2026_Registre_Maintenance_V2[Equipementier],"Pas de correspondance")</f>
        <v>Ericsson</v>
      </c>
    </row>
    <row r="298" spans="1:8" x14ac:dyDescent="0.25">
      <c r="A298" s="1">
        <v>45200.51458333333</v>
      </c>
      <c r="B298" s="4">
        <f>Log_Reseau_Master[[#This Row],[Duree_Panne_Min]]/1440</f>
        <v>1.6666666666666666E-2</v>
      </c>
      <c r="C298" t="s">
        <v>531</v>
      </c>
      <c r="D298">
        <v>24</v>
      </c>
      <c r="E298" t="s">
        <v>1321</v>
      </c>
      <c r="F298" t="str">
        <f>_xlfn.XLOOKUP(Log_Reseau_Master[[#This Row],[Cell_ID]],_29_03_2026_Registre_Maintenance_V2[ID_Antenne],_29_03_2026_Registre_Maintenance_V2[Province_RDC],"Pas de correspondance")</f>
        <v>Tshuapa</v>
      </c>
      <c r="G298" t="str">
        <f>_xlfn.XLOOKUP(Log_Reseau_Master[[#This Row],[Cell_ID]],_29_03_2026_Registre_Maintenance_V2[ID_Antenne],_29_03_2026_Registre_Maintenance_V2[Technologie],"Pas de correspondance")</f>
        <v>5G</v>
      </c>
      <c r="H298" t="str">
        <f>_xlfn.XLOOKUP(Log_Reseau_Master[[#This Row],[Cell_ID]],_29_03_2026_Registre_Maintenance_V2[ID_Antenne],_29_03_2026_Registre_Maintenance_V2[Equipementier],"Pas de correspondance")</f>
        <v>ZTE</v>
      </c>
    </row>
    <row r="299" spans="1:8" x14ac:dyDescent="0.25">
      <c r="A299" s="1">
        <v>45216.701388888891</v>
      </c>
      <c r="B299" s="4">
        <f>Log_Reseau_Master[[#This Row],[Duree_Panne_Min]]/1440</f>
        <v>5.5555555555555552E-2</v>
      </c>
      <c r="C299" t="s">
        <v>531</v>
      </c>
      <c r="D299">
        <v>80</v>
      </c>
      <c r="E299" t="s">
        <v>1314</v>
      </c>
      <c r="F299" t="str">
        <f>_xlfn.XLOOKUP(Log_Reseau_Master[[#This Row],[Cell_ID]],_29_03_2026_Registre_Maintenance_V2[ID_Antenne],_29_03_2026_Registre_Maintenance_V2[Province_RDC],"Pas de correspondance")</f>
        <v>Tshuapa</v>
      </c>
      <c r="G299" t="str">
        <f>_xlfn.XLOOKUP(Log_Reseau_Master[[#This Row],[Cell_ID]],_29_03_2026_Registre_Maintenance_V2[ID_Antenne],_29_03_2026_Registre_Maintenance_V2[Technologie],"Pas de correspondance")</f>
        <v>5G</v>
      </c>
      <c r="H299" t="str">
        <f>_xlfn.XLOOKUP(Log_Reseau_Master[[#This Row],[Cell_ID]],_29_03_2026_Registre_Maintenance_V2[ID_Antenne],_29_03_2026_Registre_Maintenance_V2[Equipementier],"Pas de correspondance")</f>
        <v>ZTE</v>
      </c>
    </row>
    <row r="300" spans="1:8" x14ac:dyDescent="0.25">
      <c r="A300" s="1">
        <v>45202.699305555558</v>
      </c>
      <c r="B300" s="4">
        <f>Log_Reseau_Master[[#This Row],[Duree_Panne_Min]]/1440</f>
        <v>4.3749999999999997E-2</v>
      </c>
      <c r="C300" t="s">
        <v>20</v>
      </c>
      <c r="D300">
        <v>63</v>
      </c>
      <c r="E300" t="s">
        <v>1312</v>
      </c>
      <c r="F300" t="str">
        <f>_xlfn.XLOOKUP(Log_Reseau_Master[[#This Row],[Cell_ID]],_29_03_2026_Registre_Maintenance_V2[ID_Antenne],_29_03_2026_Registre_Maintenance_V2[Province_RDC],"Pas de correspondance")</f>
        <v>Tshopo</v>
      </c>
      <c r="G300" t="str">
        <f>_xlfn.XLOOKUP(Log_Reseau_Master[[#This Row],[Cell_ID]],_29_03_2026_Registre_Maintenance_V2[ID_Antenne],_29_03_2026_Registre_Maintenance_V2[Technologie],"Pas de correspondance")</f>
        <v>5G</v>
      </c>
      <c r="H300" t="str">
        <f>_xlfn.XLOOKUP(Log_Reseau_Master[[#This Row],[Cell_ID]],_29_03_2026_Registre_Maintenance_V2[ID_Antenne],_29_03_2026_Registre_Maintenance_V2[Equipementier],"Pas de correspondance")</f>
        <v>ZTE</v>
      </c>
    </row>
    <row r="301" spans="1:8" hidden="1" x14ac:dyDescent="0.25">
      <c r="A301" s="1">
        <v>45222.602777777778</v>
      </c>
      <c r="B301">
        <f>Log_Reseau_Master[[#This Row],[Duree_Panne_Min]]/1440</f>
        <v>3.6805555555555557E-2</v>
      </c>
      <c r="C301" t="s">
        <v>1426</v>
      </c>
      <c r="D301">
        <v>53</v>
      </c>
      <c r="E301" t="s">
        <v>1312</v>
      </c>
      <c r="F301" t="str">
        <f>_xlfn.XLOOKUP(Log_Reseau_Master[[#This Row],[Cell_ID]],_29_03_2026_Registre_Maintenance_V2[ID_Antenne],_29_03_2026_Registre_Maintenance_V2[Province_RDC],"Pas de correspondance")</f>
        <v>Pas de correspondance</v>
      </c>
      <c r="G301" t="str">
        <f>_xlfn.XLOOKUP(Log_Reseau_Master[[#This Row],[Cell_ID]],_29_03_2026_Registre_Maintenance_V2[ID_Antenne],_29_03_2026_Registre_Maintenance_V2[Technologie],"Pas de correspondance")</f>
        <v>Pas de correspondance</v>
      </c>
      <c r="H301" t="str">
        <f>_xlfn.XLOOKUP(Log_Reseau_Master[[#This Row],[Cell_ID]],_29_03_2026_Registre_Maintenance_V2[ID_Antenne],_29_03_2026_Registre_Maintenance_V2[Equipementier],"Pas de correspondance")</f>
        <v>Pas de correspondance</v>
      </c>
    </row>
    <row r="302" spans="1:8" hidden="1" x14ac:dyDescent="0.25">
      <c r="A302" s="1">
        <v>45223.568055555559</v>
      </c>
      <c r="B302">
        <f>Log_Reseau_Master[[#This Row],[Duree_Panne_Min]]/1440</f>
        <v>1.4583333333333334E-2</v>
      </c>
      <c r="C302" t="s">
        <v>1427</v>
      </c>
      <c r="D302">
        <v>21</v>
      </c>
      <c r="E302" t="s">
        <v>1314</v>
      </c>
      <c r="F302" t="str">
        <f>_xlfn.XLOOKUP(Log_Reseau_Master[[#This Row],[Cell_ID]],_29_03_2026_Registre_Maintenance_V2[ID_Antenne],_29_03_2026_Registre_Maintenance_V2[Province_RDC],"Pas de correspondance")</f>
        <v>Pas de correspondance</v>
      </c>
      <c r="G302" t="str">
        <f>_xlfn.XLOOKUP(Log_Reseau_Master[[#This Row],[Cell_ID]],_29_03_2026_Registre_Maintenance_V2[ID_Antenne],_29_03_2026_Registre_Maintenance_V2[Technologie],"Pas de correspondance")</f>
        <v>Pas de correspondance</v>
      </c>
      <c r="H302" t="str">
        <f>_xlfn.XLOOKUP(Log_Reseau_Master[[#This Row],[Cell_ID]],_29_03_2026_Registre_Maintenance_V2[ID_Antenne],_29_03_2026_Registre_Maintenance_V2[Equipementier],"Pas de correspondance")</f>
        <v>Pas de correspondance</v>
      </c>
    </row>
    <row r="303" spans="1:8" hidden="1" x14ac:dyDescent="0.25">
      <c r="A303" s="1">
        <v>45223.693055555559</v>
      </c>
      <c r="B303">
        <f>Log_Reseau_Master[[#This Row],[Duree_Panne_Min]]/1440</f>
        <v>1.2500000000000001E-2</v>
      </c>
      <c r="C303" t="s">
        <v>1427</v>
      </c>
      <c r="D303">
        <v>18</v>
      </c>
      <c r="E303" t="s">
        <v>1312</v>
      </c>
      <c r="F303" t="str">
        <f>_xlfn.XLOOKUP(Log_Reseau_Master[[#This Row],[Cell_ID]],_29_03_2026_Registre_Maintenance_V2[ID_Antenne],_29_03_2026_Registre_Maintenance_V2[Province_RDC],"Pas de correspondance")</f>
        <v>Pas de correspondance</v>
      </c>
      <c r="G303" t="str">
        <f>_xlfn.XLOOKUP(Log_Reseau_Master[[#This Row],[Cell_ID]],_29_03_2026_Registre_Maintenance_V2[ID_Antenne],_29_03_2026_Registre_Maintenance_V2[Technologie],"Pas de correspondance")</f>
        <v>Pas de correspondance</v>
      </c>
      <c r="H303" t="str">
        <f>_xlfn.XLOOKUP(Log_Reseau_Master[[#This Row],[Cell_ID]],_29_03_2026_Registre_Maintenance_V2[ID_Antenne],_29_03_2026_Registre_Maintenance_V2[Equipementier],"Pas de correspondance")</f>
        <v>Pas de correspondance</v>
      </c>
    </row>
    <row r="304" spans="1:8" x14ac:dyDescent="0.25">
      <c r="A304" s="1">
        <v>45209.913888888892</v>
      </c>
      <c r="B304" s="4">
        <f>Log_Reseau_Master[[#This Row],[Duree_Panne_Min]]/1440</f>
        <v>7.7083333333333337E-2</v>
      </c>
      <c r="C304" t="s">
        <v>443</v>
      </c>
      <c r="D304">
        <v>111</v>
      </c>
      <c r="E304" t="s">
        <v>1321</v>
      </c>
      <c r="F304" t="str">
        <f>_xlfn.XLOOKUP(Log_Reseau_Master[[#This Row],[Cell_ID]],_29_03_2026_Registre_Maintenance_V2[ID_Antenne],_29_03_2026_Registre_Maintenance_V2[Province_RDC],"Pas de correspondance")</f>
        <v>Bas-Uele</v>
      </c>
      <c r="G304" t="str">
        <f>_xlfn.XLOOKUP(Log_Reseau_Master[[#This Row],[Cell_ID]],_29_03_2026_Registre_Maintenance_V2[ID_Antenne],_29_03_2026_Registre_Maintenance_V2[Technologie],"Pas de correspondance")</f>
        <v>3G</v>
      </c>
      <c r="H304" t="str">
        <f>_xlfn.XLOOKUP(Log_Reseau_Master[[#This Row],[Cell_ID]],_29_03_2026_Registre_Maintenance_V2[ID_Antenne],_29_03_2026_Registre_Maintenance_V2[Equipementier],"Pas de correspondance")</f>
        <v>Ericsson</v>
      </c>
    </row>
    <row r="305" spans="1:8" x14ac:dyDescent="0.25">
      <c r="A305" s="1">
        <v>45216.970138888886</v>
      </c>
      <c r="B305" s="4">
        <f>Log_Reseau_Master[[#This Row],[Duree_Panne_Min]]/1440</f>
        <v>9.0277777777777769E-3</v>
      </c>
      <c r="C305" t="s">
        <v>443</v>
      </c>
      <c r="D305">
        <v>13</v>
      </c>
      <c r="E305" t="s">
        <v>1321</v>
      </c>
      <c r="F305" t="str">
        <f>_xlfn.XLOOKUP(Log_Reseau_Master[[#This Row],[Cell_ID]],_29_03_2026_Registre_Maintenance_V2[ID_Antenne],_29_03_2026_Registre_Maintenance_V2[Province_RDC],"Pas de correspondance")</f>
        <v>Bas-Uele</v>
      </c>
      <c r="G305" t="str">
        <f>_xlfn.XLOOKUP(Log_Reseau_Master[[#This Row],[Cell_ID]],_29_03_2026_Registre_Maintenance_V2[ID_Antenne],_29_03_2026_Registre_Maintenance_V2[Technologie],"Pas de correspondance")</f>
        <v>3G</v>
      </c>
      <c r="H305" t="str">
        <f>_xlfn.XLOOKUP(Log_Reseau_Master[[#This Row],[Cell_ID]],_29_03_2026_Registre_Maintenance_V2[ID_Antenne],_29_03_2026_Registre_Maintenance_V2[Equipementier],"Pas de correspondance")</f>
        <v>Ericsson</v>
      </c>
    </row>
    <row r="306" spans="1:8" x14ac:dyDescent="0.25">
      <c r="A306" s="1">
        <v>45202.412499999999</v>
      </c>
      <c r="B306" s="4">
        <f>Log_Reseau_Master[[#This Row],[Duree_Panne_Min]]/1440</f>
        <v>2.4305555555555556E-2</v>
      </c>
      <c r="C306" t="s">
        <v>443</v>
      </c>
      <c r="D306">
        <v>35</v>
      </c>
      <c r="E306" t="s">
        <v>1314</v>
      </c>
      <c r="F306" t="str">
        <f>_xlfn.XLOOKUP(Log_Reseau_Master[[#This Row],[Cell_ID]],_29_03_2026_Registre_Maintenance_V2[ID_Antenne],_29_03_2026_Registre_Maintenance_V2[Province_RDC],"Pas de correspondance")</f>
        <v>Bas-Uele</v>
      </c>
      <c r="G306" t="str">
        <f>_xlfn.XLOOKUP(Log_Reseau_Master[[#This Row],[Cell_ID]],_29_03_2026_Registre_Maintenance_V2[ID_Antenne],_29_03_2026_Registre_Maintenance_V2[Technologie],"Pas de correspondance")</f>
        <v>3G</v>
      </c>
      <c r="H306" t="str">
        <f>_xlfn.XLOOKUP(Log_Reseau_Master[[#This Row],[Cell_ID]],_29_03_2026_Registre_Maintenance_V2[ID_Antenne],_29_03_2026_Registre_Maintenance_V2[Equipementier],"Pas de correspondance")</f>
        <v>Ericsson</v>
      </c>
    </row>
    <row r="307" spans="1:8" x14ac:dyDescent="0.25">
      <c r="A307" s="1">
        <v>45219.103472222225</v>
      </c>
      <c r="B307" s="4">
        <f>Log_Reseau_Master[[#This Row],[Duree_Panne_Min]]/1440</f>
        <v>0.05</v>
      </c>
      <c r="C307" t="s">
        <v>417</v>
      </c>
      <c r="D307">
        <v>72</v>
      </c>
      <c r="E307" t="s">
        <v>1312</v>
      </c>
      <c r="F307" t="str">
        <f>_xlfn.XLOOKUP(Log_Reseau_Master[[#This Row],[Cell_ID]],_29_03_2026_Registre_Maintenance_V2[ID_Antenne],_29_03_2026_Registre_Maintenance_V2[Province_RDC],"Pas de correspondance")</f>
        <v>Lomami</v>
      </c>
      <c r="G307" t="str">
        <f>_xlfn.XLOOKUP(Log_Reseau_Master[[#This Row],[Cell_ID]],_29_03_2026_Registre_Maintenance_V2[ID_Antenne],_29_03_2026_Registre_Maintenance_V2[Technologie],"Pas de correspondance")</f>
        <v>5G</v>
      </c>
      <c r="H307" t="str">
        <f>_xlfn.XLOOKUP(Log_Reseau_Master[[#This Row],[Cell_ID]],_29_03_2026_Registre_Maintenance_V2[ID_Antenne],_29_03_2026_Registre_Maintenance_V2[Equipementier],"Pas de correspondance")</f>
        <v>Nokia</v>
      </c>
    </row>
    <row r="308" spans="1:8" x14ac:dyDescent="0.25">
      <c r="A308" s="1">
        <v>45230.228472222225</v>
      </c>
      <c r="B308" s="4">
        <f>Log_Reseau_Master[[#This Row],[Duree_Panne_Min]]/1440</f>
        <v>2.7083333333333334E-2</v>
      </c>
      <c r="C308" t="s">
        <v>417</v>
      </c>
      <c r="D308">
        <v>39</v>
      </c>
      <c r="E308" t="s">
        <v>1321</v>
      </c>
      <c r="F308" t="str">
        <f>_xlfn.XLOOKUP(Log_Reseau_Master[[#This Row],[Cell_ID]],_29_03_2026_Registre_Maintenance_V2[ID_Antenne],_29_03_2026_Registre_Maintenance_V2[Province_RDC],"Pas de correspondance")</f>
        <v>Lomami</v>
      </c>
      <c r="G308" t="str">
        <f>_xlfn.XLOOKUP(Log_Reseau_Master[[#This Row],[Cell_ID]],_29_03_2026_Registre_Maintenance_V2[ID_Antenne],_29_03_2026_Registre_Maintenance_V2[Technologie],"Pas de correspondance")</f>
        <v>5G</v>
      </c>
      <c r="H308" t="str">
        <f>_xlfn.XLOOKUP(Log_Reseau_Master[[#This Row],[Cell_ID]],_29_03_2026_Registre_Maintenance_V2[ID_Antenne],_29_03_2026_Registre_Maintenance_V2[Equipementier],"Pas de correspondance")</f>
        <v>Nokia</v>
      </c>
    </row>
    <row r="309" spans="1:8" x14ac:dyDescent="0.25">
      <c r="A309" s="1">
        <v>45201.726388888892</v>
      </c>
      <c r="B309" s="4">
        <f>Log_Reseau_Master[[#This Row],[Duree_Panne_Min]]/1440</f>
        <v>6.7361111111111108E-2</v>
      </c>
      <c r="C309" t="s">
        <v>408</v>
      </c>
      <c r="D309">
        <v>97</v>
      </c>
      <c r="E309" t="s">
        <v>1312</v>
      </c>
      <c r="F309" t="str">
        <f>_xlfn.XLOOKUP(Log_Reseau_Master[[#This Row],[Cell_ID]],_29_03_2026_Registre_Maintenance_V2[ID_Antenne],_29_03_2026_Registre_Maintenance_V2[Province_RDC],"Pas de correspondance")</f>
        <v>Kasai-Oriental</v>
      </c>
      <c r="G309" t="str">
        <f>_xlfn.XLOOKUP(Log_Reseau_Master[[#This Row],[Cell_ID]],_29_03_2026_Registre_Maintenance_V2[ID_Antenne],_29_03_2026_Registre_Maintenance_V2[Technologie],"Pas de correspondance")</f>
        <v>5G</v>
      </c>
      <c r="H309" t="str">
        <f>_xlfn.XLOOKUP(Log_Reseau_Master[[#This Row],[Cell_ID]],_29_03_2026_Registre_Maintenance_V2[ID_Antenne],_29_03_2026_Registre_Maintenance_V2[Equipementier],"Pas de correspondance")</f>
        <v>Huawei</v>
      </c>
    </row>
    <row r="310" spans="1:8" x14ac:dyDescent="0.25">
      <c r="A310" s="1">
        <v>45208.169444444444</v>
      </c>
      <c r="B310" s="4">
        <f>Log_Reseau_Master[[#This Row],[Duree_Panne_Min]]/1440</f>
        <v>3.2638888888888891E-2</v>
      </c>
      <c r="C310" t="s">
        <v>494</v>
      </c>
      <c r="D310">
        <v>47</v>
      </c>
      <c r="E310" t="s">
        <v>1314</v>
      </c>
      <c r="F310" t="str">
        <f>_xlfn.XLOOKUP(Log_Reseau_Master[[#This Row],[Cell_ID]],_29_03_2026_Registre_Maintenance_V2[ID_Antenne],_29_03_2026_Registre_Maintenance_V2[Province_RDC],"Pas de correspondance")</f>
        <v>Kasai</v>
      </c>
      <c r="G310" t="str">
        <f>_xlfn.XLOOKUP(Log_Reseau_Master[[#This Row],[Cell_ID]],_29_03_2026_Registre_Maintenance_V2[ID_Antenne],_29_03_2026_Registre_Maintenance_V2[Technologie],"Pas de correspondance")</f>
        <v>5G</v>
      </c>
      <c r="H310" t="str">
        <f>_xlfn.XLOOKUP(Log_Reseau_Master[[#This Row],[Cell_ID]],_29_03_2026_Registre_Maintenance_V2[ID_Antenne],_29_03_2026_Registre_Maintenance_V2[Equipementier],"Pas de correspondance")</f>
        <v>Nokia</v>
      </c>
    </row>
    <row r="311" spans="1:8" x14ac:dyDescent="0.25">
      <c r="A311" s="1">
        <v>45210.895833333336</v>
      </c>
      <c r="B311" s="4">
        <f>Log_Reseau_Master[[#This Row],[Duree_Panne_Min]]/1440</f>
        <v>7.6388888888888895E-2</v>
      </c>
      <c r="C311" t="s">
        <v>494</v>
      </c>
      <c r="D311">
        <v>110</v>
      </c>
      <c r="E311" t="s">
        <v>1321</v>
      </c>
      <c r="F311" t="str">
        <f>_xlfn.XLOOKUP(Log_Reseau_Master[[#This Row],[Cell_ID]],_29_03_2026_Registre_Maintenance_V2[ID_Antenne],_29_03_2026_Registre_Maintenance_V2[Province_RDC],"Pas de correspondance")</f>
        <v>Kasai</v>
      </c>
      <c r="G311" t="str">
        <f>_xlfn.XLOOKUP(Log_Reseau_Master[[#This Row],[Cell_ID]],_29_03_2026_Registre_Maintenance_V2[ID_Antenne],_29_03_2026_Registre_Maintenance_V2[Technologie],"Pas de correspondance")</f>
        <v>5G</v>
      </c>
      <c r="H311" t="str">
        <f>_xlfn.XLOOKUP(Log_Reseau_Master[[#This Row],[Cell_ID]],_29_03_2026_Registre_Maintenance_V2[ID_Antenne],_29_03_2026_Registre_Maintenance_V2[Equipementier],"Pas de correspondance")</f>
        <v>Nokia</v>
      </c>
    </row>
    <row r="312" spans="1:8" hidden="1" x14ac:dyDescent="0.25">
      <c r="A312" s="1">
        <v>45216.181944444441</v>
      </c>
      <c r="B312">
        <f>Log_Reseau_Master[[#This Row],[Duree_Panne_Min]]/1440</f>
        <v>5.9722222222222225E-2</v>
      </c>
      <c r="C312" t="s">
        <v>1428</v>
      </c>
      <c r="D312">
        <v>86</v>
      </c>
      <c r="E312" t="s">
        <v>1312</v>
      </c>
      <c r="F312" t="str">
        <f>_xlfn.XLOOKUP(Log_Reseau_Master[[#This Row],[Cell_ID]],_29_03_2026_Registre_Maintenance_V2[ID_Antenne],_29_03_2026_Registre_Maintenance_V2[Province_RDC],"Pas de correspondance")</f>
        <v>Pas de correspondance</v>
      </c>
      <c r="G312" t="str">
        <f>_xlfn.XLOOKUP(Log_Reseau_Master[[#This Row],[Cell_ID]],_29_03_2026_Registre_Maintenance_V2[ID_Antenne],_29_03_2026_Registre_Maintenance_V2[Technologie],"Pas de correspondance")</f>
        <v>Pas de correspondance</v>
      </c>
      <c r="H312" t="str">
        <f>_xlfn.XLOOKUP(Log_Reseau_Master[[#This Row],[Cell_ID]],_29_03_2026_Registre_Maintenance_V2[ID_Antenne],_29_03_2026_Registre_Maintenance_V2[Equipementier],"Pas de correspondance")</f>
        <v>Pas de correspondance</v>
      </c>
    </row>
    <row r="313" spans="1:8" x14ac:dyDescent="0.25">
      <c r="A313" s="1">
        <v>45207.133333333331</v>
      </c>
      <c r="B313" s="4">
        <f>Log_Reseau_Master[[#This Row],[Duree_Panne_Min]]/1440</f>
        <v>4.583333333333333E-2</v>
      </c>
      <c r="C313" t="s">
        <v>86</v>
      </c>
      <c r="D313">
        <v>66</v>
      </c>
      <c r="E313" t="s">
        <v>1312</v>
      </c>
      <c r="F313" t="str">
        <f>_xlfn.XLOOKUP(Log_Reseau_Master[[#This Row],[Cell_ID]],_29_03_2026_Registre_Maintenance_V2[ID_Antenne],_29_03_2026_Registre_Maintenance_V2[Province_RDC],"Pas de correspondance")</f>
        <v>Kasai-Oriental</v>
      </c>
      <c r="G313" t="str">
        <f>_xlfn.XLOOKUP(Log_Reseau_Master[[#This Row],[Cell_ID]],_29_03_2026_Registre_Maintenance_V2[ID_Antenne],_29_03_2026_Registre_Maintenance_V2[Technologie],"Pas de correspondance")</f>
        <v>3G</v>
      </c>
      <c r="H313" t="str">
        <f>_xlfn.XLOOKUP(Log_Reseau_Master[[#This Row],[Cell_ID]],_29_03_2026_Registre_Maintenance_V2[ID_Antenne],_29_03_2026_Registre_Maintenance_V2[Equipementier],"Pas de correspondance")</f>
        <v>Ericsson</v>
      </c>
    </row>
    <row r="314" spans="1:8" x14ac:dyDescent="0.25">
      <c r="A314" s="1">
        <v>45214.850694444445</v>
      </c>
      <c r="B314" s="4">
        <f>Log_Reseau_Master[[#This Row],[Duree_Panne_Min]]/1440</f>
        <v>2.1527777777777778E-2</v>
      </c>
      <c r="C314" t="s">
        <v>86</v>
      </c>
      <c r="D314">
        <v>31</v>
      </c>
      <c r="E314" t="s">
        <v>1321</v>
      </c>
      <c r="F314" t="str">
        <f>_xlfn.XLOOKUP(Log_Reseau_Master[[#This Row],[Cell_ID]],_29_03_2026_Registre_Maintenance_V2[ID_Antenne],_29_03_2026_Registre_Maintenance_V2[Province_RDC],"Pas de correspondance")</f>
        <v>Kasai-Oriental</v>
      </c>
      <c r="G314" t="str">
        <f>_xlfn.XLOOKUP(Log_Reseau_Master[[#This Row],[Cell_ID]],_29_03_2026_Registre_Maintenance_V2[ID_Antenne],_29_03_2026_Registre_Maintenance_V2[Technologie],"Pas de correspondance")</f>
        <v>3G</v>
      </c>
      <c r="H314" t="str">
        <f>_xlfn.XLOOKUP(Log_Reseau_Master[[#This Row],[Cell_ID]],_29_03_2026_Registre_Maintenance_V2[ID_Antenne],_29_03_2026_Registre_Maintenance_V2[Equipementier],"Pas de correspondance")</f>
        <v>Ericsson</v>
      </c>
    </row>
    <row r="315" spans="1:8" hidden="1" x14ac:dyDescent="0.25">
      <c r="A315" s="1">
        <v>45202.728472222225</v>
      </c>
      <c r="B315">
        <f>Log_Reseau_Master[[#This Row],[Duree_Panne_Min]]/1440</f>
        <v>1.2500000000000001E-2</v>
      </c>
      <c r="C315" t="s">
        <v>1429</v>
      </c>
      <c r="D315">
        <v>18</v>
      </c>
      <c r="E315" t="s">
        <v>1314</v>
      </c>
      <c r="F315" t="str">
        <f>_xlfn.XLOOKUP(Log_Reseau_Master[[#This Row],[Cell_ID]],_29_03_2026_Registre_Maintenance_V2[ID_Antenne],_29_03_2026_Registre_Maintenance_V2[Province_RDC],"Pas de correspondance")</f>
        <v>Pas de correspondance</v>
      </c>
      <c r="G315" t="str">
        <f>_xlfn.XLOOKUP(Log_Reseau_Master[[#This Row],[Cell_ID]],_29_03_2026_Registre_Maintenance_V2[ID_Antenne],_29_03_2026_Registre_Maintenance_V2[Technologie],"Pas de correspondance")</f>
        <v>Pas de correspondance</v>
      </c>
      <c r="H315" t="str">
        <f>_xlfn.XLOOKUP(Log_Reseau_Master[[#This Row],[Cell_ID]],_29_03_2026_Registre_Maintenance_V2[ID_Antenne],_29_03_2026_Registre_Maintenance_V2[Equipementier],"Pas de correspondance")</f>
        <v>Pas de correspondance</v>
      </c>
    </row>
    <row r="316" spans="1:8" hidden="1" x14ac:dyDescent="0.25">
      <c r="A316" s="1">
        <v>45211.711805555555</v>
      </c>
      <c r="B316">
        <f>Log_Reseau_Master[[#This Row],[Duree_Panne_Min]]/1440</f>
        <v>5.6944444444444443E-2</v>
      </c>
      <c r="C316" t="s">
        <v>1429</v>
      </c>
      <c r="D316">
        <v>82</v>
      </c>
      <c r="E316" t="s">
        <v>1312</v>
      </c>
      <c r="F316" t="str">
        <f>_xlfn.XLOOKUP(Log_Reseau_Master[[#This Row],[Cell_ID]],_29_03_2026_Registre_Maintenance_V2[ID_Antenne],_29_03_2026_Registre_Maintenance_V2[Province_RDC],"Pas de correspondance")</f>
        <v>Pas de correspondance</v>
      </c>
      <c r="G316" t="str">
        <f>_xlfn.XLOOKUP(Log_Reseau_Master[[#This Row],[Cell_ID]],_29_03_2026_Registre_Maintenance_V2[ID_Antenne],_29_03_2026_Registre_Maintenance_V2[Technologie],"Pas de correspondance")</f>
        <v>Pas de correspondance</v>
      </c>
      <c r="H316" t="str">
        <f>_xlfn.XLOOKUP(Log_Reseau_Master[[#This Row],[Cell_ID]],_29_03_2026_Registre_Maintenance_V2[ID_Antenne],_29_03_2026_Registre_Maintenance_V2[Equipementier],"Pas de correspondance")</f>
        <v>Pas de correspondance</v>
      </c>
    </row>
    <row r="317" spans="1:8" x14ac:dyDescent="0.25">
      <c r="A317" s="1">
        <v>45203.750694444447</v>
      </c>
      <c r="B317" s="4">
        <f>Log_Reseau_Master[[#This Row],[Duree_Panne_Min]]/1440</f>
        <v>4.4444444444444446E-2</v>
      </c>
      <c r="C317" t="s">
        <v>464</v>
      </c>
      <c r="D317">
        <v>64</v>
      </c>
      <c r="E317" t="s">
        <v>1321</v>
      </c>
      <c r="F317" t="str">
        <f>_xlfn.XLOOKUP(Log_Reseau_Master[[#This Row],[Cell_ID]],_29_03_2026_Registre_Maintenance_V2[ID_Antenne],_29_03_2026_Registre_Maintenance_V2[Province_RDC],"Pas de correspondance")</f>
        <v>Maniema</v>
      </c>
      <c r="G317" t="str">
        <f>_xlfn.XLOOKUP(Log_Reseau_Master[[#This Row],[Cell_ID]],_29_03_2026_Registre_Maintenance_V2[ID_Antenne],_29_03_2026_Registre_Maintenance_V2[Technologie],"Pas de correspondance")</f>
        <v>4G</v>
      </c>
      <c r="H317" t="str">
        <f>_xlfn.XLOOKUP(Log_Reseau_Master[[#This Row],[Cell_ID]],_29_03_2026_Registre_Maintenance_V2[ID_Antenne],_29_03_2026_Registre_Maintenance_V2[Equipementier],"Pas de correspondance")</f>
        <v>Ericsson</v>
      </c>
    </row>
    <row r="318" spans="1:8" x14ac:dyDescent="0.25">
      <c r="A318" s="1">
        <v>45224.201388888891</v>
      </c>
      <c r="B318" s="4">
        <f>Log_Reseau_Master[[#This Row],[Duree_Panne_Min]]/1440</f>
        <v>2.9861111111111113E-2</v>
      </c>
      <c r="C318" t="s">
        <v>464</v>
      </c>
      <c r="D318">
        <v>43</v>
      </c>
      <c r="E318" t="s">
        <v>1321</v>
      </c>
      <c r="F318" t="str">
        <f>_xlfn.XLOOKUP(Log_Reseau_Master[[#This Row],[Cell_ID]],_29_03_2026_Registre_Maintenance_V2[ID_Antenne],_29_03_2026_Registre_Maintenance_V2[Province_RDC],"Pas de correspondance")</f>
        <v>Maniema</v>
      </c>
      <c r="G318" t="str">
        <f>_xlfn.XLOOKUP(Log_Reseau_Master[[#This Row],[Cell_ID]],_29_03_2026_Registre_Maintenance_V2[ID_Antenne],_29_03_2026_Registre_Maintenance_V2[Technologie],"Pas de correspondance")</f>
        <v>4G</v>
      </c>
      <c r="H318" t="str">
        <f>_xlfn.XLOOKUP(Log_Reseau_Master[[#This Row],[Cell_ID]],_29_03_2026_Registre_Maintenance_V2[ID_Antenne],_29_03_2026_Registre_Maintenance_V2[Equipementier],"Pas de correspondance")</f>
        <v>Ericsson</v>
      </c>
    </row>
    <row r="319" spans="1:8" hidden="1" x14ac:dyDescent="0.25">
      <c r="A319" s="1">
        <v>45203.227777777778</v>
      </c>
      <c r="B319">
        <f>Log_Reseau_Master[[#This Row],[Duree_Panne_Min]]/1440</f>
        <v>4.2361111111111113E-2</v>
      </c>
      <c r="C319" t="s">
        <v>1430</v>
      </c>
      <c r="D319">
        <v>61</v>
      </c>
      <c r="E319" t="s">
        <v>1312</v>
      </c>
      <c r="F319" t="str">
        <f>_xlfn.XLOOKUP(Log_Reseau_Master[[#This Row],[Cell_ID]],_29_03_2026_Registre_Maintenance_V2[ID_Antenne],_29_03_2026_Registre_Maintenance_V2[Province_RDC],"Pas de correspondance")</f>
        <v>Pas de correspondance</v>
      </c>
      <c r="G319" t="str">
        <f>_xlfn.XLOOKUP(Log_Reseau_Master[[#This Row],[Cell_ID]],_29_03_2026_Registre_Maintenance_V2[ID_Antenne],_29_03_2026_Registre_Maintenance_V2[Technologie],"Pas de correspondance")</f>
        <v>Pas de correspondance</v>
      </c>
      <c r="H319" t="str">
        <f>_xlfn.XLOOKUP(Log_Reseau_Master[[#This Row],[Cell_ID]],_29_03_2026_Registre_Maintenance_V2[ID_Antenne],_29_03_2026_Registre_Maintenance_V2[Equipementier],"Pas de correspondance")</f>
        <v>Pas de correspondance</v>
      </c>
    </row>
    <row r="320" spans="1:8" hidden="1" x14ac:dyDescent="0.25">
      <c r="A320" s="1">
        <v>45202.319444444445</v>
      </c>
      <c r="B320">
        <f>Log_Reseau_Master[[#This Row],[Duree_Panne_Min]]/1440</f>
        <v>7.9861111111111105E-2</v>
      </c>
      <c r="C320" t="s">
        <v>1430</v>
      </c>
      <c r="D320">
        <v>115</v>
      </c>
      <c r="E320" t="s">
        <v>1312</v>
      </c>
      <c r="F320" t="str">
        <f>_xlfn.XLOOKUP(Log_Reseau_Master[[#This Row],[Cell_ID]],_29_03_2026_Registre_Maintenance_V2[ID_Antenne],_29_03_2026_Registre_Maintenance_V2[Province_RDC],"Pas de correspondance")</f>
        <v>Pas de correspondance</v>
      </c>
      <c r="G320" t="str">
        <f>_xlfn.XLOOKUP(Log_Reseau_Master[[#This Row],[Cell_ID]],_29_03_2026_Registre_Maintenance_V2[ID_Antenne],_29_03_2026_Registre_Maintenance_V2[Technologie],"Pas de correspondance")</f>
        <v>Pas de correspondance</v>
      </c>
      <c r="H320" t="str">
        <f>_xlfn.XLOOKUP(Log_Reseau_Master[[#This Row],[Cell_ID]],_29_03_2026_Registre_Maintenance_V2[ID_Antenne],_29_03_2026_Registre_Maintenance_V2[Equipementier],"Pas de correspondance")</f>
        <v>Pas de correspondance</v>
      </c>
    </row>
    <row r="321" spans="1:8" hidden="1" x14ac:dyDescent="0.25">
      <c r="A321" s="1">
        <v>45214.799305555556</v>
      </c>
      <c r="B321">
        <f>Log_Reseau_Master[[#This Row],[Duree_Panne_Min]]/1440</f>
        <v>4.6527777777777779E-2</v>
      </c>
      <c r="C321" t="s">
        <v>1431</v>
      </c>
      <c r="D321">
        <v>67</v>
      </c>
      <c r="E321" t="s">
        <v>1314</v>
      </c>
      <c r="F321" t="str">
        <f>_xlfn.XLOOKUP(Log_Reseau_Master[[#This Row],[Cell_ID]],_29_03_2026_Registre_Maintenance_V2[ID_Antenne],_29_03_2026_Registre_Maintenance_V2[Province_RDC],"Pas de correspondance")</f>
        <v>Pas de correspondance</v>
      </c>
      <c r="G321" t="str">
        <f>_xlfn.XLOOKUP(Log_Reseau_Master[[#This Row],[Cell_ID]],_29_03_2026_Registre_Maintenance_V2[ID_Antenne],_29_03_2026_Registre_Maintenance_V2[Technologie],"Pas de correspondance")</f>
        <v>Pas de correspondance</v>
      </c>
      <c r="H321" t="str">
        <f>_xlfn.XLOOKUP(Log_Reseau_Master[[#This Row],[Cell_ID]],_29_03_2026_Registre_Maintenance_V2[ID_Antenne],_29_03_2026_Registre_Maintenance_V2[Equipementier],"Pas de correspondance")</f>
        <v>Pas de correspondance</v>
      </c>
    </row>
    <row r="322" spans="1:8" hidden="1" x14ac:dyDescent="0.25">
      <c r="A322" s="1">
        <v>45220.091666666667</v>
      </c>
      <c r="B322">
        <f>Log_Reseau_Master[[#This Row],[Duree_Panne_Min]]/1440</f>
        <v>6.0416666666666667E-2</v>
      </c>
      <c r="C322" t="s">
        <v>1432</v>
      </c>
      <c r="D322">
        <v>87</v>
      </c>
      <c r="E322" t="s">
        <v>1312</v>
      </c>
      <c r="F322" t="str">
        <f>_xlfn.XLOOKUP(Log_Reseau_Master[[#This Row],[Cell_ID]],_29_03_2026_Registre_Maintenance_V2[ID_Antenne],_29_03_2026_Registre_Maintenance_V2[Province_RDC],"Pas de correspondance")</f>
        <v>Pas de correspondance</v>
      </c>
      <c r="G322" t="str">
        <f>_xlfn.XLOOKUP(Log_Reseau_Master[[#This Row],[Cell_ID]],_29_03_2026_Registre_Maintenance_V2[ID_Antenne],_29_03_2026_Registre_Maintenance_V2[Technologie],"Pas de correspondance")</f>
        <v>Pas de correspondance</v>
      </c>
      <c r="H322" t="str">
        <f>_xlfn.XLOOKUP(Log_Reseau_Master[[#This Row],[Cell_ID]],_29_03_2026_Registre_Maintenance_V2[ID_Antenne],_29_03_2026_Registre_Maintenance_V2[Equipementier],"Pas de correspondance")</f>
        <v>Pas de correspondance</v>
      </c>
    </row>
    <row r="323" spans="1:8" hidden="1" x14ac:dyDescent="0.25">
      <c r="A323" s="1">
        <v>45200.307638888888</v>
      </c>
      <c r="B323">
        <f>Log_Reseau_Master[[#This Row],[Duree_Panne_Min]]/1440</f>
        <v>7.9166666666666663E-2</v>
      </c>
      <c r="C323" t="s">
        <v>1432</v>
      </c>
      <c r="D323">
        <v>114</v>
      </c>
      <c r="E323" t="s">
        <v>1312</v>
      </c>
      <c r="F323" t="str">
        <f>_xlfn.XLOOKUP(Log_Reseau_Master[[#This Row],[Cell_ID]],_29_03_2026_Registre_Maintenance_V2[ID_Antenne],_29_03_2026_Registre_Maintenance_V2[Province_RDC],"Pas de correspondance")</f>
        <v>Pas de correspondance</v>
      </c>
      <c r="G323" t="str">
        <f>_xlfn.XLOOKUP(Log_Reseau_Master[[#This Row],[Cell_ID]],_29_03_2026_Registre_Maintenance_V2[ID_Antenne],_29_03_2026_Registre_Maintenance_V2[Technologie],"Pas de correspondance")</f>
        <v>Pas de correspondance</v>
      </c>
      <c r="H323" t="str">
        <f>_xlfn.XLOOKUP(Log_Reseau_Master[[#This Row],[Cell_ID]],_29_03_2026_Registre_Maintenance_V2[ID_Antenne],_29_03_2026_Registre_Maintenance_V2[Equipementier],"Pas de correspondance")</f>
        <v>Pas de correspondance</v>
      </c>
    </row>
    <row r="324" spans="1:8" hidden="1" x14ac:dyDescent="0.25">
      <c r="A324" s="1">
        <v>45219.301388888889</v>
      </c>
      <c r="B324">
        <f>Log_Reseau_Master[[#This Row],[Duree_Panne_Min]]/1440</f>
        <v>4.5138888888888888E-2</v>
      </c>
      <c r="C324" t="s">
        <v>1432</v>
      </c>
      <c r="D324">
        <v>65</v>
      </c>
      <c r="E324" t="s">
        <v>1314</v>
      </c>
      <c r="F324" t="str">
        <f>_xlfn.XLOOKUP(Log_Reseau_Master[[#This Row],[Cell_ID]],_29_03_2026_Registre_Maintenance_V2[ID_Antenne],_29_03_2026_Registre_Maintenance_V2[Province_RDC],"Pas de correspondance")</f>
        <v>Pas de correspondance</v>
      </c>
      <c r="G324" t="str">
        <f>_xlfn.XLOOKUP(Log_Reseau_Master[[#This Row],[Cell_ID]],_29_03_2026_Registre_Maintenance_V2[ID_Antenne],_29_03_2026_Registre_Maintenance_V2[Technologie],"Pas de correspondance")</f>
        <v>Pas de correspondance</v>
      </c>
      <c r="H324" t="str">
        <f>_xlfn.XLOOKUP(Log_Reseau_Master[[#This Row],[Cell_ID]],_29_03_2026_Registre_Maintenance_V2[ID_Antenne],_29_03_2026_Registre_Maintenance_V2[Equipementier],"Pas de correspondance")</f>
        <v>Pas de correspondance</v>
      </c>
    </row>
    <row r="325" spans="1:8" hidden="1" x14ac:dyDescent="0.25">
      <c r="A325" s="1">
        <v>45210.128472222219</v>
      </c>
      <c r="B325">
        <f>Log_Reseau_Master[[#This Row],[Duree_Panne_Min]]/1440</f>
        <v>7.9861111111111105E-2</v>
      </c>
      <c r="C325" t="s">
        <v>1432</v>
      </c>
      <c r="D325">
        <v>115</v>
      </c>
      <c r="E325" t="s">
        <v>1314</v>
      </c>
      <c r="F325" t="str">
        <f>_xlfn.XLOOKUP(Log_Reseau_Master[[#This Row],[Cell_ID]],_29_03_2026_Registre_Maintenance_V2[ID_Antenne],_29_03_2026_Registre_Maintenance_V2[Province_RDC],"Pas de correspondance")</f>
        <v>Pas de correspondance</v>
      </c>
      <c r="G325" t="str">
        <f>_xlfn.XLOOKUP(Log_Reseau_Master[[#This Row],[Cell_ID]],_29_03_2026_Registre_Maintenance_V2[ID_Antenne],_29_03_2026_Registre_Maintenance_V2[Technologie],"Pas de correspondance")</f>
        <v>Pas de correspondance</v>
      </c>
      <c r="H325" t="str">
        <f>_xlfn.XLOOKUP(Log_Reseau_Master[[#This Row],[Cell_ID]],_29_03_2026_Registre_Maintenance_V2[ID_Antenne],_29_03_2026_Registre_Maintenance_V2[Equipementier],"Pas de correspondance")</f>
        <v>Pas de correspondance</v>
      </c>
    </row>
    <row r="326" spans="1:8" hidden="1" x14ac:dyDescent="0.25">
      <c r="A326" s="1">
        <v>45202.443055555559</v>
      </c>
      <c r="B326">
        <f>Log_Reseau_Master[[#This Row],[Duree_Panne_Min]]/1440</f>
        <v>3.6111111111111108E-2</v>
      </c>
      <c r="C326" t="s">
        <v>1433</v>
      </c>
      <c r="D326">
        <v>52</v>
      </c>
      <c r="E326" t="s">
        <v>1312</v>
      </c>
      <c r="F326" t="str">
        <f>_xlfn.XLOOKUP(Log_Reseau_Master[[#This Row],[Cell_ID]],_29_03_2026_Registre_Maintenance_V2[ID_Antenne],_29_03_2026_Registre_Maintenance_V2[Province_RDC],"Pas de correspondance")</f>
        <v>Pas de correspondance</v>
      </c>
      <c r="G326" t="str">
        <f>_xlfn.XLOOKUP(Log_Reseau_Master[[#This Row],[Cell_ID]],_29_03_2026_Registre_Maintenance_V2[ID_Antenne],_29_03_2026_Registre_Maintenance_V2[Technologie],"Pas de correspondance")</f>
        <v>Pas de correspondance</v>
      </c>
      <c r="H326" t="str">
        <f>_xlfn.XLOOKUP(Log_Reseau_Master[[#This Row],[Cell_ID]],_29_03_2026_Registre_Maintenance_V2[ID_Antenne],_29_03_2026_Registre_Maintenance_V2[Equipementier],"Pas de correspondance")</f>
        <v>Pas de correspondance</v>
      </c>
    </row>
    <row r="327" spans="1:8" hidden="1" x14ac:dyDescent="0.25">
      <c r="A327" s="1">
        <v>45207.525000000001</v>
      </c>
      <c r="B327">
        <f>Log_Reseau_Master[[#This Row],[Duree_Panne_Min]]/1440</f>
        <v>5.7638888888888892E-2</v>
      </c>
      <c r="C327" t="s">
        <v>1434</v>
      </c>
      <c r="D327">
        <v>83</v>
      </c>
      <c r="E327" t="s">
        <v>1314</v>
      </c>
      <c r="F327" t="str">
        <f>_xlfn.XLOOKUP(Log_Reseau_Master[[#This Row],[Cell_ID]],_29_03_2026_Registre_Maintenance_V2[ID_Antenne],_29_03_2026_Registre_Maintenance_V2[Province_RDC],"Pas de correspondance")</f>
        <v>Pas de correspondance</v>
      </c>
      <c r="G327" t="str">
        <f>_xlfn.XLOOKUP(Log_Reseau_Master[[#This Row],[Cell_ID]],_29_03_2026_Registre_Maintenance_V2[ID_Antenne],_29_03_2026_Registre_Maintenance_V2[Technologie],"Pas de correspondance")</f>
        <v>Pas de correspondance</v>
      </c>
      <c r="H327" t="str">
        <f>_xlfn.XLOOKUP(Log_Reseau_Master[[#This Row],[Cell_ID]],_29_03_2026_Registre_Maintenance_V2[ID_Antenne],_29_03_2026_Registre_Maintenance_V2[Equipementier],"Pas de correspondance")</f>
        <v>Pas de correspondance</v>
      </c>
    </row>
    <row r="328" spans="1:8" hidden="1" x14ac:dyDescent="0.25">
      <c r="A328" s="1">
        <v>45200.595138888886</v>
      </c>
      <c r="B328">
        <f>Log_Reseau_Master[[#This Row],[Duree_Panne_Min]]/1440</f>
        <v>4.791666666666667E-2</v>
      </c>
      <c r="C328" t="s">
        <v>1435</v>
      </c>
      <c r="D328">
        <v>69</v>
      </c>
      <c r="E328" t="s">
        <v>1321</v>
      </c>
      <c r="F328" t="str">
        <f>_xlfn.XLOOKUP(Log_Reseau_Master[[#This Row],[Cell_ID]],_29_03_2026_Registre_Maintenance_V2[ID_Antenne],_29_03_2026_Registre_Maintenance_V2[Province_RDC],"Pas de correspondance")</f>
        <v>Pas de correspondance</v>
      </c>
      <c r="G328" t="str">
        <f>_xlfn.XLOOKUP(Log_Reseau_Master[[#This Row],[Cell_ID]],_29_03_2026_Registre_Maintenance_V2[ID_Antenne],_29_03_2026_Registre_Maintenance_V2[Technologie],"Pas de correspondance")</f>
        <v>Pas de correspondance</v>
      </c>
      <c r="H328" t="str">
        <f>_xlfn.XLOOKUP(Log_Reseau_Master[[#This Row],[Cell_ID]],_29_03_2026_Registre_Maintenance_V2[ID_Antenne],_29_03_2026_Registre_Maintenance_V2[Equipementier],"Pas de correspondance")</f>
        <v>Pas de correspondance</v>
      </c>
    </row>
    <row r="329" spans="1:8" hidden="1" x14ac:dyDescent="0.25">
      <c r="A329" s="1">
        <v>45230.577777777777</v>
      </c>
      <c r="B329">
        <f>Log_Reseau_Master[[#This Row],[Duree_Panne_Min]]/1440</f>
        <v>6.7361111111111108E-2</v>
      </c>
      <c r="C329" t="s">
        <v>1435</v>
      </c>
      <c r="D329">
        <v>97</v>
      </c>
      <c r="E329" t="s">
        <v>1314</v>
      </c>
      <c r="F329" t="str">
        <f>_xlfn.XLOOKUP(Log_Reseau_Master[[#This Row],[Cell_ID]],_29_03_2026_Registre_Maintenance_V2[ID_Antenne],_29_03_2026_Registre_Maintenance_V2[Province_RDC],"Pas de correspondance")</f>
        <v>Pas de correspondance</v>
      </c>
      <c r="G329" t="str">
        <f>_xlfn.XLOOKUP(Log_Reseau_Master[[#This Row],[Cell_ID]],_29_03_2026_Registre_Maintenance_V2[ID_Antenne],_29_03_2026_Registre_Maintenance_V2[Technologie],"Pas de correspondance")</f>
        <v>Pas de correspondance</v>
      </c>
      <c r="H329" t="str">
        <f>_xlfn.XLOOKUP(Log_Reseau_Master[[#This Row],[Cell_ID]],_29_03_2026_Registre_Maintenance_V2[ID_Antenne],_29_03_2026_Registre_Maintenance_V2[Equipementier],"Pas de correspondance")</f>
        <v>Pas de correspondance</v>
      </c>
    </row>
    <row r="330" spans="1:8" hidden="1" x14ac:dyDescent="0.25">
      <c r="A330" s="1">
        <v>45202.469444444447</v>
      </c>
      <c r="B330">
        <f>Log_Reseau_Master[[#This Row],[Duree_Panne_Min]]/1440</f>
        <v>5.4166666666666669E-2</v>
      </c>
      <c r="C330" t="s">
        <v>1436</v>
      </c>
      <c r="D330">
        <v>78</v>
      </c>
      <c r="E330" t="s">
        <v>1314</v>
      </c>
      <c r="F330" t="str">
        <f>_xlfn.XLOOKUP(Log_Reseau_Master[[#This Row],[Cell_ID]],_29_03_2026_Registre_Maintenance_V2[ID_Antenne],_29_03_2026_Registre_Maintenance_V2[Province_RDC],"Pas de correspondance")</f>
        <v>Pas de correspondance</v>
      </c>
      <c r="G330" t="str">
        <f>_xlfn.XLOOKUP(Log_Reseau_Master[[#This Row],[Cell_ID]],_29_03_2026_Registre_Maintenance_V2[ID_Antenne],_29_03_2026_Registre_Maintenance_V2[Technologie],"Pas de correspondance")</f>
        <v>Pas de correspondance</v>
      </c>
      <c r="H330" t="str">
        <f>_xlfn.XLOOKUP(Log_Reseau_Master[[#This Row],[Cell_ID]],_29_03_2026_Registre_Maintenance_V2[ID_Antenne],_29_03_2026_Registre_Maintenance_V2[Equipementier],"Pas de correspondance")</f>
        <v>Pas de correspondance</v>
      </c>
    </row>
    <row r="331" spans="1:8" hidden="1" x14ac:dyDescent="0.25">
      <c r="A331" s="1">
        <v>45213.770833333336</v>
      </c>
      <c r="B331">
        <f>Log_Reseau_Master[[#This Row],[Duree_Panne_Min]]/1440</f>
        <v>7.6388888888888886E-3</v>
      </c>
      <c r="C331" t="s">
        <v>1437</v>
      </c>
      <c r="D331">
        <v>11</v>
      </c>
      <c r="E331" t="s">
        <v>1321</v>
      </c>
      <c r="F331" t="str">
        <f>_xlfn.XLOOKUP(Log_Reseau_Master[[#This Row],[Cell_ID]],_29_03_2026_Registre_Maintenance_V2[ID_Antenne],_29_03_2026_Registre_Maintenance_V2[Province_RDC],"Pas de correspondance")</f>
        <v>Pas de correspondance</v>
      </c>
      <c r="G331" t="str">
        <f>_xlfn.XLOOKUP(Log_Reseau_Master[[#This Row],[Cell_ID]],_29_03_2026_Registre_Maintenance_V2[ID_Antenne],_29_03_2026_Registre_Maintenance_V2[Technologie],"Pas de correspondance")</f>
        <v>Pas de correspondance</v>
      </c>
      <c r="H331" t="str">
        <f>_xlfn.XLOOKUP(Log_Reseau_Master[[#This Row],[Cell_ID]],_29_03_2026_Registre_Maintenance_V2[ID_Antenne],_29_03_2026_Registre_Maintenance_V2[Equipementier],"Pas de correspondance")</f>
        <v>Pas de correspondance</v>
      </c>
    </row>
    <row r="332" spans="1:8" hidden="1" x14ac:dyDescent="0.25">
      <c r="A332" s="1">
        <v>45226.84375</v>
      </c>
      <c r="B332">
        <f>Log_Reseau_Master[[#This Row],[Duree_Panne_Min]]/1440</f>
        <v>3.3333333333333333E-2</v>
      </c>
      <c r="C332" t="s">
        <v>1438</v>
      </c>
      <c r="D332">
        <v>48</v>
      </c>
      <c r="E332" t="s">
        <v>1314</v>
      </c>
      <c r="F332" t="str">
        <f>_xlfn.XLOOKUP(Log_Reseau_Master[[#This Row],[Cell_ID]],_29_03_2026_Registre_Maintenance_V2[ID_Antenne],_29_03_2026_Registre_Maintenance_V2[Province_RDC],"Pas de correspondance")</f>
        <v>Pas de correspondance</v>
      </c>
      <c r="G332" t="str">
        <f>_xlfn.XLOOKUP(Log_Reseau_Master[[#This Row],[Cell_ID]],_29_03_2026_Registre_Maintenance_V2[ID_Antenne],_29_03_2026_Registre_Maintenance_V2[Technologie],"Pas de correspondance")</f>
        <v>Pas de correspondance</v>
      </c>
      <c r="H332" t="str">
        <f>_xlfn.XLOOKUP(Log_Reseau_Master[[#This Row],[Cell_ID]],_29_03_2026_Registre_Maintenance_V2[ID_Antenne],_29_03_2026_Registre_Maintenance_V2[Equipementier],"Pas de correspondance")</f>
        <v>Pas de correspondance</v>
      </c>
    </row>
    <row r="333" spans="1:8" x14ac:dyDescent="0.25">
      <c r="A333" s="1">
        <v>45202.290277777778</v>
      </c>
      <c r="B333" s="4">
        <f>Log_Reseau_Master[[#This Row],[Duree_Panne_Min]]/1440</f>
        <v>7.1527777777777773E-2</v>
      </c>
      <c r="C333" t="s">
        <v>369</v>
      </c>
      <c r="D333">
        <v>103</v>
      </c>
      <c r="E333" t="s">
        <v>1312</v>
      </c>
      <c r="F333" t="str">
        <f>_xlfn.XLOOKUP(Log_Reseau_Master[[#This Row],[Cell_ID]],_29_03_2026_Registre_Maintenance_V2[ID_Antenne],_29_03_2026_Registre_Maintenance_V2[Province_RDC],"Pas de correspondance")</f>
        <v>Equateur</v>
      </c>
      <c r="G333" t="str">
        <f>_xlfn.XLOOKUP(Log_Reseau_Master[[#This Row],[Cell_ID]],_29_03_2026_Registre_Maintenance_V2[ID_Antenne],_29_03_2026_Registre_Maintenance_V2[Technologie],"Pas de correspondance")</f>
        <v>4G</v>
      </c>
      <c r="H333" t="str">
        <f>_xlfn.XLOOKUP(Log_Reseau_Master[[#This Row],[Cell_ID]],_29_03_2026_Registre_Maintenance_V2[ID_Antenne],_29_03_2026_Registre_Maintenance_V2[Equipementier],"Pas de correspondance")</f>
        <v>Huawei</v>
      </c>
    </row>
    <row r="334" spans="1:8" hidden="1" x14ac:dyDescent="0.25">
      <c r="A334" s="1">
        <v>45214.816666666666</v>
      </c>
      <c r="B334">
        <f>Log_Reseau_Master[[#This Row],[Duree_Panne_Min]]/1440</f>
        <v>6.3888888888888884E-2</v>
      </c>
      <c r="C334" t="s">
        <v>1439</v>
      </c>
      <c r="D334">
        <v>92</v>
      </c>
      <c r="E334" t="s">
        <v>1321</v>
      </c>
      <c r="F334" t="str">
        <f>_xlfn.XLOOKUP(Log_Reseau_Master[[#This Row],[Cell_ID]],_29_03_2026_Registre_Maintenance_V2[ID_Antenne],_29_03_2026_Registre_Maintenance_V2[Province_RDC],"Pas de correspondance")</f>
        <v>Pas de correspondance</v>
      </c>
      <c r="G334" t="str">
        <f>_xlfn.XLOOKUP(Log_Reseau_Master[[#This Row],[Cell_ID]],_29_03_2026_Registre_Maintenance_V2[ID_Antenne],_29_03_2026_Registre_Maintenance_V2[Technologie],"Pas de correspondance")</f>
        <v>Pas de correspondance</v>
      </c>
      <c r="H334" t="str">
        <f>_xlfn.XLOOKUP(Log_Reseau_Master[[#This Row],[Cell_ID]],_29_03_2026_Registre_Maintenance_V2[ID_Antenne],_29_03_2026_Registre_Maintenance_V2[Equipementier],"Pas de correspondance")</f>
        <v>Pas de correspondance</v>
      </c>
    </row>
    <row r="335" spans="1:8" hidden="1" x14ac:dyDescent="0.25">
      <c r="A335" s="1">
        <v>45209.81527777778</v>
      </c>
      <c r="B335">
        <f>Log_Reseau_Master[[#This Row],[Duree_Panne_Min]]/1440</f>
        <v>7.9861111111111105E-2</v>
      </c>
      <c r="C335" t="s">
        <v>1439</v>
      </c>
      <c r="D335">
        <v>115</v>
      </c>
      <c r="E335" t="s">
        <v>1321</v>
      </c>
      <c r="F335" t="str">
        <f>_xlfn.XLOOKUP(Log_Reseau_Master[[#This Row],[Cell_ID]],_29_03_2026_Registre_Maintenance_V2[ID_Antenne],_29_03_2026_Registre_Maintenance_V2[Province_RDC],"Pas de correspondance")</f>
        <v>Pas de correspondance</v>
      </c>
      <c r="G335" t="str">
        <f>_xlfn.XLOOKUP(Log_Reseau_Master[[#This Row],[Cell_ID]],_29_03_2026_Registre_Maintenance_V2[ID_Antenne],_29_03_2026_Registre_Maintenance_V2[Technologie],"Pas de correspondance")</f>
        <v>Pas de correspondance</v>
      </c>
      <c r="H335" t="str">
        <f>_xlfn.XLOOKUP(Log_Reseau_Master[[#This Row],[Cell_ID]],_29_03_2026_Registre_Maintenance_V2[ID_Antenne],_29_03_2026_Registre_Maintenance_V2[Equipementier],"Pas de correspondance")</f>
        <v>Pas de correspondance</v>
      </c>
    </row>
    <row r="336" spans="1:8" hidden="1" x14ac:dyDescent="0.25">
      <c r="A336" s="1">
        <v>45207.845833333333</v>
      </c>
      <c r="B336">
        <f>Log_Reseau_Master[[#This Row],[Duree_Panne_Min]]/1440</f>
        <v>8.3333333333333332E-3</v>
      </c>
      <c r="C336" t="s">
        <v>1440</v>
      </c>
      <c r="D336">
        <v>12</v>
      </c>
      <c r="E336" t="s">
        <v>1321</v>
      </c>
      <c r="F336" t="str">
        <f>_xlfn.XLOOKUP(Log_Reseau_Master[[#This Row],[Cell_ID]],_29_03_2026_Registre_Maintenance_V2[ID_Antenne],_29_03_2026_Registre_Maintenance_V2[Province_RDC],"Pas de correspondance")</f>
        <v>Pas de correspondance</v>
      </c>
      <c r="G336" t="str">
        <f>_xlfn.XLOOKUP(Log_Reseau_Master[[#This Row],[Cell_ID]],_29_03_2026_Registre_Maintenance_V2[ID_Antenne],_29_03_2026_Registre_Maintenance_V2[Technologie],"Pas de correspondance")</f>
        <v>Pas de correspondance</v>
      </c>
      <c r="H336" t="str">
        <f>_xlfn.XLOOKUP(Log_Reseau_Master[[#This Row],[Cell_ID]],_29_03_2026_Registre_Maintenance_V2[ID_Antenne],_29_03_2026_Registre_Maintenance_V2[Equipementier],"Pas de correspondance")</f>
        <v>Pas de correspondance</v>
      </c>
    </row>
    <row r="337" spans="1:8" hidden="1" x14ac:dyDescent="0.25">
      <c r="A337" s="1">
        <v>45223.18472222222</v>
      </c>
      <c r="B337">
        <f>Log_Reseau_Master[[#This Row],[Duree_Panne_Min]]/1440</f>
        <v>2.9166666666666667E-2</v>
      </c>
      <c r="C337" t="s">
        <v>1440</v>
      </c>
      <c r="D337">
        <v>42</v>
      </c>
      <c r="E337" t="s">
        <v>1312</v>
      </c>
      <c r="F337" t="str">
        <f>_xlfn.XLOOKUP(Log_Reseau_Master[[#This Row],[Cell_ID]],_29_03_2026_Registre_Maintenance_V2[ID_Antenne],_29_03_2026_Registre_Maintenance_V2[Province_RDC],"Pas de correspondance")</f>
        <v>Pas de correspondance</v>
      </c>
      <c r="G337" t="str">
        <f>_xlfn.XLOOKUP(Log_Reseau_Master[[#This Row],[Cell_ID]],_29_03_2026_Registre_Maintenance_V2[ID_Antenne],_29_03_2026_Registre_Maintenance_V2[Technologie],"Pas de correspondance")</f>
        <v>Pas de correspondance</v>
      </c>
      <c r="H337" t="str">
        <f>_xlfn.XLOOKUP(Log_Reseau_Master[[#This Row],[Cell_ID]],_29_03_2026_Registre_Maintenance_V2[ID_Antenne],_29_03_2026_Registre_Maintenance_V2[Equipementier],"Pas de correspondance")</f>
        <v>Pas de correspondance</v>
      </c>
    </row>
    <row r="338" spans="1:8" hidden="1" x14ac:dyDescent="0.25">
      <c r="A338" s="1">
        <v>45214.893750000003</v>
      </c>
      <c r="B338">
        <f>Log_Reseau_Master[[#This Row],[Duree_Panne_Min]]/1440</f>
        <v>4.1666666666666664E-2</v>
      </c>
      <c r="C338" t="s">
        <v>1441</v>
      </c>
      <c r="D338">
        <v>60</v>
      </c>
      <c r="E338" t="s">
        <v>1312</v>
      </c>
      <c r="F338" t="str">
        <f>_xlfn.XLOOKUP(Log_Reseau_Master[[#This Row],[Cell_ID]],_29_03_2026_Registre_Maintenance_V2[ID_Antenne],_29_03_2026_Registre_Maintenance_V2[Province_RDC],"Pas de correspondance")</f>
        <v>Pas de correspondance</v>
      </c>
      <c r="G338" t="str">
        <f>_xlfn.XLOOKUP(Log_Reseau_Master[[#This Row],[Cell_ID]],_29_03_2026_Registre_Maintenance_V2[ID_Antenne],_29_03_2026_Registre_Maintenance_V2[Technologie],"Pas de correspondance")</f>
        <v>Pas de correspondance</v>
      </c>
      <c r="H338" t="str">
        <f>_xlfn.XLOOKUP(Log_Reseau_Master[[#This Row],[Cell_ID]],_29_03_2026_Registre_Maintenance_V2[ID_Antenne],_29_03_2026_Registre_Maintenance_V2[Equipementier],"Pas de correspondance")</f>
        <v>Pas de correspondance</v>
      </c>
    </row>
    <row r="339" spans="1:8" hidden="1" x14ac:dyDescent="0.25">
      <c r="A339" s="1">
        <v>45230.185416666667</v>
      </c>
      <c r="B339">
        <f>Log_Reseau_Master[[#This Row],[Duree_Panne_Min]]/1440</f>
        <v>2.1527777777777778E-2</v>
      </c>
      <c r="C339" t="s">
        <v>1442</v>
      </c>
      <c r="D339">
        <v>31</v>
      </c>
      <c r="E339" t="s">
        <v>1312</v>
      </c>
      <c r="F339" t="str">
        <f>_xlfn.XLOOKUP(Log_Reseau_Master[[#This Row],[Cell_ID]],_29_03_2026_Registre_Maintenance_V2[ID_Antenne],_29_03_2026_Registre_Maintenance_V2[Province_RDC],"Pas de correspondance")</f>
        <v>Pas de correspondance</v>
      </c>
      <c r="G339" t="str">
        <f>_xlfn.XLOOKUP(Log_Reseau_Master[[#This Row],[Cell_ID]],_29_03_2026_Registre_Maintenance_V2[ID_Antenne],_29_03_2026_Registre_Maintenance_V2[Technologie],"Pas de correspondance")</f>
        <v>Pas de correspondance</v>
      </c>
      <c r="H339" t="str">
        <f>_xlfn.XLOOKUP(Log_Reseau_Master[[#This Row],[Cell_ID]],_29_03_2026_Registre_Maintenance_V2[ID_Antenne],_29_03_2026_Registre_Maintenance_V2[Equipementier],"Pas de correspondance")</f>
        <v>Pas de correspondance</v>
      </c>
    </row>
    <row r="340" spans="1:8" hidden="1" x14ac:dyDescent="0.25">
      <c r="A340" s="1">
        <v>45218.334722222222</v>
      </c>
      <c r="B340">
        <f>Log_Reseau_Master[[#This Row],[Duree_Panne_Min]]/1440</f>
        <v>5.9027777777777776E-2</v>
      </c>
      <c r="C340" t="s">
        <v>1443</v>
      </c>
      <c r="D340">
        <v>85</v>
      </c>
      <c r="E340" t="s">
        <v>1321</v>
      </c>
      <c r="F340" t="str">
        <f>_xlfn.XLOOKUP(Log_Reseau_Master[[#This Row],[Cell_ID]],_29_03_2026_Registre_Maintenance_V2[ID_Antenne],_29_03_2026_Registre_Maintenance_V2[Province_RDC],"Pas de correspondance")</f>
        <v>Pas de correspondance</v>
      </c>
      <c r="G340" t="str">
        <f>_xlfn.XLOOKUP(Log_Reseau_Master[[#This Row],[Cell_ID]],_29_03_2026_Registre_Maintenance_V2[ID_Antenne],_29_03_2026_Registre_Maintenance_V2[Technologie],"Pas de correspondance")</f>
        <v>Pas de correspondance</v>
      </c>
      <c r="H340" t="str">
        <f>_xlfn.XLOOKUP(Log_Reseau_Master[[#This Row],[Cell_ID]],_29_03_2026_Registre_Maintenance_V2[ID_Antenne],_29_03_2026_Registre_Maintenance_V2[Equipementier],"Pas de correspondance")</f>
        <v>Pas de correspondance</v>
      </c>
    </row>
    <row r="341" spans="1:8" hidden="1" x14ac:dyDescent="0.25">
      <c r="A341" s="1">
        <v>45225.129166666666</v>
      </c>
      <c r="B341">
        <f>Log_Reseau_Master[[#This Row],[Duree_Panne_Min]]/1440</f>
        <v>2.5000000000000001E-2</v>
      </c>
      <c r="C341" t="s">
        <v>1443</v>
      </c>
      <c r="D341">
        <v>36</v>
      </c>
      <c r="E341" t="s">
        <v>1321</v>
      </c>
      <c r="F341" t="str">
        <f>_xlfn.XLOOKUP(Log_Reseau_Master[[#This Row],[Cell_ID]],_29_03_2026_Registre_Maintenance_V2[ID_Antenne],_29_03_2026_Registre_Maintenance_V2[Province_RDC],"Pas de correspondance")</f>
        <v>Pas de correspondance</v>
      </c>
      <c r="G341" t="str">
        <f>_xlfn.XLOOKUP(Log_Reseau_Master[[#This Row],[Cell_ID]],_29_03_2026_Registre_Maintenance_V2[ID_Antenne],_29_03_2026_Registre_Maintenance_V2[Technologie],"Pas de correspondance")</f>
        <v>Pas de correspondance</v>
      </c>
      <c r="H341" t="str">
        <f>_xlfn.XLOOKUP(Log_Reseau_Master[[#This Row],[Cell_ID]],_29_03_2026_Registre_Maintenance_V2[ID_Antenne],_29_03_2026_Registre_Maintenance_V2[Equipementier],"Pas de correspondance")</f>
        <v>Pas de correspondance</v>
      </c>
    </row>
    <row r="342" spans="1:8" hidden="1" x14ac:dyDescent="0.25">
      <c r="A342" s="1">
        <v>45230.537499999999</v>
      </c>
      <c r="B342">
        <f>Log_Reseau_Master[[#This Row],[Duree_Panne_Min]]/1440</f>
        <v>2.2916666666666665E-2</v>
      </c>
      <c r="C342" t="s">
        <v>1444</v>
      </c>
      <c r="D342">
        <v>33</v>
      </c>
      <c r="E342" t="s">
        <v>1312</v>
      </c>
      <c r="F342" t="str">
        <f>_xlfn.XLOOKUP(Log_Reseau_Master[[#This Row],[Cell_ID]],_29_03_2026_Registre_Maintenance_V2[ID_Antenne],_29_03_2026_Registre_Maintenance_V2[Province_RDC],"Pas de correspondance")</f>
        <v>Pas de correspondance</v>
      </c>
      <c r="G342" t="str">
        <f>_xlfn.XLOOKUP(Log_Reseau_Master[[#This Row],[Cell_ID]],_29_03_2026_Registre_Maintenance_V2[ID_Antenne],_29_03_2026_Registre_Maintenance_V2[Technologie],"Pas de correspondance")</f>
        <v>Pas de correspondance</v>
      </c>
      <c r="H342" t="str">
        <f>_xlfn.XLOOKUP(Log_Reseau_Master[[#This Row],[Cell_ID]],_29_03_2026_Registre_Maintenance_V2[ID_Antenne],_29_03_2026_Registre_Maintenance_V2[Equipementier],"Pas de correspondance")</f>
        <v>Pas de correspondance</v>
      </c>
    </row>
    <row r="343" spans="1:8" hidden="1" x14ac:dyDescent="0.25">
      <c r="A343" s="1">
        <v>45225.384027777778</v>
      </c>
      <c r="B343">
        <f>Log_Reseau_Master[[#This Row],[Duree_Panne_Min]]/1440</f>
        <v>2.9166666666666667E-2</v>
      </c>
      <c r="C343" t="s">
        <v>1444</v>
      </c>
      <c r="D343">
        <v>42</v>
      </c>
      <c r="E343" t="s">
        <v>1314</v>
      </c>
      <c r="F343" t="str">
        <f>_xlfn.XLOOKUP(Log_Reseau_Master[[#This Row],[Cell_ID]],_29_03_2026_Registre_Maintenance_V2[ID_Antenne],_29_03_2026_Registre_Maintenance_V2[Province_RDC],"Pas de correspondance")</f>
        <v>Pas de correspondance</v>
      </c>
      <c r="G343" t="str">
        <f>_xlfn.XLOOKUP(Log_Reseau_Master[[#This Row],[Cell_ID]],_29_03_2026_Registre_Maintenance_V2[ID_Antenne],_29_03_2026_Registre_Maintenance_V2[Technologie],"Pas de correspondance")</f>
        <v>Pas de correspondance</v>
      </c>
      <c r="H343" t="str">
        <f>_xlfn.XLOOKUP(Log_Reseau_Master[[#This Row],[Cell_ID]],_29_03_2026_Registre_Maintenance_V2[ID_Antenne],_29_03_2026_Registre_Maintenance_V2[Equipementier],"Pas de correspondance")</f>
        <v>Pas de correspondance</v>
      </c>
    </row>
    <row r="344" spans="1:8" hidden="1" x14ac:dyDescent="0.25">
      <c r="A344" s="1">
        <v>45216.513888888891</v>
      </c>
      <c r="B344">
        <f>Log_Reseau_Master[[#This Row],[Duree_Panne_Min]]/1440</f>
        <v>5.0694444444444445E-2</v>
      </c>
      <c r="C344" t="s">
        <v>1445</v>
      </c>
      <c r="D344">
        <v>73</v>
      </c>
      <c r="E344" t="s">
        <v>1312</v>
      </c>
      <c r="F344" t="str">
        <f>_xlfn.XLOOKUP(Log_Reseau_Master[[#This Row],[Cell_ID]],_29_03_2026_Registre_Maintenance_V2[ID_Antenne],_29_03_2026_Registre_Maintenance_V2[Province_RDC],"Pas de correspondance")</f>
        <v>Pas de correspondance</v>
      </c>
      <c r="G344" t="str">
        <f>_xlfn.XLOOKUP(Log_Reseau_Master[[#This Row],[Cell_ID]],_29_03_2026_Registre_Maintenance_V2[ID_Antenne],_29_03_2026_Registre_Maintenance_V2[Technologie],"Pas de correspondance")</f>
        <v>Pas de correspondance</v>
      </c>
      <c r="H344" t="str">
        <f>_xlfn.XLOOKUP(Log_Reseau_Master[[#This Row],[Cell_ID]],_29_03_2026_Registre_Maintenance_V2[ID_Antenne],_29_03_2026_Registre_Maintenance_V2[Equipementier],"Pas de correspondance")</f>
        <v>Pas de correspondance</v>
      </c>
    </row>
    <row r="345" spans="1:8" hidden="1" x14ac:dyDescent="0.25">
      <c r="A345" s="1">
        <v>45222.467361111114</v>
      </c>
      <c r="B345">
        <f>Log_Reseau_Master[[#This Row],[Duree_Panne_Min]]/1440</f>
        <v>7.2222222222222215E-2</v>
      </c>
      <c r="C345" t="s">
        <v>1446</v>
      </c>
      <c r="D345">
        <v>104</v>
      </c>
      <c r="E345" t="s">
        <v>1321</v>
      </c>
      <c r="F345" t="str">
        <f>_xlfn.XLOOKUP(Log_Reseau_Master[[#This Row],[Cell_ID]],_29_03_2026_Registre_Maintenance_V2[ID_Antenne],_29_03_2026_Registre_Maintenance_V2[Province_RDC],"Pas de correspondance")</f>
        <v>Pas de correspondance</v>
      </c>
      <c r="G345" t="str">
        <f>_xlfn.XLOOKUP(Log_Reseau_Master[[#This Row],[Cell_ID]],_29_03_2026_Registre_Maintenance_V2[ID_Antenne],_29_03_2026_Registre_Maintenance_V2[Technologie],"Pas de correspondance")</f>
        <v>Pas de correspondance</v>
      </c>
      <c r="H345" t="str">
        <f>_xlfn.XLOOKUP(Log_Reseau_Master[[#This Row],[Cell_ID]],_29_03_2026_Registre_Maintenance_V2[ID_Antenne],_29_03_2026_Registre_Maintenance_V2[Equipementier],"Pas de correspondance")</f>
        <v>Pas de correspondance</v>
      </c>
    </row>
    <row r="346" spans="1:8" hidden="1" x14ac:dyDescent="0.25">
      <c r="A346" s="1">
        <v>45221.498611111114</v>
      </c>
      <c r="B346">
        <f>Log_Reseau_Master[[#This Row],[Duree_Panne_Min]]/1440</f>
        <v>8.0555555555555561E-2</v>
      </c>
      <c r="C346" t="s">
        <v>1447</v>
      </c>
      <c r="D346">
        <v>116</v>
      </c>
      <c r="E346" t="s">
        <v>1312</v>
      </c>
      <c r="F346" t="str">
        <f>_xlfn.XLOOKUP(Log_Reseau_Master[[#This Row],[Cell_ID]],_29_03_2026_Registre_Maintenance_V2[ID_Antenne],_29_03_2026_Registre_Maintenance_V2[Province_RDC],"Pas de correspondance")</f>
        <v>Pas de correspondance</v>
      </c>
      <c r="G346" t="str">
        <f>_xlfn.XLOOKUP(Log_Reseau_Master[[#This Row],[Cell_ID]],_29_03_2026_Registre_Maintenance_V2[ID_Antenne],_29_03_2026_Registre_Maintenance_V2[Technologie],"Pas de correspondance")</f>
        <v>Pas de correspondance</v>
      </c>
      <c r="H346" t="str">
        <f>_xlfn.XLOOKUP(Log_Reseau_Master[[#This Row],[Cell_ID]],_29_03_2026_Registre_Maintenance_V2[ID_Antenne],_29_03_2026_Registre_Maintenance_V2[Equipementier],"Pas de correspondance")</f>
        <v>Pas de correspondance</v>
      </c>
    </row>
    <row r="347" spans="1:8" x14ac:dyDescent="0.25">
      <c r="A347" s="1">
        <v>45221.836111111108</v>
      </c>
      <c r="B347" s="4">
        <f>Log_Reseau_Master[[#This Row],[Duree_Panne_Min]]/1440</f>
        <v>4.1666666666666666E-3</v>
      </c>
      <c r="C347" t="s">
        <v>145</v>
      </c>
      <c r="D347">
        <v>6</v>
      </c>
      <c r="E347" t="s">
        <v>1321</v>
      </c>
      <c r="F347" t="str">
        <f>_xlfn.XLOOKUP(Log_Reseau_Master[[#This Row],[Cell_ID]],_29_03_2026_Registre_Maintenance_V2[ID_Antenne],_29_03_2026_Registre_Maintenance_V2[Province_RDC],"Pas de correspondance")</f>
        <v>Kasai</v>
      </c>
      <c r="G347" t="str">
        <f>_xlfn.XLOOKUP(Log_Reseau_Master[[#This Row],[Cell_ID]],_29_03_2026_Registre_Maintenance_V2[ID_Antenne],_29_03_2026_Registre_Maintenance_V2[Technologie],"Pas de correspondance")</f>
        <v>4G</v>
      </c>
      <c r="H347" t="str">
        <f>_xlfn.XLOOKUP(Log_Reseau_Master[[#This Row],[Cell_ID]],_29_03_2026_Registre_Maintenance_V2[ID_Antenne],_29_03_2026_Registre_Maintenance_V2[Equipementier],"Pas de correspondance")</f>
        <v>Huawei</v>
      </c>
    </row>
    <row r="348" spans="1:8" x14ac:dyDescent="0.25">
      <c r="A348" s="1">
        <v>45205.052777777775</v>
      </c>
      <c r="B348" s="4">
        <f>Log_Reseau_Master[[#This Row],[Duree_Panne_Min]]/1440</f>
        <v>7.0833333333333331E-2</v>
      </c>
      <c r="C348" t="s">
        <v>145</v>
      </c>
      <c r="D348">
        <v>102</v>
      </c>
      <c r="E348" t="s">
        <v>1312</v>
      </c>
      <c r="F348" t="str">
        <f>_xlfn.XLOOKUP(Log_Reseau_Master[[#This Row],[Cell_ID]],_29_03_2026_Registre_Maintenance_V2[ID_Antenne],_29_03_2026_Registre_Maintenance_V2[Province_RDC],"Pas de correspondance")</f>
        <v>Kasai</v>
      </c>
      <c r="G348" t="str">
        <f>_xlfn.XLOOKUP(Log_Reseau_Master[[#This Row],[Cell_ID]],_29_03_2026_Registre_Maintenance_V2[ID_Antenne],_29_03_2026_Registre_Maintenance_V2[Technologie],"Pas de correspondance")</f>
        <v>4G</v>
      </c>
      <c r="H348" t="str">
        <f>_xlfn.XLOOKUP(Log_Reseau_Master[[#This Row],[Cell_ID]],_29_03_2026_Registre_Maintenance_V2[ID_Antenne],_29_03_2026_Registre_Maintenance_V2[Equipementier],"Pas de correspondance")</f>
        <v>Huawei</v>
      </c>
    </row>
    <row r="349" spans="1:8" hidden="1" x14ac:dyDescent="0.25">
      <c r="A349" s="1">
        <v>45227.705555555556</v>
      </c>
      <c r="B349">
        <f>Log_Reseau_Master[[#This Row],[Duree_Panne_Min]]/1440</f>
        <v>7.4999999999999997E-2</v>
      </c>
      <c r="C349" t="s">
        <v>1448</v>
      </c>
      <c r="D349">
        <v>108</v>
      </c>
      <c r="E349" t="s">
        <v>1312</v>
      </c>
      <c r="F349" t="str">
        <f>_xlfn.XLOOKUP(Log_Reseau_Master[[#This Row],[Cell_ID]],_29_03_2026_Registre_Maintenance_V2[ID_Antenne],_29_03_2026_Registre_Maintenance_V2[Province_RDC],"Pas de correspondance")</f>
        <v>Pas de correspondance</v>
      </c>
      <c r="G349" t="str">
        <f>_xlfn.XLOOKUP(Log_Reseau_Master[[#This Row],[Cell_ID]],_29_03_2026_Registre_Maintenance_V2[ID_Antenne],_29_03_2026_Registre_Maintenance_V2[Technologie],"Pas de correspondance")</f>
        <v>Pas de correspondance</v>
      </c>
      <c r="H349" t="str">
        <f>_xlfn.XLOOKUP(Log_Reseau_Master[[#This Row],[Cell_ID]],_29_03_2026_Registre_Maintenance_V2[ID_Antenne],_29_03_2026_Registre_Maintenance_V2[Equipementier],"Pas de correspondance")</f>
        <v>Pas de correspondance</v>
      </c>
    </row>
    <row r="350" spans="1:8" hidden="1" x14ac:dyDescent="0.25">
      <c r="A350" s="1">
        <v>45227.724305555559</v>
      </c>
      <c r="B350">
        <f>Log_Reseau_Master[[#This Row],[Duree_Panne_Min]]/1440</f>
        <v>1.3888888888888888E-2</v>
      </c>
      <c r="C350" t="s">
        <v>1448</v>
      </c>
      <c r="D350">
        <v>20</v>
      </c>
      <c r="E350" t="s">
        <v>1314</v>
      </c>
      <c r="F350" t="str">
        <f>_xlfn.XLOOKUP(Log_Reseau_Master[[#This Row],[Cell_ID]],_29_03_2026_Registre_Maintenance_V2[ID_Antenne],_29_03_2026_Registre_Maintenance_V2[Province_RDC],"Pas de correspondance")</f>
        <v>Pas de correspondance</v>
      </c>
      <c r="G350" t="str">
        <f>_xlfn.XLOOKUP(Log_Reseau_Master[[#This Row],[Cell_ID]],_29_03_2026_Registre_Maintenance_V2[ID_Antenne],_29_03_2026_Registre_Maintenance_V2[Technologie],"Pas de correspondance")</f>
        <v>Pas de correspondance</v>
      </c>
      <c r="H350" t="str">
        <f>_xlfn.XLOOKUP(Log_Reseau_Master[[#This Row],[Cell_ID]],_29_03_2026_Registre_Maintenance_V2[ID_Antenne],_29_03_2026_Registre_Maintenance_V2[Equipementier],"Pas de correspondance")</f>
        <v>Pas de correspondance</v>
      </c>
    </row>
    <row r="351" spans="1:8" hidden="1" x14ac:dyDescent="0.25">
      <c r="A351" s="1">
        <v>45204.759027777778</v>
      </c>
      <c r="B351">
        <f>Log_Reseau_Master[[#This Row],[Duree_Panne_Min]]/1440</f>
        <v>7.2916666666666671E-2</v>
      </c>
      <c r="C351" t="s">
        <v>1448</v>
      </c>
      <c r="D351">
        <v>105</v>
      </c>
      <c r="E351" t="s">
        <v>1321</v>
      </c>
      <c r="F351" t="str">
        <f>_xlfn.XLOOKUP(Log_Reseau_Master[[#This Row],[Cell_ID]],_29_03_2026_Registre_Maintenance_V2[ID_Antenne],_29_03_2026_Registre_Maintenance_V2[Province_RDC],"Pas de correspondance")</f>
        <v>Pas de correspondance</v>
      </c>
      <c r="G351" t="str">
        <f>_xlfn.XLOOKUP(Log_Reseau_Master[[#This Row],[Cell_ID]],_29_03_2026_Registre_Maintenance_V2[ID_Antenne],_29_03_2026_Registre_Maintenance_V2[Technologie],"Pas de correspondance")</f>
        <v>Pas de correspondance</v>
      </c>
      <c r="H351" t="str">
        <f>_xlfn.XLOOKUP(Log_Reseau_Master[[#This Row],[Cell_ID]],_29_03_2026_Registre_Maintenance_V2[ID_Antenne],_29_03_2026_Registre_Maintenance_V2[Equipementier],"Pas de correspondance")</f>
        <v>Pas de correspondance</v>
      </c>
    </row>
    <row r="352" spans="1:8" hidden="1" x14ac:dyDescent="0.25">
      <c r="A352" s="1">
        <v>45224.963888888888</v>
      </c>
      <c r="B352">
        <f>Log_Reseau_Master[[#This Row],[Duree_Panne_Min]]/1440</f>
        <v>5.7638888888888892E-2</v>
      </c>
      <c r="C352" t="s">
        <v>1449</v>
      </c>
      <c r="D352">
        <v>83</v>
      </c>
      <c r="E352" t="s">
        <v>1312</v>
      </c>
      <c r="F352" t="str">
        <f>_xlfn.XLOOKUP(Log_Reseau_Master[[#This Row],[Cell_ID]],_29_03_2026_Registre_Maintenance_V2[ID_Antenne],_29_03_2026_Registre_Maintenance_V2[Province_RDC],"Pas de correspondance")</f>
        <v>Pas de correspondance</v>
      </c>
      <c r="G352" t="str">
        <f>_xlfn.XLOOKUP(Log_Reseau_Master[[#This Row],[Cell_ID]],_29_03_2026_Registre_Maintenance_V2[ID_Antenne],_29_03_2026_Registre_Maintenance_V2[Technologie],"Pas de correspondance")</f>
        <v>Pas de correspondance</v>
      </c>
      <c r="H352" t="str">
        <f>_xlfn.XLOOKUP(Log_Reseau_Master[[#This Row],[Cell_ID]],_29_03_2026_Registre_Maintenance_V2[ID_Antenne],_29_03_2026_Registre_Maintenance_V2[Equipementier],"Pas de correspondance")</f>
        <v>Pas de correspondance</v>
      </c>
    </row>
    <row r="353" spans="1:8" hidden="1" x14ac:dyDescent="0.25">
      <c r="A353" s="1">
        <v>45221.384722222225</v>
      </c>
      <c r="B353">
        <f>Log_Reseau_Master[[#This Row],[Duree_Panne_Min]]/1440</f>
        <v>6.3888888888888884E-2</v>
      </c>
      <c r="C353" t="s">
        <v>1450</v>
      </c>
      <c r="D353">
        <v>92</v>
      </c>
      <c r="E353" t="s">
        <v>1312</v>
      </c>
      <c r="F353" t="str">
        <f>_xlfn.XLOOKUP(Log_Reseau_Master[[#This Row],[Cell_ID]],_29_03_2026_Registre_Maintenance_V2[ID_Antenne],_29_03_2026_Registre_Maintenance_V2[Province_RDC],"Pas de correspondance")</f>
        <v>Pas de correspondance</v>
      </c>
      <c r="G353" t="str">
        <f>_xlfn.XLOOKUP(Log_Reseau_Master[[#This Row],[Cell_ID]],_29_03_2026_Registre_Maintenance_V2[ID_Antenne],_29_03_2026_Registre_Maintenance_V2[Technologie],"Pas de correspondance")</f>
        <v>Pas de correspondance</v>
      </c>
      <c r="H353" t="str">
        <f>_xlfn.XLOOKUP(Log_Reseau_Master[[#This Row],[Cell_ID]],_29_03_2026_Registre_Maintenance_V2[ID_Antenne],_29_03_2026_Registre_Maintenance_V2[Equipementier],"Pas de correspondance")</f>
        <v>Pas de correspondance</v>
      </c>
    </row>
    <row r="354" spans="1:8" hidden="1" x14ac:dyDescent="0.25">
      <c r="A354" s="1">
        <v>45214.613194444442</v>
      </c>
      <c r="B354">
        <f>Log_Reseau_Master[[#This Row],[Duree_Panne_Min]]/1440</f>
        <v>4.2361111111111113E-2</v>
      </c>
      <c r="C354" t="s">
        <v>1451</v>
      </c>
      <c r="D354">
        <v>61</v>
      </c>
      <c r="E354" t="s">
        <v>1321</v>
      </c>
      <c r="F354" t="str">
        <f>_xlfn.XLOOKUP(Log_Reseau_Master[[#This Row],[Cell_ID]],_29_03_2026_Registre_Maintenance_V2[ID_Antenne],_29_03_2026_Registre_Maintenance_V2[Province_RDC],"Pas de correspondance")</f>
        <v>Pas de correspondance</v>
      </c>
      <c r="G354" t="str">
        <f>_xlfn.XLOOKUP(Log_Reseau_Master[[#This Row],[Cell_ID]],_29_03_2026_Registre_Maintenance_V2[ID_Antenne],_29_03_2026_Registre_Maintenance_V2[Technologie],"Pas de correspondance")</f>
        <v>Pas de correspondance</v>
      </c>
      <c r="H354" t="str">
        <f>_xlfn.XLOOKUP(Log_Reseau_Master[[#This Row],[Cell_ID]],_29_03_2026_Registre_Maintenance_V2[ID_Antenne],_29_03_2026_Registre_Maintenance_V2[Equipementier],"Pas de correspondance")</f>
        <v>Pas de correspondance</v>
      </c>
    </row>
    <row r="355" spans="1:8" x14ac:dyDescent="0.25">
      <c r="A355" s="1">
        <v>45219.095833333333</v>
      </c>
      <c r="B355" s="4">
        <f>Log_Reseau_Master[[#This Row],[Duree_Panne_Min]]/1440</f>
        <v>7.8472222222222221E-2</v>
      </c>
      <c r="C355" t="s">
        <v>204</v>
      </c>
      <c r="D355">
        <v>113</v>
      </c>
      <c r="E355" t="s">
        <v>1321</v>
      </c>
      <c r="F355" t="str">
        <f>_xlfn.XLOOKUP(Log_Reseau_Master[[#This Row],[Cell_ID]],_29_03_2026_Registre_Maintenance_V2[ID_Antenne],_29_03_2026_Registre_Maintenance_V2[Province_RDC],"Pas de correspondance")</f>
        <v>Bas-Uele</v>
      </c>
      <c r="G355" t="str">
        <f>_xlfn.XLOOKUP(Log_Reseau_Master[[#This Row],[Cell_ID]],_29_03_2026_Registre_Maintenance_V2[ID_Antenne],_29_03_2026_Registre_Maintenance_V2[Technologie],"Pas de correspondance")</f>
        <v>5G</v>
      </c>
      <c r="H355" t="str">
        <f>_xlfn.XLOOKUP(Log_Reseau_Master[[#This Row],[Cell_ID]],_29_03_2026_Registre_Maintenance_V2[ID_Antenne],_29_03_2026_Registre_Maintenance_V2[Equipementier],"Pas de correspondance")</f>
        <v>ZTE</v>
      </c>
    </row>
    <row r="356" spans="1:8" x14ac:dyDescent="0.25">
      <c r="A356" s="1">
        <v>45214.172222222223</v>
      </c>
      <c r="B356" s="4">
        <f>Log_Reseau_Master[[#This Row],[Duree_Panne_Min]]/1440</f>
        <v>4.1666666666666666E-3</v>
      </c>
      <c r="C356" t="s">
        <v>204</v>
      </c>
      <c r="D356">
        <v>6</v>
      </c>
      <c r="E356" t="s">
        <v>1314</v>
      </c>
      <c r="F356" t="str">
        <f>_xlfn.XLOOKUP(Log_Reseau_Master[[#This Row],[Cell_ID]],_29_03_2026_Registre_Maintenance_V2[ID_Antenne],_29_03_2026_Registre_Maintenance_V2[Province_RDC],"Pas de correspondance")</f>
        <v>Bas-Uele</v>
      </c>
      <c r="G356" t="str">
        <f>_xlfn.XLOOKUP(Log_Reseau_Master[[#This Row],[Cell_ID]],_29_03_2026_Registre_Maintenance_V2[ID_Antenne],_29_03_2026_Registre_Maintenance_V2[Technologie],"Pas de correspondance")</f>
        <v>5G</v>
      </c>
      <c r="H356" t="str">
        <f>_xlfn.XLOOKUP(Log_Reseau_Master[[#This Row],[Cell_ID]],_29_03_2026_Registre_Maintenance_V2[ID_Antenne],_29_03_2026_Registre_Maintenance_V2[Equipementier],"Pas de correspondance")</f>
        <v>ZTE</v>
      </c>
    </row>
    <row r="357" spans="1:8" x14ac:dyDescent="0.25">
      <c r="A357" s="1">
        <v>45228.614583333336</v>
      </c>
      <c r="B357" s="4">
        <f>Log_Reseau_Master[[#This Row],[Duree_Panne_Min]]/1440</f>
        <v>3.3333333333333333E-2</v>
      </c>
      <c r="C357" t="s">
        <v>204</v>
      </c>
      <c r="D357">
        <v>48</v>
      </c>
      <c r="E357" t="s">
        <v>1312</v>
      </c>
      <c r="F357" t="str">
        <f>_xlfn.XLOOKUP(Log_Reseau_Master[[#This Row],[Cell_ID]],_29_03_2026_Registre_Maintenance_V2[ID_Antenne],_29_03_2026_Registre_Maintenance_V2[Province_RDC],"Pas de correspondance")</f>
        <v>Bas-Uele</v>
      </c>
      <c r="G357" t="str">
        <f>_xlfn.XLOOKUP(Log_Reseau_Master[[#This Row],[Cell_ID]],_29_03_2026_Registre_Maintenance_V2[ID_Antenne],_29_03_2026_Registre_Maintenance_V2[Technologie],"Pas de correspondance")</f>
        <v>5G</v>
      </c>
      <c r="H357" t="str">
        <f>_xlfn.XLOOKUP(Log_Reseau_Master[[#This Row],[Cell_ID]],_29_03_2026_Registre_Maintenance_V2[ID_Antenne],_29_03_2026_Registre_Maintenance_V2[Equipementier],"Pas de correspondance")</f>
        <v>ZTE</v>
      </c>
    </row>
    <row r="358" spans="1:8" x14ac:dyDescent="0.25">
      <c r="A358" s="1">
        <v>45222.763194444444</v>
      </c>
      <c r="B358" s="4">
        <f>Log_Reseau_Master[[#This Row],[Duree_Panne_Min]]/1440</f>
        <v>6.3194444444444442E-2</v>
      </c>
      <c r="C358" t="s">
        <v>204</v>
      </c>
      <c r="D358">
        <v>91</v>
      </c>
      <c r="E358" t="s">
        <v>1321</v>
      </c>
      <c r="F358" t="str">
        <f>_xlfn.XLOOKUP(Log_Reseau_Master[[#This Row],[Cell_ID]],_29_03_2026_Registre_Maintenance_V2[ID_Antenne],_29_03_2026_Registre_Maintenance_V2[Province_RDC],"Pas de correspondance")</f>
        <v>Bas-Uele</v>
      </c>
      <c r="G358" t="str">
        <f>_xlfn.XLOOKUP(Log_Reseau_Master[[#This Row],[Cell_ID]],_29_03_2026_Registre_Maintenance_V2[ID_Antenne],_29_03_2026_Registre_Maintenance_V2[Technologie],"Pas de correspondance")</f>
        <v>5G</v>
      </c>
      <c r="H358" t="str">
        <f>_xlfn.XLOOKUP(Log_Reseau_Master[[#This Row],[Cell_ID]],_29_03_2026_Registre_Maintenance_V2[ID_Antenne],_29_03_2026_Registre_Maintenance_V2[Equipementier],"Pas de correspondance")</f>
        <v>ZTE</v>
      </c>
    </row>
    <row r="359" spans="1:8" hidden="1" x14ac:dyDescent="0.25">
      <c r="A359" s="1">
        <v>45203.570833333331</v>
      </c>
      <c r="B359">
        <f>Log_Reseau_Master[[#This Row],[Duree_Panne_Min]]/1440</f>
        <v>4.7222222222222221E-2</v>
      </c>
      <c r="C359" t="s">
        <v>1452</v>
      </c>
      <c r="D359">
        <v>68</v>
      </c>
      <c r="E359" t="s">
        <v>1321</v>
      </c>
      <c r="F359" t="str">
        <f>_xlfn.XLOOKUP(Log_Reseau_Master[[#This Row],[Cell_ID]],_29_03_2026_Registre_Maintenance_V2[ID_Antenne],_29_03_2026_Registre_Maintenance_V2[Province_RDC],"Pas de correspondance")</f>
        <v>Pas de correspondance</v>
      </c>
      <c r="G359" t="str">
        <f>_xlfn.XLOOKUP(Log_Reseau_Master[[#This Row],[Cell_ID]],_29_03_2026_Registre_Maintenance_V2[ID_Antenne],_29_03_2026_Registre_Maintenance_V2[Technologie],"Pas de correspondance")</f>
        <v>Pas de correspondance</v>
      </c>
      <c r="H359" t="str">
        <f>_xlfn.XLOOKUP(Log_Reseau_Master[[#This Row],[Cell_ID]],_29_03_2026_Registre_Maintenance_V2[ID_Antenne],_29_03_2026_Registre_Maintenance_V2[Equipementier],"Pas de correspondance")</f>
        <v>Pas de correspondance</v>
      </c>
    </row>
    <row r="360" spans="1:8" hidden="1" x14ac:dyDescent="0.25">
      <c r="A360" s="1">
        <v>45229.298611111109</v>
      </c>
      <c r="B360">
        <f>Log_Reseau_Master[[#This Row],[Duree_Panne_Min]]/1440</f>
        <v>5.1388888888888887E-2</v>
      </c>
      <c r="C360" t="s">
        <v>1453</v>
      </c>
      <c r="D360">
        <v>74</v>
      </c>
      <c r="E360" t="s">
        <v>1321</v>
      </c>
      <c r="F360" t="str">
        <f>_xlfn.XLOOKUP(Log_Reseau_Master[[#This Row],[Cell_ID]],_29_03_2026_Registre_Maintenance_V2[ID_Antenne],_29_03_2026_Registre_Maintenance_V2[Province_RDC],"Pas de correspondance")</f>
        <v>Pas de correspondance</v>
      </c>
      <c r="G360" t="str">
        <f>_xlfn.XLOOKUP(Log_Reseau_Master[[#This Row],[Cell_ID]],_29_03_2026_Registre_Maintenance_V2[ID_Antenne],_29_03_2026_Registre_Maintenance_V2[Technologie],"Pas de correspondance")</f>
        <v>Pas de correspondance</v>
      </c>
      <c r="H360" t="str">
        <f>_xlfn.XLOOKUP(Log_Reseau_Master[[#This Row],[Cell_ID]],_29_03_2026_Registre_Maintenance_V2[ID_Antenne],_29_03_2026_Registre_Maintenance_V2[Equipementier],"Pas de correspondance")</f>
        <v>Pas de correspondance</v>
      </c>
    </row>
    <row r="361" spans="1:8" hidden="1" x14ac:dyDescent="0.25">
      <c r="A361" s="1">
        <v>45211.546527777777</v>
      </c>
      <c r="B361">
        <f>Log_Reseau_Master[[#This Row],[Duree_Panne_Min]]/1440</f>
        <v>7.9861111111111105E-2</v>
      </c>
      <c r="C361" t="s">
        <v>1453</v>
      </c>
      <c r="D361">
        <v>115</v>
      </c>
      <c r="E361" t="s">
        <v>1314</v>
      </c>
      <c r="F361" t="str">
        <f>_xlfn.XLOOKUP(Log_Reseau_Master[[#This Row],[Cell_ID]],_29_03_2026_Registre_Maintenance_V2[ID_Antenne],_29_03_2026_Registre_Maintenance_V2[Province_RDC],"Pas de correspondance")</f>
        <v>Pas de correspondance</v>
      </c>
      <c r="G361" t="str">
        <f>_xlfn.XLOOKUP(Log_Reseau_Master[[#This Row],[Cell_ID]],_29_03_2026_Registre_Maintenance_V2[ID_Antenne],_29_03_2026_Registre_Maintenance_V2[Technologie],"Pas de correspondance")</f>
        <v>Pas de correspondance</v>
      </c>
      <c r="H361" t="str">
        <f>_xlfn.XLOOKUP(Log_Reseau_Master[[#This Row],[Cell_ID]],_29_03_2026_Registre_Maintenance_V2[ID_Antenne],_29_03_2026_Registre_Maintenance_V2[Equipementier],"Pas de correspondance")</f>
        <v>Pas de correspondance</v>
      </c>
    </row>
    <row r="362" spans="1:8" hidden="1" x14ac:dyDescent="0.25">
      <c r="A362" s="1">
        <v>45225.211111111108</v>
      </c>
      <c r="B362">
        <f>Log_Reseau_Master[[#This Row],[Duree_Panne_Min]]/1440</f>
        <v>2.2916666666666665E-2</v>
      </c>
      <c r="C362" t="s">
        <v>1454</v>
      </c>
      <c r="D362">
        <v>33</v>
      </c>
      <c r="E362" t="s">
        <v>1312</v>
      </c>
      <c r="F362" t="str">
        <f>_xlfn.XLOOKUP(Log_Reseau_Master[[#This Row],[Cell_ID]],_29_03_2026_Registre_Maintenance_V2[ID_Antenne],_29_03_2026_Registre_Maintenance_V2[Province_RDC],"Pas de correspondance")</f>
        <v>Pas de correspondance</v>
      </c>
      <c r="G362" t="str">
        <f>_xlfn.XLOOKUP(Log_Reseau_Master[[#This Row],[Cell_ID]],_29_03_2026_Registre_Maintenance_V2[ID_Antenne],_29_03_2026_Registre_Maintenance_V2[Technologie],"Pas de correspondance")</f>
        <v>Pas de correspondance</v>
      </c>
      <c r="H362" t="str">
        <f>_xlfn.XLOOKUP(Log_Reseau_Master[[#This Row],[Cell_ID]],_29_03_2026_Registre_Maintenance_V2[ID_Antenne],_29_03_2026_Registre_Maintenance_V2[Equipementier],"Pas de correspondance")</f>
        <v>Pas de correspondance</v>
      </c>
    </row>
    <row r="363" spans="1:8" x14ac:dyDescent="0.25">
      <c r="A363" s="1">
        <v>45213.342361111114</v>
      </c>
      <c r="B363" s="4">
        <f>Log_Reseau_Master[[#This Row],[Duree_Panne_Min]]/1440</f>
        <v>4.3749999999999997E-2</v>
      </c>
      <c r="C363" t="s">
        <v>475</v>
      </c>
      <c r="D363">
        <v>63</v>
      </c>
      <c r="E363" t="s">
        <v>1312</v>
      </c>
      <c r="F363" t="str">
        <f>_xlfn.XLOOKUP(Log_Reseau_Master[[#This Row],[Cell_ID]],_29_03_2026_Registre_Maintenance_V2[ID_Antenne],_29_03_2026_Registre_Maintenance_V2[Province_RDC],"Pas de correspondance")</f>
        <v>Sud-Kivu</v>
      </c>
      <c r="G363" t="str">
        <f>_xlfn.XLOOKUP(Log_Reseau_Master[[#This Row],[Cell_ID]],_29_03_2026_Registre_Maintenance_V2[ID_Antenne],_29_03_2026_Registre_Maintenance_V2[Technologie],"Pas de correspondance")</f>
        <v>5G</v>
      </c>
      <c r="H363" t="str">
        <f>_xlfn.XLOOKUP(Log_Reseau_Master[[#This Row],[Cell_ID]],_29_03_2026_Registre_Maintenance_V2[ID_Antenne],_29_03_2026_Registre_Maintenance_V2[Equipementier],"Pas de correspondance")</f>
        <v>Nokia</v>
      </c>
    </row>
    <row r="364" spans="1:8" hidden="1" x14ac:dyDescent="0.25">
      <c r="A364" s="1">
        <v>45202.361805555556</v>
      </c>
      <c r="B364">
        <f>Log_Reseau_Master[[#This Row],[Duree_Panne_Min]]/1440</f>
        <v>1.0416666666666666E-2</v>
      </c>
      <c r="C364" t="s">
        <v>1455</v>
      </c>
      <c r="D364">
        <v>15</v>
      </c>
      <c r="E364" t="s">
        <v>1312</v>
      </c>
      <c r="F364" t="str">
        <f>_xlfn.XLOOKUP(Log_Reseau_Master[[#This Row],[Cell_ID]],_29_03_2026_Registre_Maintenance_V2[ID_Antenne],_29_03_2026_Registre_Maintenance_V2[Province_RDC],"Pas de correspondance")</f>
        <v>Pas de correspondance</v>
      </c>
      <c r="G364" t="str">
        <f>_xlfn.XLOOKUP(Log_Reseau_Master[[#This Row],[Cell_ID]],_29_03_2026_Registre_Maintenance_V2[ID_Antenne],_29_03_2026_Registre_Maintenance_V2[Technologie],"Pas de correspondance")</f>
        <v>Pas de correspondance</v>
      </c>
      <c r="H364" t="str">
        <f>_xlfn.XLOOKUP(Log_Reseau_Master[[#This Row],[Cell_ID]],_29_03_2026_Registre_Maintenance_V2[ID_Antenne],_29_03_2026_Registre_Maintenance_V2[Equipementier],"Pas de correspondance")</f>
        <v>Pas de correspondance</v>
      </c>
    </row>
    <row r="365" spans="1:8" x14ac:dyDescent="0.25">
      <c r="A365" s="1">
        <v>45210.961111111108</v>
      </c>
      <c r="B365" s="4">
        <f>Log_Reseau_Master[[#This Row],[Duree_Panne_Min]]/1440</f>
        <v>4.583333333333333E-2</v>
      </c>
      <c r="C365" t="s">
        <v>371</v>
      </c>
      <c r="D365">
        <v>66</v>
      </c>
      <c r="E365" t="s">
        <v>1314</v>
      </c>
      <c r="F365" t="str">
        <f>_xlfn.XLOOKUP(Log_Reseau_Master[[#This Row],[Cell_ID]],_29_03_2026_Registre_Maintenance_V2[ID_Antenne],_29_03_2026_Registre_Maintenance_V2[Province_RDC],"Pas de correspondance")</f>
        <v>Kinshasa</v>
      </c>
      <c r="G365" t="str">
        <f>_xlfn.XLOOKUP(Log_Reseau_Master[[#This Row],[Cell_ID]],_29_03_2026_Registre_Maintenance_V2[ID_Antenne],_29_03_2026_Registre_Maintenance_V2[Technologie],"Pas de correspondance")</f>
        <v>5G</v>
      </c>
      <c r="H365" t="str">
        <f>_xlfn.XLOOKUP(Log_Reseau_Master[[#This Row],[Cell_ID]],_29_03_2026_Registre_Maintenance_V2[ID_Antenne],_29_03_2026_Registre_Maintenance_V2[Equipementier],"Pas de correspondance")</f>
        <v>ZTE</v>
      </c>
    </row>
    <row r="366" spans="1:8" x14ac:dyDescent="0.25">
      <c r="A366" s="1">
        <v>45220.416666666664</v>
      </c>
      <c r="B366" s="4">
        <f>Log_Reseau_Master[[#This Row],[Duree_Panne_Min]]/1440</f>
        <v>2.2222222222222223E-2</v>
      </c>
      <c r="C366" t="s">
        <v>371</v>
      </c>
      <c r="D366">
        <v>32</v>
      </c>
      <c r="E366" t="s">
        <v>1312</v>
      </c>
      <c r="F366" t="str">
        <f>_xlfn.XLOOKUP(Log_Reseau_Master[[#This Row],[Cell_ID]],_29_03_2026_Registre_Maintenance_V2[ID_Antenne],_29_03_2026_Registre_Maintenance_V2[Province_RDC],"Pas de correspondance")</f>
        <v>Kinshasa</v>
      </c>
      <c r="G366" t="str">
        <f>_xlfn.XLOOKUP(Log_Reseau_Master[[#This Row],[Cell_ID]],_29_03_2026_Registre_Maintenance_V2[ID_Antenne],_29_03_2026_Registre_Maintenance_V2[Technologie],"Pas de correspondance")</f>
        <v>5G</v>
      </c>
      <c r="H366" t="str">
        <f>_xlfn.XLOOKUP(Log_Reseau_Master[[#This Row],[Cell_ID]],_29_03_2026_Registre_Maintenance_V2[ID_Antenne],_29_03_2026_Registre_Maintenance_V2[Equipementier],"Pas de correspondance")</f>
        <v>ZTE</v>
      </c>
    </row>
    <row r="367" spans="1:8" hidden="1" x14ac:dyDescent="0.25">
      <c r="A367" s="1">
        <v>45226.747916666667</v>
      </c>
      <c r="B367">
        <f>Log_Reseau_Master[[#This Row],[Duree_Panne_Min]]/1440</f>
        <v>3.6111111111111108E-2</v>
      </c>
      <c r="C367" t="s">
        <v>1456</v>
      </c>
      <c r="D367">
        <v>52</v>
      </c>
      <c r="E367" t="s">
        <v>1312</v>
      </c>
      <c r="F367" t="str">
        <f>_xlfn.XLOOKUP(Log_Reseau_Master[[#This Row],[Cell_ID]],_29_03_2026_Registre_Maintenance_V2[ID_Antenne],_29_03_2026_Registre_Maintenance_V2[Province_RDC],"Pas de correspondance")</f>
        <v>Pas de correspondance</v>
      </c>
      <c r="G367" t="str">
        <f>_xlfn.XLOOKUP(Log_Reseau_Master[[#This Row],[Cell_ID]],_29_03_2026_Registre_Maintenance_V2[ID_Antenne],_29_03_2026_Registre_Maintenance_V2[Technologie],"Pas de correspondance")</f>
        <v>Pas de correspondance</v>
      </c>
      <c r="H367" t="str">
        <f>_xlfn.XLOOKUP(Log_Reseau_Master[[#This Row],[Cell_ID]],_29_03_2026_Registre_Maintenance_V2[ID_Antenne],_29_03_2026_Registre_Maintenance_V2[Equipementier],"Pas de correspondance")</f>
        <v>Pas de correspondance</v>
      </c>
    </row>
    <row r="368" spans="1:8" x14ac:dyDescent="0.25">
      <c r="A368" s="1">
        <v>45215.457638888889</v>
      </c>
      <c r="B368" s="4">
        <f>Log_Reseau_Master[[#This Row],[Duree_Panne_Min]]/1440</f>
        <v>6.9444444444444448E-2</v>
      </c>
      <c r="C368" t="s">
        <v>446</v>
      </c>
      <c r="D368">
        <v>100</v>
      </c>
      <c r="E368" t="s">
        <v>1314</v>
      </c>
      <c r="F368" t="str">
        <f>_xlfn.XLOOKUP(Log_Reseau_Master[[#This Row],[Cell_ID]],_29_03_2026_Registre_Maintenance_V2[ID_Antenne],_29_03_2026_Registre_Maintenance_V2[Province_RDC],"Pas de correspondance")</f>
        <v>Tanganyika</v>
      </c>
      <c r="G368" t="str">
        <f>_xlfn.XLOOKUP(Log_Reseau_Master[[#This Row],[Cell_ID]],_29_03_2026_Registre_Maintenance_V2[ID_Antenne],_29_03_2026_Registre_Maintenance_V2[Technologie],"Pas de correspondance")</f>
        <v>5G</v>
      </c>
      <c r="H368" t="str">
        <f>_xlfn.XLOOKUP(Log_Reseau_Master[[#This Row],[Cell_ID]],_29_03_2026_Registre_Maintenance_V2[ID_Antenne],_29_03_2026_Registre_Maintenance_V2[Equipementier],"Pas de correspondance")</f>
        <v>Nokia</v>
      </c>
    </row>
    <row r="369" spans="1:8" x14ac:dyDescent="0.25">
      <c r="A369" s="1">
        <v>45203.304861111108</v>
      </c>
      <c r="B369" s="4">
        <f>Log_Reseau_Master[[#This Row],[Duree_Panne_Min]]/1440</f>
        <v>7.3611111111111113E-2</v>
      </c>
      <c r="C369" t="s">
        <v>446</v>
      </c>
      <c r="D369">
        <v>106</v>
      </c>
      <c r="E369" t="s">
        <v>1312</v>
      </c>
      <c r="F369" t="str">
        <f>_xlfn.XLOOKUP(Log_Reseau_Master[[#This Row],[Cell_ID]],_29_03_2026_Registre_Maintenance_V2[ID_Antenne],_29_03_2026_Registre_Maintenance_V2[Province_RDC],"Pas de correspondance")</f>
        <v>Tanganyika</v>
      </c>
      <c r="G369" t="str">
        <f>_xlfn.XLOOKUP(Log_Reseau_Master[[#This Row],[Cell_ID]],_29_03_2026_Registre_Maintenance_V2[ID_Antenne],_29_03_2026_Registre_Maintenance_V2[Technologie],"Pas de correspondance")</f>
        <v>5G</v>
      </c>
      <c r="H369" t="str">
        <f>_xlfn.XLOOKUP(Log_Reseau_Master[[#This Row],[Cell_ID]],_29_03_2026_Registre_Maintenance_V2[ID_Antenne],_29_03_2026_Registre_Maintenance_V2[Equipementier],"Pas de correspondance")</f>
        <v>Nokia</v>
      </c>
    </row>
    <row r="370" spans="1:8" hidden="1" x14ac:dyDescent="0.25">
      <c r="A370" s="1">
        <v>45201.30972222222</v>
      </c>
      <c r="B370">
        <f>Log_Reseau_Master[[#This Row],[Duree_Panne_Min]]/1440</f>
        <v>3.888888888888889E-2</v>
      </c>
      <c r="C370" t="s">
        <v>1457</v>
      </c>
      <c r="D370">
        <v>56</v>
      </c>
      <c r="E370" t="s">
        <v>1321</v>
      </c>
      <c r="F370" t="str">
        <f>_xlfn.XLOOKUP(Log_Reseau_Master[[#This Row],[Cell_ID]],_29_03_2026_Registre_Maintenance_V2[ID_Antenne],_29_03_2026_Registre_Maintenance_V2[Province_RDC],"Pas de correspondance")</f>
        <v>Pas de correspondance</v>
      </c>
      <c r="G370" t="str">
        <f>_xlfn.XLOOKUP(Log_Reseau_Master[[#This Row],[Cell_ID]],_29_03_2026_Registre_Maintenance_V2[ID_Antenne],_29_03_2026_Registre_Maintenance_V2[Technologie],"Pas de correspondance")</f>
        <v>Pas de correspondance</v>
      </c>
      <c r="H370" t="str">
        <f>_xlfn.XLOOKUP(Log_Reseau_Master[[#This Row],[Cell_ID]],_29_03_2026_Registre_Maintenance_V2[ID_Antenne],_29_03_2026_Registre_Maintenance_V2[Equipementier],"Pas de correspondance")</f>
        <v>Pas de correspondance</v>
      </c>
    </row>
    <row r="371" spans="1:8" hidden="1" x14ac:dyDescent="0.25">
      <c r="A371" s="1">
        <v>45208.084027777775</v>
      </c>
      <c r="B371">
        <f>Log_Reseau_Master[[#This Row],[Duree_Panne_Min]]/1440</f>
        <v>3.4722222222222224E-2</v>
      </c>
      <c r="C371" t="s">
        <v>1458</v>
      </c>
      <c r="D371">
        <v>50</v>
      </c>
      <c r="E371" t="s">
        <v>1312</v>
      </c>
      <c r="F371" t="str">
        <f>_xlfn.XLOOKUP(Log_Reseau_Master[[#This Row],[Cell_ID]],_29_03_2026_Registre_Maintenance_V2[ID_Antenne],_29_03_2026_Registre_Maintenance_V2[Province_RDC],"Pas de correspondance")</f>
        <v>Pas de correspondance</v>
      </c>
      <c r="G371" t="str">
        <f>_xlfn.XLOOKUP(Log_Reseau_Master[[#This Row],[Cell_ID]],_29_03_2026_Registre_Maintenance_V2[ID_Antenne],_29_03_2026_Registre_Maintenance_V2[Technologie],"Pas de correspondance")</f>
        <v>Pas de correspondance</v>
      </c>
      <c r="H371" t="str">
        <f>_xlfn.XLOOKUP(Log_Reseau_Master[[#This Row],[Cell_ID]],_29_03_2026_Registre_Maintenance_V2[ID_Antenne],_29_03_2026_Registre_Maintenance_V2[Equipementier],"Pas de correspondance")</f>
        <v>Pas de correspondance</v>
      </c>
    </row>
    <row r="372" spans="1:8" x14ac:dyDescent="0.25">
      <c r="A372" s="1">
        <v>45222.179166666669</v>
      </c>
      <c r="B372" s="4">
        <f>Log_Reseau_Master[[#This Row],[Duree_Panne_Min]]/1440</f>
        <v>1.9444444444444445E-2</v>
      </c>
      <c r="C372" t="s">
        <v>173</v>
      </c>
      <c r="D372">
        <v>28</v>
      </c>
      <c r="E372" t="s">
        <v>1312</v>
      </c>
      <c r="F372" t="str">
        <f>_xlfn.XLOOKUP(Log_Reseau_Master[[#This Row],[Cell_ID]],_29_03_2026_Registre_Maintenance_V2[ID_Antenne],_29_03_2026_Registre_Maintenance_V2[Province_RDC],"Pas de correspondance")</f>
        <v>Kinshasa</v>
      </c>
      <c r="G372" t="str">
        <f>_xlfn.XLOOKUP(Log_Reseau_Master[[#This Row],[Cell_ID]],_29_03_2026_Registre_Maintenance_V2[ID_Antenne],_29_03_2026_Registre_Maintenance_V2[Technologie],"Pas de correspondance")</f>
        <v>3G</v>
      </c>
      <c r="H372" t="str">
        <f>_xlfn.XLOOKUP(Log_Reseau_Master[[#This Row],[Cell_ID]],_29_03_2026_Registre_Maintenance_V2[ID_Antenne],_29_03_2026_Registre_Maintenance_V2[Equipementier],"Pas de correspondance")</f>
        <v>Huawei</v>
      </c>
    </row>
    <row r="373" spans="1:8" x14ac:dyDescent="0.25">
      <c r="A373" s="1">
        <v>45214.736805555556</v>
      </c>
      <c r="B373" s="4">
        <f>Log_Reseau_Master[[#This Row],[Duree_Panne_Min]]/1440</f>
        <v>2.361111111111111E-2</v>
      </c>
      <c r="C373" t="s">
        <v>503</v>
      </c>
      <c r="D373">
        <v>34</v>
      </c>
      <c r="E373" t="s">
        <v>1321</v>
      </c>
      <c r="F373" t="str">
        <f>_xlfn.XLOOKUP(Log_Reseau_Master[[#This Row],[Cell_ID]],_29_03_2026_Registre_Maintenance_V2[ID_Antenne],_29_03_2026_Registre_Maintenance_V2[Province_RDC],"Pas de correspondance")</f>
        <v>Kwilu</v>
      </c>
      <c r="G373" t="str">
        <f>_xlfn.XLOOKUP(Log_Reseau_Master[[#This Row],[Cell_ID]],_29_03_2026_Registre_Maintenance_V2[ID_Antenne],_29_03_2026_Registre_Maintenance_V2[Technologie],"Pas de correspondance")</f>
        <v>3G</v>
      </c>
      <c r="H373" t="str">
        <f>_xlfn.XLOOKUP(Log_Reseau_Master[[#This Row],[Cell_ID]],_29_03_2026_Registre_Maintenance_V2[ID_Antenne],_29_03_2026_Registre_Maintenance_V2[Equipementier],"Pas de correspondance")</f>
        <v>ZTE</v>
      </c>
    </row>
    <row r="374" spans="1:8" hidden="1" x14ac:dyDescent="0.25">
      <c r="A374" s="1">
        <v>45224.6</v>
      </c>
      <c r="B374">
        <f>Log_Reseau_Master[[#This Row],[Duree_Panne_Min]]/1440</f>
        <v>4.8611111111111112E-2</v>
      </c>
      <c r="C374" t="s">
        <v>1459</v>
      </c>
      <c r="D374">
        <v>70</v>
      </c>
      <c r="E374" t="s">
        <v>1321</v>
      </c>
      <c r="F374" t="str">
        <f>_xlfn.XLOOKUP(Log_Reseau_Master[[#This Row],[Cell_ID]],_29_03_2026_Registre_Maintenance_V2[ID_Antenne],_29_03_2026_Registre_Maintenance_V2[Province_RDC],"Pas de correspondance")</f>
        <v>Pas de correspondance</v>
      </c>
      <c r="G374" t="str">
        <f>_xlfn.XLOOKUP(Log_Reseau_Master[[#This Row],[Cell_ID]],_29_03_2026_Registre_Maintenance_V2[ID_Antenne],_29_03_2026_Registre_Maintenance_V2[Technologie],"Pas de correspondance")</f>
        <v>Pas de correspondance</v>
      </c>
      <c r="H374" t="str">
        <f>_xlfn.XLOOKUP(Log_Reseau_Master[[#This Row],[Cell_ID]],_29_03_2026_Registre_Maintenance_V2[ID_Antenne],_29_03_2026_Registre_Maintenance_V2[Equipementier],"Pas de correspondance")</f>
        <v>Pas de correspondance</v>
      </c>
    </row>
    <row r="375" spans="1:8" hidden="1" x14ac:dyDescent="0.25">
      <c r="A375" s="1">
        <v>45206.366666666669</v>
      </c>
      <c r="B375">
        <f>Log_Reseau_Master[[#This Row],[Duree_Panne_Min]]/1440</f>
        <v>2.0833333333333332E-2</v>
      </c>
      <c r="C375" t="s">
        <v>1460</v>
      </c>
      <c r="D375">
        <v>30</v>
      </c>
      <c r="E375" t="s">
        <v>1321</v>
      </c>
      <c r="F375" t="str">
        <f>_xlfn.XLOOKUP(Log_Reseau_Master[[#This Row],[Cell_ID]],_29_03_2026_Registre_Maintenance_V2[ID_Antenne],_29_03_2026_Registre_Maintenance_V2[Province_RDC],"Pas de correspondance")</f>
        <v>Pas de correspondance</v>
      </c>
      <c r="G375" t="str">
        <f>_xlfn.XLOOKUP(Log_Reseau_Master[[#This Row],[Cell_ID]],_29_03_2026_Registre_Maintenance_V2[ID_Antenne],_29_03_2026_Registre_Maintenance_V2[Technologie],"Pas de correspondance")</f>
        <v>Pas de correspondance</v>
      </c>
      <c r="H375" t="str">
        <f>_xlfn.XLOOKUP(Log_Reseau_Master[[#This Row],[Cell_ID]],_29_03_2026_Registre_Maintenance_V2[ID_Antenne],_29_03_2026_Registre_Maintenance_V2[Equipementier],"Pas de correspondance")</f>
        <v>Pas de correspondance</v>
      </c>
    </row>
    <row r="376" spans="1:8" x14ac:dyDescent="0.25">
      <c r="A376" s="1">
        <v>45225.171527777777</v>
      </c>
      <c r="B376" s="4">
        <f>Log_Reseau_Master[[#This Row],[Duree_Panne_Min]]/1440</f>
        <v>7.2222222222222215E-2</v>
      </c>
      <c r="C376" t="s">
        <v>120</v>
      </c>
      <c r="D376">
        <v>104</v>
      </c>
      <c r="E376" t="s">
        <v>1312</v>
      </c>
      <c r="F376" t="str">
        <f>_xlfn.XLOOKUP(Log_Reseau_Master[[#This Row],[Cell_ID]],_29_03_2026_Registre_Maintenance_V2[ID_Antenne],_29_03_2026_Registre_Maintenance_V2[Province_RDC],"Pas de correspondance")</f>
        <v>Kongo-Central</v>
      </c>
      <c r="G376" t="str">
        <f>_xlfn.XLOOKUP(Log_Reseau_Master[[#This Row],[Cell_ID]],_29_03_2026_Registre_Maintenance_V2[ID_Antenne],_29_03_2026_Registre_Maintenance_V2[Technologie],"Pas de correspondance")</f>
        <v>5G</v>
      </c>
      <c r="H376" t="str">
        <f>_xlfn.XLOOKUP(Log_Reseau_Master[[#This Row],[Cell_ID]],_29_03_2026_Registre_Maintenance_V2[ID_Antenne],_29_03_2026_Registre_Maintenance_V2[Equipementier],"Pas de correspondance")</f>
        <v>Huawei</v>
      </c>
    </row>
    <row r="377" spans="1:8" x14ac:dyDescent="0.25">
      <c r="A377" s="1">
        <v>45215.093055555553</v>
      </c>
      <c r="B377" s="4">
        <f>Log_Reseau_Master[[#This Row],[Duree_Panne_Min]]/1440</f>
        <v>6.0416666666666667E-2</v>
      </c>
      <c r="C377" t="s">
        <v>136</v>
      </c>
      <c r="D377">
        <v>87</v>
      </c>
      <c r="E377" t="s">
        <v>1314</v>
      </c>
      <c r="F377" t="str">
        <f>_xlfn.XLOOKUP(Log_Reseau_Master[[#This Row],[Cell_ID]],_29_03_2026_Registre_Maintenance_V2[ID_Antenne],_29_03_2026_Registre_Maintenance_V2[Province_RDC],"Pas de correspondance")</f>
        <v>Mongala</v>
      </c>
      <c r="G377" t="str">
        <f>_xlfn.XLOOKUP(Log_Reseau_Master[[#This Row],[Cell_ID]],_29_03_2026_Registre_Maintenance_V2[ID_Antenne],_29_03_2026_Registre_Maintenance_V2[Technologie],"Pas de correspondance")</f>
        <v>4G</v>
      </c>
      <c r="H377" t="str">
        <f>_xlfn.XLOOKUP(Log_Reseau_Master[[#This Row],[Cell_ID]],_29_03_2026_Registre_Maintenance_V2[ID_Antenne],_29_03_2026_Registre_Maintenance_V2[Equipementier],"Pas de correspondance")</f>
        <v>Ericsson</v>
      </c>
    </row>
    <row r="378" spans="1:8" x14ac:dyDescent="0.25">
      <c r="A378" s="1">
        <v>45210.458333333336</v>
      </c>
      <c r="B378" s="4">
        <f>Log_Reseau_Master[[#This Row],[Duree_Panne_Min]]/1440</f>
        <v>6.5972222222222224E-2</v>
      </c>
      <c r="C378" t="s">
        <v>195</v>
      </c>
      <c r="D378">
        <v>95</v>
      </c>
      <c r="E378" t="s">
        <v>1312</v>
      </c>
      <c r="F378" t="str">
        <f>_xlfn.XLOOKUP(Log_Reseau_Master[[#This Row],[Cell_ID]],_29_03_2026_Registre_Maintenance_V2[ID_Antenne],_29_03_2026_Registre_Maintenance_V2[Province_RDC],"Pas de correspondance")</f>
        <v>Haut-Lomami</v>
      </c>
      <c r="G378" t="str">
        <f>_xlfn.XLOOKUP(Log_Reseau_Master[[#This Row],[Cell_ID]],_29_03_2026_Registre_Maintenance_V2[ID_Antenne],_29_03_2026_Registre_Maintenance_V2[Technologie],"Pas de correspondance")</f>
        <v>4G</v>
      </c>
      <c r="H378" t="str">
        <f>_xlfn.XLOOKUP(Log_Reseau_Master[[#This Row],[Cell_ID]],_29_03_2026_Registre_Maintenance_V2[ID_Antenne],_29_03_2026_Registre_Maintenance_V2[Equipementier],"Pas de correspondance")</f>
        <v>Huawei</v>
      </c>
    </row>
    <row r="379" spans="1:8" x14ac:dyDescent="0.25">
      <c r="A379" s="1">
        <v>45202.21875</v>
      </c>
      <c r="B379" s="4">
        <f>Log_Reseau_Master[[#This Row],[Duree_Panne_Min]]/1440</f>
        <v>5.9722222222222225E-2</v>
      </c>
      <c r="C379" t="s">
        <v>195</v>
      </c>
      <c r="D379">
        <v>86</v>
      </c>
      <c r="E379" t="s">
        <v>1321</v>
      </c>
      <c r="F379" t="str">
        <f>_xlfn.XLOOKUP(Log_Reseau_Master[[#This Row],[Cell_ID]],_29_03_2026_Registre_Maintenance_V2[ID_Antenne],_29_03_2026_Registre_Maintenance_V2[Province_RDC],"Pas de correspondance")</f>
        <v>Haut-Lomami</v>
      </c>
      <c r="G379" t="str">
        <f>_xlfn.XLOOKUP(Log_Reseau_Master[[#This Row],[Cell_ID]],_29_03_2026_Registre_Maintenance_V2[ID_Antenne],_29_03_2026_Registre_Maintenance_V2[Technologie],"Pas de correspondance")</f>
        <v>4G</v>
      </c>
      <c r="H379" t="str">
        <f>_xlfn.XLOOKUP(Log_Reseau_Master[[#This Row],[Cell_ID]],_29_03_2026_Registre_Maintenance_V2[ID_Antenne],_29_03_2026_Registre_Maintenance_V2[Equipementier],"Pas de correspondance")</f>
        <v>Huawei</v>
      </c>
    </row>
    <row r="380" spans="1:8" hidden="1" x14ac:dyDescent="0.25">
      <c r="A380" s="1">
        <v>45217.321527777778</v>
      </c>
      <c r="B380">
        <f>Log_Reseau_Master[[#This Row],[Duree_Panne_Min]]/1440</f>
        <v>8.1944444444444445E-2</v>
      </c>
      <c r="C380" t="s">
        <v>1461</v>
      </c>
      <c r="D380">
        <v>118</v>
      </c>
      <c r="E380" t="s">
        <v>1312</v>
      </c>
      <c r="F380" t="str">
        <f>_xlfn.XLOOKUP(Log_Reseau_Master[[#This Row],[Cell_ID]],_29_03_2026_Registre_Maintenance_V2[ID_Antenne],_29_03_2026_Registre_Maintenance_V2[Province_RDC],"Pas de correspondance")</f>
        <v>Pas de correspondance</v>
      </c>
      <c r="G380" t="str">
        <f>_xlfn.XLOOKUP(Log_Reseau_Master[[#This Row],[Cell_ID]],_29_03_2026_Registre_Maintenance_V2[ID_Antenne],_29_03_2026_Registre_Maintenance_V2[Technologie],"Pas de correspondance")</f>
        <v>Pas de correspondance</v>
      </c>
      <c r="H380" t="str">
        <f>_xlfn.XLOOKUP(Log_Reseau_Master[[#This Row],[Cell_ID]],_29_03_2026_Registre_Maintenance_V2[ID_Antenne],_29_03_2026_Registre_Maintenance_V2[Equipementier],"Pas de correspondance")</f>
        <v>Pas de correspondance</v>
      </c>
    </row>
    <row r="381" spans="1:8" x14ac:dyDescent="0.25">
      <c r="A381" s="1">
        <v>45210.03125</v>
      </c>
      <c r="B381" s="4">
        <f>Log_Reseau_Master[[#This Row],[Duree_Panne_Min]]/1440</f>
        <v>4.3749999999999997E-2</v>
      </c>
      <c r="C381" t="s">
        <v>95</v>
      </c>
      <c r="D381">
        <v>63</v>
      </c>
      <c r="E381" t="s">
        <v>1321</v>
      </c>
      <c r="F381" t="str">
        <f>_xlfn.XLOOKUP(Log_Reseau_Master[[#This Row],[Cell_ID]],_29_03_2026_Registre_Maintenance_V2[ID_Antenne],_29_03_2026_Registre_Maintenance_V2[Province_RDC],"Pas de correspondance")</f>
        <v>Kwango</v>
      </c>
      <c r="G381" t="str">
        <f>_xlfn.XLOOKUP(Log_Reseau_Master[[#This Row],[Cell_ID]],_29_03_2026_Registre_Maintenance_V2[ID_Antenne],_29_03_2026_Registre_Maintenance_V2[Technologie],"Pas de correspondance")</f>
        <v>5G</v>
      </c>
      <c r="H381" t="str">
        <f>_xlfn.XLOOKUP(Log_Reseau_Master[[#This Row],[Cell_ID]],_29_03_2026_Registre_Maintenance_V2[ID_Antenne],_29_03_2026_Registre_Maintenance_V2[Equipementier],"Pas de correspondance")</f>
        <v>Ericsson</v>
      </c>
    </row>
    <row r="382" spans="1:8" x14ac:dyDescent="0.25">
      <c r="A382" s="1">
        <v>45207.987500000003</v>
      </c>
      <c r="B382" s="4">
        <f>Log_Reseau_Master[[#This Row],[Duree_Panne_Min]]/1440</f>
        <v>1.0416666666666666E-2</v>
      </c>
      <c r="C382" t="s">
        <v>95</v>
      </c>
      <c r="D382">
        <v>15</v>
      </c>
      <c r="E382" t="s">
        <v>1312</v>
      </c>
      <c r="F382" t="str">
        <f>_xlfn.XLOOKUP(Log_Reseau_Master[[#This Row],[Cell_ID]],_29_03_2026_Registre_Maintenance_V2[ID_Antenne],_29_03_2026_Registre_Maintenance_V2[Province_RDC],"Pas de correspondance")</f>
        <v>Kwango</v>
      </c>
      <c r="G382" t="str">
        <f>_xlfn.XLOOKUP(Log_Reseau_Master[[#This Row],[Cell_ID]],_29_03_2026_Registre_Maintenance_V2[ID_Antenne],_29_03_2026_Registre_Maintenance_V2[Technologie],"Pas de correspondance")</f>
        <v>5G</v>
      </c>
      <c r="H382" t="str">
        <f>_xlfn.XLOOKUP(Log_Reseau_Master[[#This Row],[Cell_ID]],_29_03_2026_Registre_Maintenance_V2[ID_Antenne],_29_03_2026_Registre_Maintenance_V2[Equipementier],"Pas de correspondance")</f>
        <v>Ericsson</v>
      </c>
    </row>
    <row r="383" spans="1:8" hidden="1" x14ac:dyDescent="0.25">
      <c r="A383" s="1">
        <v>45224.818055555559</v>
      </c>
      <c r="B383">
        <f>Log_Reseau_Master[[#This Row],[Duree_Panne_Min]]/1440</f>
        <v>3.472222222222222E-3</v>
      </c>
      <c r="C383" t="s">
        <v>1462</v>
      </c>
      <c r="D383">
        <v>5</v>
      </c>
      <c r="E383" t="s">
        <v>1321</v>
      </c>
      <c r="F383" t="str">
        <f>_xlfn.XLOOKUP(Log_Reseau_Master[[#This Row],[Cell_ID]],_29_03_2026_Registre_Maintenance_V2[ID_Antenne],_29_03_2026_Registre_Maintenance_V2[Province_RDC],"Pas de correspondance")</f>
        <v>Pas de correspondance</v>
      </c>
      <c r="G383" t="str">
        <f>_xlfn.XLOOKUP(Log_Reseau_Master[[#This Row],[Cell_ID]],_29_03_2026_Registre_Maintenance_V2[ID_Antenne],_29_03_2026_Registre_Maintenance_V2[Technologie],"Pas de correspondance")</f>
        <v>Pas de correspondance</v>
      </c>
      <c r="H383" t="str">
        <f>_xlfn.XLOOKUP(Log_Reseau_Master[[#This Row],[Cell_ID]],_29_03_2026_Registre_Maintenance_V2[ID_Antenne],_29_03_2026_Registre_Maintenance_V2[Equipementier],"Pas de correspondance")</f>
        <v>Pas de correspondance</v>
      </c>
    </row>
    <row r="384" spans="1:8" hidden="1" x14ac:dyDescent="0.25">
      <c r="A384" s="1">
        <v>45202.45416666667</v>
      </c>
      <c r="B384">
        <f>Log_Reseau_Master[[#This Row],[Duree_Panne_Min]]/1440</f>
        <v>6.1805555555555558E-2</v>
      </c>
      <c r="C384" t="s">
        <v>1462</v>
      </c>
      <c r="D384">
        <v>89</v>
      </c>
      <c r="E384" t="s">
        <v>1321</v>
      </c>
      <c r="F384" t="str">
        <f>_xlfn.XLOOKUP(Log_Reseau_Master[[#This Row],[Cell_ID]],_29_03_2026_Registre_Maintenance_V2[ID_Antenne],_29_03_2026_Registre_Maintenance_V2[Province_RDC],"Pas de correspondance")</f>
        <v>Pas de correspondance</v>
      </c>
      <c r="G384" t="str">
        <f>_xlfn.XLOOKUP(Log_Reseau_Master[[#This Row],[Cell_ID]],_29_03_2026_Registre_Maintenance_V2[ID_Antenne],_29_03_2026_Registre_Maintenance_V2[Technologie],"Pas de correspondance")</f>
        <v>Pas de correspondance</v>
      </c>
      <c r="H384" t="str">
        <f>_xlfn.XLOOKUP(Log_Reseau_Master[[#This Row],[Cell_ID]],_29_03_2026_Registre_Maintenance_V2[ID_Antenne],_29_03_2026_Registre_Maintenance_V2[Equipementier],"Pas de correspondance")</f>
        <v>Pas de correspondance</v>
      </c>
    </row>
    <row r="385" spans="1:8" x14ac:dyDescent="0.25">
      <c r="A385" s="1">
        <v>45225.215277777781</v>
      </c>
      <c r="B385" s="4">
        <f>Log_Reseau_Master[[#This Row],[Duree_Panne_Min]]/1440</f>
        <v>2.8472222222222222E-2</v>
      </c>
      <c r="C385" t="s">
        <v>75</v>
      </c>
      <c r="D385">
        <v>41</v>
      </c>
      <c r="E385" t="s">
        <v>1321</v>
      </c>
      <c r="F385" t="str">
        <f>_xlfn.XLOOKUP(Log_Reseau_Master[[#This Row],[Cell_ID]],_29_03_2026_Registre_Maintenance_V2[ID_Antenne],_29_03_2026_Registre_Maintenance_V2[Province_RDC],"Pas de correspondance")</f>
        <v>Mai-Ndombe</v>
      </c>
      <c r="G385" t="str">
        <f>_xlfn.XLOOKUP(Log_Reseau_Master[[#This Row],[Cell_ID]],_29_03_2026_Registre_Maintenance_V2[ID_Antenne],_29_03_2026_Registre_Maintenance_V2[Technologie],"Pas de correspondance")</f>
        <v>4G</v>
      </c>
      <c r="H385" t="str">
        <f>_xlfn.XLOOKUP(Log_Reseau_Master[[#This Row],[Cell_ID]],_29_03_2026_Registre_Maintenance_V2[ID_Antenne],_29_03_2026_Registre_Maintenance_V2[Equipementier],"Pas de correspondance")</f>
        <v>Huawei</v>
      </c>
    </row>
    <row r="386" spans="1:8" hidden="1" x14ac:dyDescent="0.25">
      <c r="A386" s="1">
        <v>45225.527777777781</v>
      </c>
      <c r="B386">
        <f>Log_Reseau_Master[[#This Row],[Duree_Panne_Min]]/1440</f>
        <v>4.1666666666666666E-3</v>
      </c>
      <c r="C386" t="s">
        <v>1463</v>
      </c>
      <c r="D386">
        <v>6</v>
      </c>
      <c r="E386" t="s">
        <v>1312</v>
      </c>
      <c r="F386" t="str">
        <f>_xlfn.XLOOKUP(Log_Reseau_Master[[#This Row],[Cell_ID]],_29_03_2026_Registre_Maintenance_V2[ID_Antenne],_29_03_2026_Registre_Maintenance_V2[Province_RDC],"Pas de correspondance")</f>
        <v>Pas de correspondance</v>
      </c>
      <c r="G386" t="str">
        <f>_xlfn.XLOOKUP(Log_Reseau_Master[[#This Row],[Cell_ID]],_29_03_2026_Registre_Maintenance_V2[ID_Antenne],_29_03_2026_Registre_Maintenance_V2[Technologie],"Pas de correspondance")</f>
        <v>Pas de correspondance</v>
      </c>
      <c r="H386" t="str">
        <f>_xlfn.XLOOKUP(Log_Reseau_Master[[#This Row],[Cell_ID]],_29_03_2026_Registre_Maintenance_V2[ID_Antenne],_29_03_2026_Registre_Maintenance_V2[Equipementier],"Pas de correspondance")</f>
        <v>Pas de correspondance</v>
      </c>
    </row>
    <row r="387" spans="1:8" hidden="1" x14ac:dyDescent="0.25">
      <c r="A387" s="1">
        <v>45225.77847222222</v>
      </c>
      <c r="B387">
        <f>Log_Reseau_Master[[#This Row],[Duree_Panne_Min]]/1440</f>
        <v>6.1805555555555558E-2</v>
      </c>
      <c r="C387" t="s">
        <v>1464</v>
      </c>
      <c r="D387">
        <v>89</v>
      </c>
      <c r="E387" t="s">
        <v>1314</v>
      </c>
      <c r="F387" t="str">
        <f>_xlfn.XLOOKUP(Log_Reseau_Master[[#This Row],[Cell_ID]],_29_03_2026_Registre_Maintenance_V2[ID_Antenne],_29_03_2026_Registre_Maintenance_V2[Province_RDC],"Pas de correspondance")</f>
        <v>Pas de correspondance</v>
      </c>
      <c r="G387" t="str">
        <f>_xlfn.XLOOKUP(Log_Reseau_Master[[#This Row],[Cell_ID]],_29_03_2026_Registre_Maintenance_V2[ID_Antenne],_29_03_2026_Registre_Maintenance_V2[Technologie],"Pas de correspondance")</f>
        <v>Pas de correspondance</v>
      </c>
      <c r="H387" t="str">
        <f>_xlfn.XLOOKUP(Log_Reseau_Master[[#This Row],[Cell_ID]],_29_03_2026_Registre_Maintenance_V2[ID_Antenne],_29_03_2026_Registre_Maintenance_V2[Equipementier],"Pas de correspondance")</f>
        <v>Pas de correspondance</v>
      </c>
    </row>
    <row r="388" spans="1:8" hidden="1" x14ac:dyDescent="0.25">
      <c r="A388" s="1">
        <v>45225.159722222219</v>
      </c>
      <c r="B388">
        <f>Log_Reseau_Master[[#This Row],[Duree_Panne_Min]]/1440</f>
        <v>7.8472222222222221E-2</v>
      </c>
      <c r="C388" t="s">
        <v>1465</v>
      </c>
      <c r="D388">
        <v>113</v>
      </c>
      <c r="E388" t="s">
        <v>1314</v>
      </c>
      <c r="F388" t="str">
        <f>_xlfn.XLOOKUP(Log_Reseau_Master[[#This Row],[Cell_ID]],_29_03_2026_Registre_Maintenance_V2[ID_Antenne],_29_03_2026_Registre_Maintenance_V2[Province_RDC],"Pas de correspondance")</f>
        <v>Pas de correspondance</v>
      </c>
      <c r="G388" t="str">
        <f>_xlfn.XLOOKUP(Log_Reseau_Master[[#This Row],[Cell_ID]],_29_03_2026_Registre_Maintenance_V2[ID_Antenne],_29_03_2026_Registre_Maintenance_V2[Technologie],"Pas de correspondance")</f>
        <v>Pas de correspondance</v>
      </c>
      <c r="H388" t="str">
        <f>_xlfn.XLOOKUP(Log_Reseau_Master[[#This Row],[Cell_ID]],_29_03_2026_Registre_Maintenance_V2[ID_Antenne],_29_03_2026_Registre_Maintenance_V2[Equipementier],"Pas de correspondance")</f>
        <v>Pas de correspondance</v>
      </c>
    </row>
    <row r="389" spans="1:8" x14ac:dyDescent="0.25">
      <c r="A389" s="1">
        <v>45216.457638888889</v>
      </c>
      <c r="B389" s="4">
        <f>Log_Reseau_Master[[#This Row],[Duree_Panne_Min]]/1440</f>
        <v>2.7083333333333334E-2</v>
      </c>
      <c r="C389" t="s">
        <v>128</v>
      </c>
      <c r="D389">
        <v>39</v>
      </c>
      <c r="E389" t="s">
        <v>1314</v>
      </c>
      <c r="F389" t="str">
        <f>_xlfn.XLOOKUP(Log_Reseau_Master[[#This Row],[Cell_ID]],_29_03_2026_Registre_Maintenance_V2[ID_Antenne],_29_03_2026_Registre_Maintenance_V2[Province_RDC],"Pas de correspondance")</f>
        <v>Kasai-Central</v>
      </c>
      <c r="G389" t="str">
        <f>_xlfn.XLOOKUP(Log_Reseau_Master[[#This Row],[Cell_ID]],_29_03_2026_Registre_Maintenance_V2[ID_Antenne],_29_03_2026_Registre_Maintenance_V2[Technologie],"Pas de correspondance")</f>
        <v>4G</v>
      </c>
      <c r="H389" t="str">
        <f>_xlfn.XLOOKUP(Log_Reseau_Master[[#This Row],[Cell_ID]],_29_03_2026_Registre_Maintenance_V2[ID_Antenne],_29_03_2026_Registre_Maintenance_V2[Equipementier],"Pas de correspondance")</f>
        <v>Ericsson</v>
      </c>
    </row>
    <row r="390" spans="1:8" x14ac:dyDescent="0.25">
      <c r="A390" s="1">
        <v>45204.905555555553</v>
      </c>
      <c r="B390" s="4">
        <f>Log_Reseau_Master[[#This Row],[Duree_Panne_Min]]/1440</f>
        <v>4.2361111111111113E-2</v>
      </c>
      <c r="C390" t="s">
        <v>525</v>
      </c>
      <c r="D390">
        <v>61</v>
      </c>
      <c r="E390" t="s">
        <v>1314</v>
      </c>
      <c r="F390" t="str">
        <f>_xlfn.XLOOKUP(Log_Reseau_Master[[#This Row],[Cell_ID]],_29_03_2026_Registre_Maintenance_V2[ID_Antenne],_29_03_2026_Registre_Maintenance_V2[Province_RDC],"Pas de correspondance")</f>
        <v>Bas-Uele</v>
      </c>
      <c r="G390" t="str">
        <f>_xlfn.XLOOKUP(Log_Reseau_Master[[#This Row],[Cell_ID]],_29_03_2026_Registre_Maintenance_V2[ID_Antenne],_29_03_2026_Registre_Maintenance_V2[Technologie],"Pas de correspondance")</f>
        <v>5G</v>
      </c>
      <c r="H390" t="str">
        <f>_xlfn.XLOOKUP(Log_Reseau_Master[[#This Row],[Cell_ID]],_29_03_2026_Registre_Maintenance_V2[ID_Antenne],_29_03_2026_Registre_Maintenance_V2[Equipementier],"Pas de correspondance")</f>
        <v>Ericsson</v>
      </c>
    </row>
    <row r="391" spans="1:8" hidden="1" x14ac:dyDescent="0.25">
      <c r="A391" s="1">
        <v>45215.756944444445</v>
      </c>
      <c r="B391">
        <f>Log_Reseau_Master[[#This Row],[Duree_Panne_Min]]/1440</f>
        <v>1.6666666666666666E-2</v>
      </c>
      <c r="C391" t="s">
        <v>1466</v>
      </c>
      <c r="D391">
        <v>24</v>
      </c>
      <c r="E391" t="s">
        <v>1321</v>
      </c>
      <c r="F391" t="str">
        <f>_xlfn.XLOOKUP(Log_Reseau_Master[[#This Row],[Cell_ID]],_29_03_2026_Registre_Maintenance_V2[ID_Antenne],_29_03_2026_Registre_Maintenance_V2[Province_RDC],"Pas de correspondance")</f>
        <v>Pas de correspondance</v>
      </c>
      <c r="G391" t="str">
        <f>_xlfn.XLOOKUP(Log_Reseau_Master[[#This Row],[Cell_ID]],_29_03_2026_Registre_Maintenance_V2[ID_Antenne],_29_03_2026_Registre_Maintenance_V2[Technologie],"Pas de correspondance")</f>
        <v>Pas de correspondance</v>
      </c>
      <c r="H391" t="str">
        <f>_xlfn.XLOOKUP(Log_Reseau_Master[[#This Row],[Cell_ID]],_29_03_2026_Registre_Maintenance_V2[ID_Antenne],_29_03_2026_Registre_Maintenance_V2[Equipementier],"Pas de correspondance")</f>
        <v>Pas de correspondance</v>
      </c>
    </row>
    <row r="392" spans="1:8" hidden="1" x14ac:dyDescent="0.25">
      <c r="A392" s="1">
        <v>45224.456944444442</v>
      </c>
      <c r="B392">
        <f>Log_Reseau_Master[[#This Row],[Duree_Panne_Min]]/1440</f>
        <v>2.2222222222222223E-2</v>
      </c>
      <c r="C392" t="s">
        <v>1467</v>
      </c>
      <c r="D392">
        <v>32</v>
      </c>
      <c r="E392" t="s">
        <v>1314</v>
      </c>
      <c r="F392" t="str">
        <f>_xlfn.XLOOKUP(Log_Reseau_Master[[#This Row],[Cell_ID]],_29_03_2026_Registre_Maintenance_V2[ID_Antenne],_29_03_2026_Registre_Maintenance_V2[Province_RDC],"Pas de correspondance")</f>
        <v>Pas de correspondance</v>
      </c>
      <c r="G392" t="str">
        <f>_xlfn.XLOOKUP(Log_Reseau_Master[[#This Row],[Cell_ID]],_29_03_2026_Registre_Maintenance_V2[ID_Antenne],_29_03_2026_Registre_Maintenance_V2[Technologie],"Pas de correspondance")</f>
        <v>Pas de correspondance</v>
      </c>
      <c r="H392" t="str">
        <f>_xlfn.XLOOKUP(Log_Reseau_Master[[#This Row],[Cell_ID]],_29_03_2026_Registre_Maintenance_V2[ID_Antenne],_29_03_2026_Registre_Maintenance_V2[Equipementier],"Pas de correspondance")</f>
        <v>Pas de correspondance</v>
      </c>
    </row>
    <row r="393" spans="1:8" hidden="1" x14ac:dyDescent="0.25">
      <c r="A393" s="1">
        <v>45220.830555555556</v>
      </c>
      <c r="B393">
        <f>Log_Reseau_Master[[#This Row],[Duree_Panne_Min]]/1440</f>
        <v>4.0972222222222222E-2</v>
      </c>
      <c r="C393" t="s">
        <v>1467</v>
      </c>
      <c r="D393">
        <v>59</v>
      </c>
      <c r="E393" t="s">
        <v>1321</v>
      </c>
      <c r="F393" t="str">
        <f>_xlfn.XLOOKUP(Log_Reseau_Master[[#This Row],[Cell_ID]],_29_03_2026_Registre_Maintenance_V2[ID_Antenne],_29_03_2026_Registre_Maintenance_V2[Province_RDC],"Pas de correspondance")</f>
        <v>Pas de correspondance</v>
      </c>
      <c r="G393" t="str">
        <f>_xlfn.XLOOKUP(Log_Reseau_Master[[#This Row],[Cell_ID]],_29_03_2026_Registre_Maintenance_V2[ID_Antenne],_29_03_2026_Registre_Maintenance_V2[Technologie],"Pas de correspondance")</f>
        <v>Pas de correspondance</v>
      </c>
      <c r="H393" t="str">
        <f>_xlfn.XLOOKUP(Log_Reseau_Master[[#This Row],[Cell_ID]],_29_03_2026_Registre_Maintenance_V2[ID_Antenne],_29_03_2026_Registre_Maintenance_V2[Equipementier],"Pas de correspondance")</f>
        <v>Pas de correspondance</v>
      </c>
    </row>
    <row r="394" spans="1:8" hidden="1" x14ac:dyDescent="0.25">
      <c r="A394" s="1">
        <v>45208.662499999999</v>
      </c>
      <c r="B394">
        <f>Log_Reseau_Master[[#This Row],[Duree_Panne_Min]]/1440</f>
        <v>7.2222222222222215E-2</v>
      </c>
      <c r="C394" t="s">
        <v>1468</v>
      </c>
      <c r="D394">
        <v>104</v>
      </c>
      <c r="E394" t="s">
        <v>1321</v>
      </c>
      <c r="F394" t="str">
        <f>_xlfn.XLOOKUP(Log_Reseau_Master[[#This Row],[Cell_ID]],_29_03_2026_Registre_Maintenance_V2[ID_Antenne],_29_03_2026_Registre_Maintenance_V2[Province_RDC],"Pas de correspondance")</f>
        <v>Pas de correspondance</v>
      </c>
      <c r="G394" t="str">
        <f>_xlfn.XLOOKUP(Log_Reseau_Master[[#This Row],[Cell_ID]],_29_03_2026_Registre_Maintenance_V2[ID_Antenne],_29_03_2026_Registre_Maintenance_V2[Technologie],"Pas de correspondance")</f>
        <v>Pas de correspondance</v>
      </c>
      <c r="H394" t="str">
        <f>_xlfn.XLOOKUP(Log_Reseau_Master[[#This Row],[Cell_ID]],_29_03_2026_Registre_Maintenance_V2[ID_Antenne],_29_03_2026_Registre_Maintenance_V2[Equipementier],"Pas de correspondance")</f>
        <v>Pas de correspondance</v>
      </c>
    </row>
    <row r="395" spans="1:8" x14ac:dyDescent="0.25">
      <c r="A395" s="1">
        <v>45225.948611111111</v>
      </c>
      <c r="B395" s="4">
        <f>Log_Reseau_Master[[#This Row],[Duree_Panne_Min]]/1440</f>
        <v>2.0833333333333332E-2</v>
      </c>
      <c r="C395" t="s">
        <v>159</v>
      </c>
      <c r="D395">
        <v>30</v>
      </c>
      <c r="E395" t="s">
        <v>1314</v>
      </c>
      <c r="F395" t="str">
        <f>_xlfn.XLOOKUP(Log_Reseau_Master[[#This Row],[Cell_ID]],_29_03_2026_Registre_Maintenance_V2[ID_Antenne],_29_03_2026_Registre_Maintenance_V2[Province_RDC],"Pas de correspondance")</f>
        <v>Kwango</v>
      </c>
      <c r="G395" t="str">
        <f>_xlfn.XLOOKUP(Log_Reseau_Master[[#This Row],[Cell_ID]],_29_03_2026_Registre_Maintenance_V2[ID_Antenne],_29_03_2026_Registre_Maintenance_V2[Technologie],"Pas de correspondance")</f>
        <v>4G</v>
      </c>
      <c r="H395" t="str">
        <f>_xlfn.XLOOKUP(Log_Reseau_Master[[#This Row],[Cell_ID]],_29_03_2026_Registre_Maintenance_V2[ID_Antenne],_29_03_2026_Registre_Maintenance_V2[Equipementier],"Pas de correspondance")</f>
        <v>Ericsson</v>
      </c>
    </row>
    <row r="396" spans="1:8" x14ac:dyDescent="0.25">
      <c r="A396" s="1">
        <v>45216.960416666669</v>
      </c>
      <c r="B396" s="4">
        <f>Log_Reseau_Master[[#This Row],[Duree_Panne_Min]]/1440</f>
        <v>2.8472222222222222E-2</v>
      </c>
      <c r="C396" t="s">
        <v>472</v>
      </c>
      <c r="D396">
        <v>41</v>
      </c>
      <c r="E396" t="s">
        <v>1312</v>
      </c>
      <c r="F396" t="str">
        <f>_xlfn.XLOOKUP(Log_Reseau_Master[[#This Row],[Cell_ID]],_29_03_2026_Registre_Maintenance_V2[ID_Antenne],_29_03_2026_Registre_Maintenance_V2[Province_RDC],"Pas de correspondance")</f>
        <v>Mai-Ndombe</v>
      </c>
      <c r="G396" t="str">
        <f>_xlfn.XLOOKUP(Log_Reseau_Master[[#This Row],[Cell_ID]],_29_03_2026_Registre_Maintenance_V2[ID_Antenne],_29_03_2026_Registre_Maintenance_V2[Technologie],"Pas de correspondance")</f>
        <v>3G</v>
      </c>
      <c r="H396" t="str">
        <f>_xlfn.XLOOKUP(Log_Reseau_Master[[#This Row],[Cell_ID]],_29_03_2026_Registre_Maintenance_V2[ID_Antenne],_29_03_2026_Registre_Maintenance_V2[Equipementier],"Pas de correspondance")</f>
        <v>Huawei</v>
      </c>
    </row>
    <row r="397" spans="1:8" hidden="1" x14ac:dyDescent="0.25">
      <c r="A397" s="1">
        <v>45207.908333333333</v>
      </c>
      <c r="B397">
        <f>Log_Reseau_Master[[#This Row],[Duree_Panne_Min]]/1440</f>
        <v>7.1527777777777773E-2</v>
      </c>
      <c r="C397" t="s">
        <v>1469</v>
      </c>
      <c r="D397">
        <v>103</v>
      </c>
      <c r="E397" t="s">
        <v>1314</v>
      </c>
      <c r="F397" t="str">
        <f>_xlfn.XLOOKUP(Log_Reseau_Master[[#This Row],[Cell_ID]],_29_03_2026_Registre_Maintenance_V2[ID_Antenne],_29_03_2026_Registre_Maintenance_V2[Province_RDC],"Pas de correspondance")</f>
        <v>Pas de correspondance</v>
      </c>
      <c r="G397" t="str">
        <f>_xlfn.XLOOKUP(Log_Reseau_Master[[#This Row],[Cell_ID]],_29_03_2026_Registre_Maintenance_V2[ID_Antenne],_29_03_2026_Registre_Maintenance_V2[Technologie],"Pas de correspondance")</f>
        <v>Pas de correspondance</v>
      </c>
      <c r="H397" t="str">
        <f>_xlfn.XLOOKUP(Log_Reseau_Master[[#This Row],[Cell_ID]],_29_03_2026_Registre_Maintenance_V2[ID_Antenne],_29_03_2026_Registre_Maintenance_V2[Equipementier],"Pas de correspondance")</f>
        <v>Pas de correspondance</v>
      </c>
    </row>
    <row r="398" spans="1:8" hidden="1" x14ac:dyDescent="0.25">
      <c r="A398" s="1">
        <v>45201.859027777777</v>
      </c>
      <c r="B398">
        <f>Log_Reseau_Master[[#This Row],[Duree_Panne_Min]]/1440</f>
        <v>1.8055555555555554E-2</v>
      </c>
      <c r="C398" t="s">
        <v>1470</v>
      </c>
      <c r="D398">
        <v>26</v>
      </c>
      <c r="E398" t="s">
        <v>1312</v>
      </c>
      <c r="F398" t="str">
        <f>_xlfn.XLOOKUP(Log_Reseau_Master[[#This Row],[Cell_ID]],_29_03_2026_Registre_Maintenance_V2[ID_Antenne],_29_03_2026_Registre_Maintenance_V2[Province_RDC],"Pas de correspondance")</f>
        <v>Pas de correspondance</v>
      </c>
      <c r="G398" t="str">
        <f>_xlfn.XLOOKUP(Log_Reseau_Master[[#This Row],[Cell_ID]],_29_03_2026_Registre_Maintenance_V2[ID_Antenne],_29_03_2026_Registre_Maintenance_V2[Technologie],"Pas de correspondance")</f>
        <v>Pas de correspondance</v>
      </c>
      <c r="H398" t="str">
        <f>_xlfn.XLOOKUP(Log_Reseau_Master[[#This Row],[Cell_ID]],_29_03_2026_Registre_Maintenance_V2[ID_Antenne],_29_03_2026_Registre_Maintenance_V2[Equipementier],"Pas de correspondance")</f>
        <v>Pas de correspondance</v>
      </c>
    </row>
    <row r="399" spans="1:8" x14ac:dyDescent="0.25">
      <c r="A399" s="1">
        <v>45202.717361111114</v>
      </c>
      <c r="B399" s="4">
        <f>Log_Reseau_Master[[#This Row],[Duree_Panne_Min]]/1440</f>
        <v>7.9861111111111105E-2</v>
      </c>
      <c r="C399" t="s">
        <v>311</v>
      </c>
      <c r="D399">
        <v>115</v>
      </c>
      <c r="E399" t="s">
        <v>1321</v>
      </c>
      <c r="F399" t="str">
        <f>_xlfn.XLOOKUP(Log_Reseau_Master[[#This Row],[Cell_ID]],_29_03_2026_Registre_Maintenance_V2[ID_Antenne],_29_03_2026_Registre_Maintenance_V2[Province_RDC],"Pas de correspondance")</f>
        <v>Tanganyika</v>
      </c>
      <c r="G399" t="str">
        <f>_xlfn.XLOOKUP(Log_Reseau_Master[[#This Row],[Cell_ID]],_29_03_2026_Registre_Maintenance_V2[ID_Antenne],_29_03_2026_Registre_Maintenance_V2[Technologie],"Pas de correspondance")</f>
        <v>5G</v>
      </c>
      <c r="H399" t="str">
        <f>_xlfn.XLOOKUP(Log_Reseau_Master[[#This Row],[Cell_ID]],_29_03_2026_Registre_Maintenance_V2[ID_Antenne],_29_03_2026_Registre_Maintenance_V2[Equipementier],"Pas de correspondance")</f>
        <v>Ericsson</v>
      </c>
    </row>
    <row r="400" spans="1:8" x14ac:dyDescent="0.25">
      <c r="A400" s="1">
        <v>45205.474305555559</v>
      </c>
      <c r="B400" s="4">
        <f>Log_Reseau_Master[[#This Row],[Duree_Panne_Min]]/1440</f>
        <v>1.7361111111111112E-2</v>
      </c>
      <c r="C400" t="s">
        <v>483</v>
      </c>
      <c r="D400">
        <v>25</v>
      </c>
      <c r="E400" t="s">
        <v>1314</v>
      </c>
      <c r="F400" t="str">
        <f>_xlfn.XLOOKUP(Log_Reseau_Master[[#This Row],[Cell_ID]],_29_03_2026_Registre_Maintenance_V2[ID_Antenne],_29_03_2026_Registre_Maintenance_V2[Province_RDC],"Pas de correspondance")</f>
        <v>Haut-Uele</v>
      </c>
      <c r="G400" t="str">
        <f>_xlfn.XLOOKUP(Log_Reseau_Master[[#This Row],[Cell_ID]],_29_03_2026_Registre_Maintenance_V2[ID_Antenne],_29_03_2026_Registre_Maintenance_V2[Technologie],"Pas de correspondance")</f>
        <v>5G</v>
      </c>
      <c r="H400" t="str">
        <f>_xlfn.XLOOKUP(Log_Reseau_Master[[#This Row],[Cell_ID]],_29_03_2026_Registre_Maintenance_V2[ID_Antenne],_29_03_2026_Registre_Maintenance_V2[Equipementier],"Pas de correspondance")</f>
        <v>Huawei</v>
      </c>
    </row>
    <row r="401" spans="1:8" x14ac:dyDescent="0.25">
      <c r="A401" s="1">
        <v>45225.625694444447</v>
      </c>
      <c r="B401" s="4">
        <f>Log_Reseau_Master[[#This Row],[Duree_Panne_Min]]/1440</f>
        <v>7.4999999999999997E-2</v>
      </c>
      <c r="C401" t="s">
        <v>404</v>
      </c>
      <c r="D401">
        <v>108</v>
      </c>
      <c r="E401" t="s">
        <v>1321</v>
      </c>
      <c r="F401" t="str">
        <f>_xlfn.XLOOKUP(Log_Reseau_Master[[#This Row],[Cell_ID]],_29_03_2026_Registre_Maintenance_V2[ID_Antenne],_29_03_2026_Registre_Maintenance_V2[Province_RDC],"Pas de correspondance")</f>
        <v>Sud-Ubangi</v>
      </c>
      <c r="G401" t="str">
        <f>_xlfn.XLOOKUP(Log_Reseau_Master[[#This Row],[Cell_ID]],_29_03_2026_Registre_Maintenance_V2[ID_Antenne],_29_03_2026_Registre_Maintenance_V2[Technologie],"Pas de correspondance")</f>
        <v>5G</v>
      </c>
      <c r="H401" t="str">
        <f>_xlfn.XLOOKUP(Log_Reseau_Master[[#This Row],[Cell_ID]],_29_03_2026_Registre_Maintenance_V2[ID_Antenne],_29_03_2026_Registre_Maintenance_V2[Equipementier],"Pas de correspondance")</f>
        <v>ZTE</v>
      </c>
    </row>
    <row r="402" spans="1:8" hidden="1" x14ac:dyDescent="0.25">
      <c r="A402" s="1">
        <v>45209.988888888889</v>
      </c>
      <c r="B402">
        <f>Log_Reseau_Master[[#This Row],[Duree_Panne_Min]]/1440</f>
        <v>5.5555555555555552E-2</v>
      </c>
      <c r="C402" t="s">
        <v>1471</v>
      </c>
      <c r="D402">
        <v>80</v>
      </c>
      <c r="E402" t="s">
        <v>1312</v>
      </c>
      <c r="F402" t="str">
        <f>_xlfn.XLOOKUP(Log_Reseau_Master[[#This Row],[Cell_ID]],_29_03_2026_Registre_Maintenance_V2[ID_Antenne],_29_03_2026_Registre_Maintenance_V2[Province_RDC],"Pas de correspondance")</f>
        <v>Pas de correspondance</v>
      </c>
      <c r="G402" t="str">
        <f>_xlfn.XLOOKUP(Log_Reseau_Master[[#This Row],[Cell_ID]],_29_03_2026_Registre_Maintenance_V2[ID_Antenne],_29_03_2026_Registre_Maintenance_V2[Technologie],"Pas de correspondance")</f>
        <v>Pas de correspondance</v>
      </c>
      <c r="H402" t="str">
        <f>_xlfn.XLOOKUP(Log_Reseau_Master[[#This Row],[Cell_ID]],_29_03_2026_Registre_Maintenance_V2[ID_Antenne],_29_03_2026_Registre_Maintenance_V2[Equipementier],"Pas de correspondance")</f>
        <v>Pas de correspondance</v>
      </c>
    </row>
    <row r="403" spans="1:8" hidden="1" x14ac:dyDescent="0.25">
      <c r="A403" s="1">
        <v>45209.183333333334</v>
      </c>
      <c r="B403">
        <f>Log_Reseau_Master[[#This Row],[Duree_Panne_Min]]/1440</f>
        <v>5.6250000000000001E-2</v>
      </c>
      <c r="C403" t="s">
        <v>1472</v>
      </c>
      <c r="D403">
        <v>81</v>
      </c>
      <c r="E403" t="s">
        <v>1312</v>
      </c>
      <c r="F403" t="str">
        <f>_xlfn.XLOOKUP(Log_Reseau_Master[[#This Row],[Cell_ID]],_29_03_2026_Registre_Maintenance_V2[ID_Antenne],_29_03_2026_Registre_Maintenance_V2[Province_RDC],"Pas de correspondance")</f>
        <v>Pas de correspondance</v>
      </c>
      <c r="G403" t="str">
        <f>_xlfn.XLOOKUP(Log_Reseau_Master[[#This Row],[Cell_ID]],_29_03_2026_Registre_Maintenance_V2[ID_Antenne],_29_03_2026_Registre_Maintenance_V2[Technologie],"Pas de correspondance")</f>
        <v>Pas de correspondance</v>
      </c>
      <c r="H403" t="str">
        <f>_xlfn.XLOOKUP(Log_Reseau_Master[[#This Row],[Cell_ID]],_29_03_2026_Registre_Maintenance_V2[ID_Antenne],_29_03_2026_Registre_Maintenance_V2[Equipementier],"Pas de correspondance")</f>
        <v>Pas de correspondance</v>
      </c>
    </row>
    <row r="404" spans="1:8" hidden="1" x14ac:dyDescent="0.25">
      <c r="A404" s="1">
        <v>45223.548611111109</v>
      </c>
      <c r="B404">
        <f>Log_Reseau_Master[[#This Row],[Duree_Panne_Min]]/1440</f>
        <v>1.3194444444444444E-2</v>
      </c>
      <c r="C404" t="s">
        <v>1472</v>
      </c>
      <c r="D404">
        <v>19</v>
      </c>
      <c r="E404" t="s">
        <v>1312</v>
      </c>
      <c r="F404" t="str">
        <f>_xlfn.XLOOKUP(Log_Reseau_Master[[#This Row],[Cell_ID]],_29_03_2026_Registre_Maintenance_V2[ID_Antenne],_29_03_2026_Registre_Maintenance_V2[Province_RDC],"Pas de correspondance")</f>
        <v>Pas de correspondance</v>
      </c>
      <c r="G404" t="str">
        <f>_xlfn.XLOOKUP(Log_Reseau_Master[[#This Row],[Cell_ID]],_29_03_2026_Registre_Maintenance_V2[ID_Antenne],_29_03_2026_Registre_Maintenance_V2[Technologie],"Pas de correspondance")</f>
        <v>Pas de correspondance</v>
      </c>
      <c r="H404" t="str">
        <f>_xlfn.XLOOKUP(Log_Reseau_Master[[#This Row],[Cell_ID]],_29_03_2026_Registre_Maintenance_V2[ID_Antenne],_29_03_2026_Registre_Maintenance_V2[Equipementier],"Pas de correspondance")</f>
        <v>Pas de correspondance</v>
      </c>
    </row>
    <row r="405" spans="1:8" x14ac:dyDescent="0.25">
      <c r="A405" s="1">
        <v>45220.584027777775</v>
      </c>
      <c r="B405" s="4">
        <f>Log_Reseau_Master[[#This Row],[Duree_Panne_Min]]/1440</f>
        <v>6.3888888888888884E-2</v>
      </c>
      <c r="C405" t="s">
        <v>77</v>
      </c>
      <c r="D405">
        <v>92</v>
      </c>
      <c r="E405" t="s">
        <v>1321</v>
      </c>
      <c r="F405" t="str">
        <f>_xlfn.XLOOKUP(Log_Reseau_Master[[#This Row],[Cell_ID]],_29_03_2026_Registre_Maintenance_V2[ID_Antenne],_29_03_2026_Registre_Maintenance_V2[Province_RDC],"Pas de correspondance")</f>
        <v>Nord-Ubangi</v>
      </c>
      <c r="G405" t="str">
        <f>_xlfn.XLOOKUP(Log_Reseau_Master[[#This Row],[Cell_ID]],_29_03_2026_Registre_Maintenance_V2[ID_Antenne],_29_03_2026_Registre_Maintenance_V2[Technologie],"Pas de correspondance")</f>
        <v>4G</v>
      </c>
      <c r="H405" t="str">
        <f>_xlfn.XLOOKUP(Log_Reseau_Master[[#This Row],[Cell_ID]],_29_03_2026_Registre_Maintenance_V2[ID_Antenne],_29_03_2026_Registre_Maintenance_V2[Equipementier],"Pas de correspondance")</f>
        <v>Nokia</v>
      </c>
    </row>
    <row r="406" spans="1:8" hidden="1" x14ac:dyDescent="0.25">
      <c r="A406" s="1">
        <v>45202.443055555559</v>
      </c>
      <c r="B406">
        <f>Log_Reseau_Master[[#This Row],[Duree_Panne_Min]]/1440</f>
        <v>2.9861111111111113E-2</v>
      </c>
      <c r="C406" t="s">
        <v>1473</v>
      </c>
      <c r="D406">
        <v>43</v>
      </c>
      <c r="E406" t="s">
        <v>1314</v>
      </c>
      <c r="F406" t="str">
        <f>_xlfn.XLOOKUP(Log_Reseau_Master[[#This Row],[Cell_ID]],_29_03_2026_Registre_Maintenance_V2[ID_Antenne],_29_03_2026_Registre_Maintenance_V2[Province_RDC],"Pas de correspondance")</f>
        <v>Pas de correspondance</v>
      </c>
      <c r="G406" t="str">
        <f>_xlfn.XLOOKUP(Log_Reseau_Master[[#This Row],[Cell_ID]],_29_03_2026_Registre_Maintenance_V2[ID_Antenne],_29_03_2026_Registre_Maintenance_V2[Technologie],"Pas de correspondance")</f>
        <v>Pas de correspondance</v>
      </c>
      <c r="H406" t="str">
        <f>_xlfn.XLOOKUP(Log_Reseau_Master[[#This Row],[Cell_ID]],_29_03_2026_Registre_Maintenance_V2[ID_Antenne],_29_03_2026_Registre_Maintenance_V2[Equipementier],"Pas de correspondance")</f>
        <v>Pas de correspondance</v>
      </c>
    </row>
    <row r="407" spans="1:8" hidden="1" x14ac:dyDescent="0.25">
      <c r="A407" s="1">
        <v>45219.453472222223</v>
      </c>
      <c r="B407">
        <f>Log_Reseau_Master[[#This Row],[Duree_Panne_Min]]/1440</f>
        <v>3.6111111111111108E-2</v>
      </c>
      <c r="C407" t="s">
        <v>1473</v>
      </c>
      <c r="D407">
        <v>52</v>
      </c>
      <c r="E407" t="s">
        <v>1312</v>
      </c>
      <c r="F407" t="str">
        <f>_xlfn.XLOOKUP(Log_Reseau_Master[[#This Row],[Cell_ID]],_29_03_2026_Registre_Maintenance_V2[ID_Antenne],_29_03_2026_Registre_Maintenance_V2[Province_RDC],"Pas de correspondance")</f>
        <v>Pas de correspondance</v>
      </c>
      <c r="G407" t="str">
        <f>_xlfn.XLOOKUP(Log_Reseau_Master[[#This Row],[Cell_ID]],_29_03_2026_Registre_Maintenance_V2[ID_Antenne],_29_03_2026_Registre_Maintenance_V2[Technologie],"Pas de correspondance")</f>
        <v>Pas de correspondance</v>
      </c>
      <c r="H407" t="str">
        <f>_xlfn.XLOOKUP(Log_Reseau_Master[[#This Row],[Cell_ID]],_29_03_2026_Registre_Maintenance_V2[ID_Antenne],_29_03_2026_Registre_Maintenance_V2[Equipementier],"Pas de correspondance")</f>
        <v>Pas de correspondance</v>
      </c>
    </row>
    <row r="408" spans="1:8" hidden="1" x14ac:dyDescent="0.25">
      <c r="A408" s="1">
        <v>45209.781944444447</v>
      </c>
      <c r="B408">
        <f>Log_Reseau_Master[[#This Row],[Duree_Panne_Min]]/1440</f>
        <v>6.9444444444444441E-3</v>
      </c>
      <c r="C408" t="s">
        <v>1473</v>
      </c>
      <c r="D408">
        <v>10</v>
      </c>
      <c r="E408" t="s">
        <v>1312</v>
      </c>
      <c r="F408" t="str">
        <f>_xlfn.XLOOKUP(Log_Reseau_Master[[#This Row],[Cell_ID]],_29_03_2026_Registre_Maintenance_V2[ID_Antenne],_29_03_2026_Registre_Maintenance_V2[Province_RDC],"Pas de correspondance")</f>
        <v>Pas de correspondance</v>
      </c>
      <c r="G408" t="str">
        <f>_xlfn.XLOOKUP(Log_Reseau_Master[[#This Row],[Cell_ID]],_29_03_2026_Registre_Maintenance_V2[ID_Antenne],_29_03_2026_Registre_Maintenance_V2[Technologie],"Pas de correspondance")</f>
        <v>Pas de correspondance</v>
      </c>
      <c r="H408" t="str">
        <f>_xlfn.XLOOKUP(Log_Reseau_Master[[#This Row],[Cell_ID]],_29_03_2026_Registre_Maintenance_V2[ID_Antenne],_29_03_2026_Registre_Maintenance_V2[Equipementier],"Pas de correspondance")</f>
        <v>Pas de correspondance</v>
      </c>
    </row>
    <row r="409" spans="1:8" hidden="1" x14ac:dyDescent="0.25">
      <c r="A409" s="1">
        <v>45220.551388888889</v>
      </c>
      <c r="B409">
        <f>Log_Reseau_Master[[#This Row],[Duree_Panne_Min]]/1440</f>
        <v>4.1666666666666666E-3</v>
      </c>
      <c r="C409" t="s">
        <v>1474</v>
      </c>
      <c r="D409">
        <v>6</v>
      </c>
      <c r="E409" t="s">
        <v>1314</v>
      </c>
      <c r="F409" t="str">
        <f>_xlfn.XLOOKUP(Log_Reseau_Master[[#This Row],[Cell_ID]],_29_03_2026_Registre_Maintenance_V2[ID_Antenne],_29_03_2026_Registre_Maintenance_V2[Province_RDC],"Pas de correspondance")</f>
        <v>Pas de correspondance</v>
      </c>
      <c r="G409" t="str">
        <f>_xlfn.XLOOKUP(Log_Reseau_Master[[#This Row],[Cell_ID]],_29_03_2026_Registre_Maintenance_V2[ID_Antenne],_29_03_2026_Registre_Maintenance_V2[Technologie],"Pas de correspondance")</f>
        <v>Pas de correspondance</v>
      </c>
      <c r="H409" t="str">
        <f>_xlfn.XLOOKUP(Log_Reseau_Master[[#This Row],[Cell_ID]],_29_03_2026_Registre_Maintenance_V2[ID_Antenne],_29_03_2026_Registre_Maintenance_V2[Equipementier],"Pas de correspondance")</f>
        <v>Pas de correspondance</v>
      </c>
    </row>
    <row r="410" spans="1:8" x14ac:dyDescent="0.25">
      <c r="A410" s="1">
        <v>45200.570138888892</v>
      </c>
      <c r="B410" s="4">
        <f>Log_Reseau_Master[[#This Row],[Duree_Panne_Min]]/1440</f>
        <v>3.6805555555555557E-2</v>
      </c>
      <c r="C410" t="s">
        <v>434</v>
      </c>
      <c r="D410">
        <v>53</v>
      </c>
      <c r="E410" t="s">
        <v>1321</v>
      </c>
      <c r="F410" t="str">
        <f>_xlfn.XLOOKUP(Log_Reseau_Master[[#This Row],[Cell_ID]],_29_03_2026_Registre_Maintenance_V2[ID_Antenne],_29_03_2026_Registre_Maintenance_V2[Province_RDC],"Pas de correspondance")</f>
        <v>Kongo-Central</v>
      </c>
      <c r="G410" t="str">
        <f>_xlfn.XLOOKUP(Log_Reseau_Master[[#This Row],[Cell_ID]],_29_03_2026_Registre_Maintenance_V2[ID_Antenne],_29_03_2026_Registre_Maintenance_V2[Technologie],"Pas de correspondance")</f>
        <v>4G</v>
      </c>
      <c r="H410" t="str">
        <f>_xlfn.XLOOKUP(Log_Reseau_Master[[#This Row],[Cell_ID]],_29_03_2026_Registre_Maintenance_V2[ID_Antenne],_29_03_2026_Registre_Maintenance_V2[Equipementier],"Pas de correspondance")</f>
        <v>ZTE</v>
      </c>
    </row>
    <row r="411" spans="1:8" hidden="1" x14ac:dyDescent="0.25">
      <c r="A411" s="1">
        <v>45205.793749999997</v>
      </c>
      <c r="B411">
        <f>Log_Reseau_Master[[#This Row],[Duree_Panne_Min]]/1440</f>
        <v>6.8750000000000006E-2</v>
      </c>
      <c r="C411" t="s">
        <v>1475</v>
      </c>
      <c r="D411">
        <v>99</v>
      </c>
      <c r="E411" t="s">
        <v>1312</v>
      </c>
      <c r="F411" t="str">
        <f>_xlfn.XLOOKUP(Log_Reseau_Master[[#This Row],[Cell_ID]],_29_03_2026_Registre_Maintenance_V2[ID_Antenne],_29_03_2026_Registre_Maintenance_V2[Province_RDC],"Pas de correspondance")</f>
        <v>Pas de correspondance</v>
      </c>
      <c r="G411" t="str">
        <f>_xlfn.XLOOKUP(Log_Reseau_Master[[#This Row],[Cell_ID]],_29_03_2026_Registre_Maintenance_V2[ID_Antenne],_29_03_2026_Registre_Maintenance_V2[Technologie],"Pas de correspondance")</f>
        <v>Pas de correspondance</v>
      </c>
      <c r="H411" t="str">
        <f>_xlfn.XLOOKUP(Log_Reseau_Master[[#This Row],[Cell_ID]],_29_03_2026_Registre_Maintenance_V2[ID_Antenne],_29_03_2026_Registre_Maintenance_V2[Equipementier],"Pas de correspondance")</f>
        <v>Pas de correspondance</v>
      </c>
    </row>
    <row r="412" spans="1:8" x14ac:dyDescent="0.25">
      <c r="A412" s="1">
        <v>45215.587500000001</v>
      </c>
      <c r="B412" s="4">
        <f>Log_Reseau_Master[[#This Row],[Duree_Panne_Min]]/1440</f>
        <v>1.6666666666666666E-2</v>
      </c>
      <c r="C412" t="s">
        <v>94</v>
      </c>
      <c r="D412">
        <v>24</v>
      </c>
      <c r="E412" t="s">
        <v>1312</v>
      </c>
      <c r="F412" t="str">
        <f>_xlfn.XLOOKUP(Log_Reseau_Master[[#This Row],[Cell_ID]],_29_03_2026_Registre_Maintenance_V2[ID_Antenne],_29_03_2026_Registre_Maintenance_V2[Province_RDC],"Pas de correspondance")</f>
        <v>Maniema</v>
      </c>
      <c r="G412" t="str">
        <f>_xlfn.XLOOKUP(Log_Reseau_Master[[#This Row],[Cell_ID]],_29_03_2026_Registre_Maintenance_V2[ID_Antenne],_29_03_2026_Registre_Maintenance_V2[Technologie],"Pas de correspondance")</f>
        <v>5G</v>
      </c>
      <c r="H412" t="str">
        <f>_xlfn.XLOOKUP(Log_Reseau_Master[[#This Row],[Cell_ID]],_29_03_2026_Registre_Maintenance_V2[ID_Antenne],_29_03_2026_Registre_Maintenance_V2[Equipementier],"Pas de correspondance")</f>
        <v>ZTE</v>
      </c>
    </row>
    <row r="413" spans="1:8" x14ac:dyDescent="0.25">
      <c r="A413" s="1">
        <v>45215.049305555556</v>
      </c>
      <c r="B413" s="4">
        <f>Log_Reseau_Master[[#This Row],[Duree_Panne_Min]]/1440</f>
        <v>2.2916666666666665E-2</v>
      </c>
      <c r="C413" t="s">
        <v>94</v>
      </c>
      <c r="D413">
        <v>33</v>
      </c>
      <c r="E413" t="s">
        <v>1312</v>
      </c>
      <c r="F413" t="str">
        <f>_xlfn.XLOOKUP(Log_Reseau_Master[[#This Row],[Cell_ID]],_29_03_2026_Registre_Maintenance_V2[ID_Antenne],_29_03_2026_Registre_Maintenance_V2[Province_RDC],"Pas de correspondance")</f>
        <v>Maniema</v>
      </c>
      <c r="G413" t="str">
        <f>_xlfn.XLOOKUP(Log_Reseau_Master[[#This Row],[Cell_ID]],_29_03_2026_Registre_Maintenance_V2[ID_Antenne],_29_03_2026_Registre_Maintenance_V2[Technologie],"Pas de correspondance")</f>
        <v>5G</v>
      </c>
      <c r="H413" t="str">
        <f>_xlfn.XLOOKUP(Log_Reseau_Master[[#This Row],[Cell_ID]],_29_03_2026_Registre_Maintenance_V2[ID_Antenne],_29_03_2026_Registre_Maintenance_V2[Equipementier],"Pas de correspondance")</f>
        <v>ZTE</v>
      </c>
    </row>
    <row r="414" spans="1:8" x14ac:dyDescent="0.25">
      <c r="A414" s="1">
        <v>45223.450694444444</v>
      </c>
      <c r="B414" s="4">
        <f>Log_Reseau_Master[[#This Row],[Duree_Panne_Min]]/1440</f>
        <v>9.7222222222222224E-3</v>
      </c>
      <c r="C414" t="s">
        <v>381</v>
      </c>
      <c r="D414">
        <v>14</v>
      </c>
      <c r="E414" t="s">
        <v>1321</v>
      </c>
      <c r="F414" t="str">
        <f>_xlfn.XLOOKUP(Log_Reseau_Master[[#This Row],[Cell_ID]],_29_03_2026_Registre_Maintenance_V2[ID_Antenne],_29_03_2026_Registre_Maintenance_V2[Province_RDC],"Pas de correspondance")</f>
        <v>Tshuapa</v>
      </c>
      <c r="G414" t="str">
        <f>_xlfn.XLOOKUP(Log_Reseau_Master[[#This Row],[Cell_ID]],_29_03_2026_Registre_Maintenance_V2[ID_Antenne],_29_03_2026_Registre_Maintenance_V2[Technologie],"Pas de correspondance")</f>
        <v>3G</v>
      </c>
      <c r="H414" t="str">
        <f>_xlfn.XLOOKUP(Log_Reseau_Master[[#This Row],[Cell_ID]],_29_03_2026_Registre_Maintenance_V2[ID_Antenne],_29_03_2026_Registre_Maintenance_V2[Equipementier],"Pas de correspondance")</f>
        <v>Huawei</v>
      </c>
    </row>
    <row r="415" spans="1:8" x14ac:dyDescent="0.25">
      <c r="A415" s="1">
        <v>45227.195833333331</v>
      </c>
      <c r="B415" s="4">
        <f>Log_Reseau_Master[[#This Row],[Duree_Panne_Min]]/1440</f>
        <v>7.8472222222222221E-2</v>
      </c>
      <c r="C415" t="s">
        <v>453</v>
      </c>
      <c r="D415">
        <v>113</v>
      </c>
      <c r="E415" t="s">
        <v>1312</v>
      </c>
      <c r="F415" t="str">
        <f>_xlfn.XLOOKUP(Log_Reseau_Master[[#This Row],[Cell_ID]],_29_03_2026_Registre_Maintenance_V2[ID_Antenne],_29_03_2026_Registre_Maintenance_V2[Province_RDC],"Pas de correspondance")</f>
        <v>Kinshasa</v>
      </c>
      <c r="G415" t="str">
        <f>_xlfn.XLOOKUP(Log_Reseau_Master[[#This Row],[Cell_ID]],_29_03_2026_Registre_Maintenance_V2[ID_Antenne],_29_03_2026_Registre_Maintenance_V2[Technologie],"Pas de correspondance")</f>
        <v>3G</v>
      </c>
      <c r="H415" t="str">
        <f>_xlfn.XLOOKUP(Log_Reseau_Master[[#This Row],[Cell_ID]],_29_03_2026_Registre_Maintenance_V2[ID_Antenne],_29_03_2026_Registre_Maintenance_V2[Equipementier],"Pas de correspondance")</f>
        <v>Nokia</v>
      </c>
    </row>
    <row r="416" spans="1:8" x14ac:dyDescent="0.25">
      <c r="A416" s="1">
        <v>45220.877083333333</v>
      </c>
      <c r="B416" s="4">
        <f>Log_Reseau_Master[[#This Row],[Duree_Panne_Min]]/1440</f>
        <v>5.4166666666666669E-2</v>
      </c>
      <c r="C416" t="s">
        <v>453</v>
      </c>
      <c r="D416">
        <v>78</v>
      </c>
      <c r="E416" t="s">
        <v>1314</v>
      </c>
      <c r="F416" t="str">
        <f>_xlfn.XLOOKUP(Log_Reseau_Master[[#This Row],[Cell_ID]],_29_03_2026_Registre_Maintenance_V2[ID_Antenne],_29_03_2026_Registre_Maintenance_V2[Province_RDC],"Pas de correspondance")</f>
        <v>Kinshasa</v>
      </c>
      <c r="G416" t="str">
        <f>_xlfn.XLOOKUP(Log_Reseau_Master[[#This Row],[Cell_ID]],_29_03_2026_Registre_Maintenance_V2[ID_Antenne],_29_03_2026_Registre_Maintenance_V2[Technologie],"Pas de correspondance")</f>
        <v>3G</v>
      </c>
      <c r="H416" t="str">
        <f>_xlfn.XLOOKUP(Log_Reseau_Master[[#This Row],[Cell_ID]],_29_03_2026_Registre_Maintenance_V2[ID_Antenne],_29_03_2026_Registre_Maintenance_V2[Equipementier],"Pas de correspondance")</f>
        <v>Nokia</v>
      </c>
    </row>
    <row r="417" spans="1:8" x14ac:dyDescent="0.25">
      <c r="A417" s="1">
        <v>45218.675694444442</v>
      </c>
      <c r="B417" s="4">
        <f>Log_Reseau_Master[[#This Row],[Duree_Panne_Min]]/1440</f>
        <v>2.5694444444444443E-2</v>
      </c>
      <c r="C417" t="s">
        <v>58</v>
      </c>
      <c r="D417">
        <v>37</v>
      </c>
      <c r="E417" t="s">
        <v>1321</v>
      </c>
      <c r="F417" t="str">
        <f>_xlfn.XLOOKUP(Log_Reseau_Master[[#This Row],[Cell_ID]],_29_03_2026_Registre_Maintenance_V2[ID_Antenne],_29_03_2026_Registre_Maintenance_V2[Province_RDC],"Pas de correspondance")</f>
        <v>Sud-Kivu</v>
      </c>
      <c r="G417" t="str">
        <f>_xlfn.XLOOKUP(Log_Reseau_Master[[#This Row],[Cell_ID]],_29_03_2026_Registre_Maintenance_V2[ID_Antenne],_29_03_2026_Registre_Maintenance_V2[Technologie],"Pas de correspondance")</f>
        <v>4G</v>
      </c>
      <c r="H417" t="str">
        <f>_xlfn.XLOOKUP(Log_Reseau_Master[[#This Row],[Cell_ID]],_29_03_2026_Registre_Maintenance_V2[ID_Antenne],_29_03_2026_Registre_Maintenance_V2[Equipementier],"Pas de correspondance")</f>
        <v>Ericsson</v>
      </c>
    </row>
    <row r="418" spans="1:8" x14ac:dyDescent="0.25">
      <c r="A418" s="1">
        <v>45221.517361111109</v>
      </c>
      <c r="B418" s="4">
        <f>Log_Reseau_Master[[#This Row],[Duree_Panne_Min]]/1440</f>
        <v>5.7638888888888892E-2</v>
      </c>
      <c r="C418" t="s">
        <v>58</v>
      </c>
      <c r="D418">
        <v>83</v>
      </c>
      <c r="E418" t="s">
        <v>1321</v>
      </c>
      <c r="F418" t="str">
        <f>_xlfn.XLOOKUP(Log_Reseau_Master[[#This Row],[Cell_ID]],_29_03_2026_Registre_Maintenance_V2[ID_Antenne],_29_03_2026_Registre_Maintenance_V2[Province_RDC],"Pas de correspondance")</f>
        <v>Sud-Kivu</v>
      </c>
      <c r="G418" t="str">
        <f>_xlfn.XLOOKUP(Log_Reseau_Master[[#This Row],[Cell_ID]],_29_03_2026_Registre_Maintenance_V2[ID_Antenne],_29_03_2026_Registre_Maintenance_V2[Technologie],"Pas de correspondance")</f>
        <v>4G</v>
      </c>
      <c r="H418" t="str">
        <f>_xlfn.XLOOKUP(Log_Reseau_Master[[#This Row],[Cell_ID]],_29_03_2026_Registre_Maintenance_V2[ID_Antenne],_29_03_2026_Registre_Maintenance_V2[Equipementier],"Pas de correspondance")</f>
        <v>Ericsson</v>
      </c>
    </row>
    <row r="419" spans="1:8" x14ac:dyDescent="0.25">
      <c r="A419" s="1">
        <v>45213.066666666666</v>
      </c>
      <c r="B419" s="4">
        <f>Log_Reseau_Master[[#This Row],[Duree_Panne_Min]]/1440</f>
        <v>4.3749999999999997E-2</v>
      </c>
      <c r="C419" t="s">
        <v>172</v>
      </c>
      <c r="D419">
        <v>63</v>
      </c>
      <c r="E419" t="s">
        <v>1314</v>
      </c>
      <c r="F419" t="str">
        <f>_xlfn.XLOOKUP(Log_Reseau_Master[[#This Row],[Cell_ID]],_29_03_2026_Registre_Maintenance_V2[ID_Antenne],_29_03_2026_Registre_Maintenance_V2[Province_RDC],"Pas de correspondance")</f>
        <v>Sud-Ubangi</v>
      </c>
      <c r="G419" t="str">
        <f>_xlfn.XLOOKUP(Log_Reseau_Master[[#This Row],[Cell_ID]],_29_03_2026_Registre_Maintenance_V2[ID_Antenne],_29_03_2026_Registre_Maintenance_V2[Technologie],"Pas de correspondance")</f>
        <v>3G</v>
      </c>
      <c r="H419" t="str">
        <f>_xlfn.XLOOKUP(Log_Reseau_Master[[#This Row],[Cell_ID]],_29_03_2026_Registre_Maintenance_V2[ID_Antenne],_29_03_2026_Registre_Maintenance_V2[Equipementier],"Pas de correspondance")</f>
        <v>Huawei</v>
      </c>
    </row>
    <row r="420" spans="1:8" x14ac:dyDescent="0.25">
      <c r="A420" s="1">
        <v>45211.098611111112</v>
      </c>
      <c r="B420" s="4">
        <f>Log_Reseau_Master[[#This Row],[Duree_Panne_Min]]/1440</f>
        <v>4.0972222222222222E-2</v>
      </c>
      <c r="C420" t="s">
        <v>172</v>
      </c>
      <c r="D420">
        <v>59</v>
      </c>
      <c r="E420" t="s">
        <v>1321</v>
      </c>
      <c r="F420" t="str">
        <f>_xlfn.XLOOKUP(Log_Reseau_Master[[#This Row],[Cell_ID]],_29_03_2026_Registre_Maintenance_V2[ID_Antenne],_29_03_2026_Registre_Maintenance_V2[Province_RDC],"Pas de correspondance")</f>
        <v>Sud-Ubangi</v>
      </c>
      <c r="G420" t="str">
        <f>_xlfn.XLOOKUP(Log_Reseau_Master[[#This Row],[Cell_ID]],_29_03_2026_Registre_Maintenance_V2[ID_Antenne],_29_03_2026_Registre_Maintenance_V2[Technologie],"Pas de correspondance")</f>
        <v>3G</v>
      </c>
      <c r="H420" t="str">
        <f>_xlfn.XLOOKUP(Log_Reseau_Master[[#This Row],[Cell_ID]],_29_03_2026_Registre_Maintenance_V2[ID_Antenne],_29_03_2026_Registre_Maintenance_V2[Equipementier],"Pas de correspondance")</f>
        <v>Huawei</v>
      </c>
    </row>
    <row r="421" spans="1:8" x14ac:dyDescent="0.25">
      <c r="A421" s="1">
        <v>45219.506249999999</v>
      </c>
      <c r="B421" s="4">
        <f>Log_Reseau_Master[[#This Row],[Duree_Panne_Min]]/1440</f>
        <v>2.8472222222222222E-2</v>
      </c>
      <c r="C421" t="s">
        <v>458</v>
      </c>
      <c r="D421">
        <v>41</v>
      </c>
      <c r="E421" t="s">
        <v>1312</v>
      </c>
      <c r="F421" t="str">
        <f>_xlfn.XLOOKUP(Log_Reseau_Master[[#This Row],[Cell_ID]],_29_03_2026_Registre_Maintenance_V2[ID_Antenne],_29_03_2026_Registre_Maintenance_V2[Province_RDC],"Pas de correspondance")</f>
        <v>Tshuapa</v>
      </c>
      <c r="G421" t="str">
        <f>_xlfn.XLOOKUP(Log_Reseau_Master[[#This Row],[Cell_ID]],_29_03_2026_Registre_Maintenance_V2[ID_Antenne],_29_03_2026_Registre_Maintenance_V2[Technologie],"Pas de correspondance")</f>
        <v>5G</v>
      </c>
      <c r="H421" t="str">
        <f>_xlfn.XLOOKUP(Log_Reseau_Master[[#This Row],[Cell_ID]],_29_03_2026_Registre_Maintenance_V2[ID_Antenne],_29_03_2026_Registre_Maintenance_V2[Equipementier],"Pas de correspondance")</f>
        <v>Huawei</v>
      </c>
    </row>
    <row r="422" spans="1:8" x14ac:dyDescent="0.25">
      <c r="A422" s="1">
        <v>45226.104166666664</v>
      </c>
      <c r="B422" s="4">
        <f>Log_Reseau_Master[[#This Row],[Duree_Panne_Min]]/1440</f>
        <v>7.6388888888888895E-2</v>
      </c>
      <c r="C422" t="s">
        <v>458</v>
      </c>
      <c r="D422">
        <v>110</v>
      </c>
      <c r="E422" t="s">
        <v>1312</v>
      </c>
      <c r="F422" t="str">
        <f>_xlfn.XLOOKUP(Log_Reseau_Master[[#This Row],[Cell_ID]],_29_03_2026_Registre_Maintenance_V2[ID_Antenne],_29_03_2026_Registre_Maintenance_V2[Province_RDC],"Pas de correspondance")</f>
        <v>Tshuapa</v>
      </c>
      <c r="G422" t="str">
        <f>_xlfn.XLOOKUP(Log_Reseau_Master[[#This Row],[Cell_ID]],_29_03_2026_Registre_Maintenance_V2[ID_Antenne],_29_03_2026_Registre_Maintenance_V2[Technologie],"Pas de correspondance")</f>
        <v>5G</v>
      </c>
      <c r="H422" t="str">
        <f>_xlfn.XLOOKUP(Log_Reseau_Master[[#This Row],[Cell_ID]],_29_03_2026_Registre_Maintenance_V2[ID_Antenne],_29_03_2026_Registre_Maintenance_V2[Equipementier],"Pas de correspondance")</f>
        <v>Huawei</v>
      </c>
    </row>
    <row r="423" spans="1:8" x14ac:dyDescent="0.25">
      <c r="A423" s="1">
        <v>45205.178472222222</v>
      </c>
      <c r="B423" s="4">
        <f>Log_Reseau_Master[[#This Row],[Duree_Panne_Min]]/1440</f>
        <v>2.9166666666666667E-2</v>
      </c>
      <c r="C423" t="s">
        <v>326</v>
      </c>
      <c r="D423">
        <v>42</v>
      </c>
      <c r="E423" t="s">
        <v>1312</v>
      </c>
      <c r="F423" t="str">
        <f>_xlfn.XLOOKUP(Log_Reseau_Master[[#This Row],[Cell_ID]],_29_03_2026_Registre_Maintenance_V2[ID_Antenne],_29_03_2026_Registre_Maintenance_V2[Province_RDC],"Pas de correspondance")</f>
        <v>Sud-Ubangi</v>
      </c>
      <c r="G423" t="str">
        <f>_xlfn.XLOOKUP(Log_Reseau_Master[[#This Row],[Cell_ID]],_29_03_2026_Registre_Maintenance_V2[ID_Antenne],_29_03_2026_Registre_Maintenance_V2[Technologie],"Pas de correspondance")</f>
        <v>3G</v>
      </c>
      <c r="H423" t="str">
        <f>_xlfn.XLOOKUP(Log_Reseau_Master[[#This Row],[Cell_ID]],_29_03_2026_Registre_Maintenance_V2[ID_Antenne],_29_03_2026_Registre_Maintenance_V2[Equipementier],"Pas de correspondance")</f>
        <v>ZTE</v>
      </c>
    </row>
    <row r="424" spans="1:8" hidden="1" x14ac:dyDescent="0.25">
      <c r="A424" s="1">
        <v>45212.680555555555</v>
      </c>
      <c r="B424">
        <f>Log_Reseau_Master[[#This Row],[Duree_Panne_Min]]/1440</f>
        <v>4.3749999999999997E-2</v>
      </c>
      <c r="C424" t="s">
        <v>1476</v>
      </c>
      <c r="D424">
        <v>63</v>
      </c>
      <c r="E424" t="s">
        <v>1314</v>
      </c>
      <c r="F424" t="str">
        <f>_xlfn.XLOOKUP(Log_Reseau_Master[[#This Row],[Cell_ID]],_29_03_2026_Registre_Maintenance_V2[ID_Antenne],_29_03_2026_Registre_Maintenance_V2[Province_RDC],"Pas de correspondance")</f>
        <v>Pas de correspondance</v>
      </c>
      <c r="G424" t="str">
        <f>_xlfn.XLOOKUP(Log_Reseau_Master[[#This Row],[Cell_ID]],_29_03_2026_Registre_Maintenance_V2[ID_Antenne],_29_03_2026_Registre_Maintenance_V2[Technologie],"Pas de correspondance")</f>
        <v>Pas de correspondance</v>
      </c>
      <c r="H424" t="str">
        <f>_xlfn.XLOOKUP(Log_Reseau_Master[[#This Row],[Cell_ID]],_29_03_2026_Registre_Maintenance_V2[ID_Antenne],_29_03_2026_Registre_Maintenance_V2[Equipementier],"Pas de correspondance")</f>
        <v>Pas de correspondance</v>
      </c>
    </row>
    <row r="425" spans="1:8" x14ac:dyDescent="0.25">
      <c r="A425" s="1">
        <v>45220.222916666666</v>
      </c>
      <c r="B425" s="4">
        <f>Log_Reseau_Master[[#This Row],[Duree_Panne_Min]]/1440</f>
        <v>4.5138888888888888E-2</v>
      </c>
      <c r="C425" t="s">
        <v>487</v>
      </c>
      <c r="D425">
        <v>65</v>
      </c>
      <c r="E425" t="s">
        <v>1321</v>
      </c>
      <c r="F425" t="str">
        <f>_xlfn.XLOOKUP(Log_Reseau_Master[[#This Row],[Cell_ID]],_29_03_2026_Registre_Maintenance_V2[ID_Antenne],_29_03_2026_Registre_Maintenance_V2[Province_RDC],"Pas de correspondance")</f>
        <v>Haut-Lomami</v>
      </c>
      <c r="G425" t="str">
        <f>_xlfn.XLOOKUP(Log_Reseau_Master[[#This Row],[Cell_ID]],_29_03_2026_Registre_Maintenance_V2[ID_Antenne],_29_03_2026_Registre_Maintenance_V2[Technologie],"Pas de correspondance")</f>
        <v>4G</v>
      </c>
      <c r="H425" t="str">
        <f>_xlfn.XLOOKUP(Log_Reseau_Master[[#This Row],[Cell_ID]],_29_03_2026_Registre_Maintenance_V2[ID_Antenne],_29_03_2026_Registre_Maintenance_V2[Equipementier],"Pas de correspondance")</f>
        <v>Huawei</v>
      </c>
    </row>
    <row r="426" spans="1:8" x14ac:dyDescent="0.25">
      <c r="A426" s="1">
        <v>45222.777777777781</v>
      </c>
      <c r="B426" s="4">
        <f>Log_Reseau_Master[[#This Row],[Duree_Panne_Min]]/1440</f>
        <v>7.0833333333333331E-2</v>
      </c>
      <c r="C426" t="s">
        <v>487</v>
      </c>
      <c r="D426">
        <v>102</v>
      </c>
      <c r="E426" t="s">
        <v>1321</v>
      </c>
      <c r="F426" t="str">
        <f>_xlfn.XLOOKUP(Log_Reseau_Master[[#This Row],[Cell_ID]],_29_03_2026_Registre_Maintenance_V2[ID_Antenne],_29_03_2026_Registre_Maintenance_V2[Province_RDC],"Pas de correspondance")</f>
        <v>Haut-Lomami</v>
      </c>
      <c r="G426" t="str">
        <f>_xlfn.XLOOKUP(Log_Reseau_Master[[#This Row],[Cell_ID]],_29_03_2026_Registre_Maintenance_V2[ID_Antenne],_29_03_2026_Registre_Maintenance_V2[Technologie],"Pas de correspondance")</f>
        <v>4G</v>
      </c>
      <c r="H426" t="str">
        <f>_xlfn.XLOOKUP(Log_Reseau_Master[[#This Row],[Cell_ID]],_29_03_2026_Registre_Maintenance_V2[ID_Antenne],_29_03_2026_Registre_Maintenance_V2[Equipementier],"Pas de correspondance")</f>
        <v>Huawei</v>
      </c>
    </row>
    <row r="427" spans="1:8" x14ac:dyDescent="0.25">
      <c r="A427" s="1">
        <v>45216.729861111111</v>
      </c>
      <c r="B427" s="4">
        <f>Log_Reseau_Master[[#This Row],[Duree_Panne_Min]]/1440</f>
        <v>5.4166666666666669E-2</v>
      </c>
      <c r="C427" t="s">
        <v>359</v>
      </c>
      <c r="D427">
        <v>78</v>
      </c>
      <c r="E427" t="s">
        <v>1312</v>
      </c>
      <c r="F427" t="str">
        <f>_xlfn.XLOOKUP(Log_Reseau_Master[[#This Row],[Cell_ID]],_29_03_2026_Registre_Maintenance_V2[ID_Antenne],_29_03_2026_Registre_Maintenance_V2[Province_RDC],"Pas de correspondance")</f>
        <v>Lualaba</v>
      </c>
      <c r="G427" t="str">
        <f>_xlfn.XLOOKUP(Log_Reseau_Master[[#This Row],[Cell_ID]],_29_03_2026_Registre_Maintenance_V2[ID_Antenne],_29_03_2026_Registre_Maintenance_V2[Technologie],"Pas de correspondance")</f>
        <v>3G</v>
      </c>
      <c r="H427" t="str">
        <f>_xlfn.XLOOKUP(Log_Reseau_Master[[#This Row],[Cell_ID]],_29_03_2026_Registre_Maintenance_V2[ID_Antenne],_29_03_2026_Registre_Maintenance_V2[Equipementier],"Pas de correspondance")</f>
        <v>Ericsson</v>
      </c>
    </row>
    <row r="428" spans="1:8" x14ac:dyDescent="0.25">
      <c r="A428" s="1">
        <v>45209.777083333334</v>
      </c>
      <c r="B428" s="4">
        <f>Log_Reseau_Master[[#This Row],[Duree_Panne_Min]]/1440</f>
        <v>2.7777777777777776E-2</v>
      </c>
      <c r="C428" t="s">
        <v>359</v>
      </c>
      <c r="D428">
        <v>40</v>
      </c>
      <c r="E428" t="s">
        <v>1321</v>
      </c>
      <c r="F428" t="str">
        <f>_xlfn.XLOOKUP(Log_Reseau_Master[[#This Row],[Cell_ID]],_29_03_2026_Registre_Maintenance_V2[ID_Antenne],_29_03_2026_Registre_Maintenance_V2[Province_RDC],"Pas de correspondance")</f>
        <v>Lualaba</v>
      </c>
      <c r="G428" t="str">
        <f>_xlfn.XLOOKUP(Log_Reseau_Master[[#This Row],[Cell_ID]],_29_03_2026_Registre_Maintenance_V2[ID_Antenne],_29_03_2026_Registre_Maintenance_V2[Technologie],"Pas de correspondance")</f>
        <v>3G</v>
      </c>
      <c r="H428" t="str">
        <f>_xlfn.XLOOKUP(Log_Reseau_Master[[#This Row],[Cell_ID]],_29_03_2026_Registre_Maintenance_V2[ID_Antenne],_29_03_2026_Registre_Maintenance_V2[Equipementier],"Pas de correspondance")</f>
        <v>Ericsson</v>
      </c>
    </row>
    <row r="429" spans="1:8" x14ac:dyDescent="0.25">
      <c r="A429" s="1">
        <v>45230.119444444441</v>
      </c>
      <c r="B429" s="4">
        <f>Log_Reseau_Master[[#This Row],[Duree_Panne_Min]]/1440</f>
        <v>5.5555555555555558E-3</v>
      </c>
      <c r="C429" t="s">
        <v>359</v>
      </c>
      <c r="D429">
        <v>8</v>
      </c>
      <c r="E429" t="s">
        <v>1312</v>
      </c>
      <c r="F429" t="str">
        <f>_xlfn.XLOOKUP(Log_Reseau_Master[[#This Row],[Cell_ID]],_29_03_2026_Registre_Maintenance_V2[ID_Antenne],_29_03_2026_Registre_Maintenance_V2[Province_RDC],"Pas de correspondance")</f>
        <v>Lualaba</v>
      </c>
      <c r="G429" t="str">
        <f>_xlfn.XLOOKUP(Log_Reseau_Master[[#This Row],[Cell_ID]],_29_03_2026_Registre_Maintenance_V2[ID_Antenne],_29_03_2026_Registre_Maintenance_V2[Technologie],"Pas de correspondance")</f>
        <v>3G</v>
      </c>
      <c r="H429" t="str">
        <f>_xlfn.XLOOKUP(Log_Reseau_Master[[#This Row],[Cell_ID]],_29_03_2026_Registre_Maintenance_V2[ID_Antenne],_29_03_2026_Registre_Maintenance_V2[Equipementier],"Pas de correspondance")</f>
        <v>Ericsson</v>
      </c>
    </row>
    <row r="430" spans="1:8" hidden="1" x14ac:dyDescent="0.25">
      <c r="A430" s="1">
        <v>45203.864583333336</v>
      </c>
      <c r="B430">
        <f>Log_Reseau_Master[[#This Row],[Duree_Panne_Min]]/1440</f>
        <v>6.9444444444444448E-2</v>
      </c>
      <c r="C430" t="s">
        <v>1477</v>
      </c>
      <c r="D430">
        <v>100</v>
      </c>
      <c r="E430" t="s">
        <v>1321</v>
      </c>
      <c r="F430" t="str">
        <f>_xlfn.XLOOKUP(Log_Reseau_Master[[#This Row],[Cell_ID]],_29_03_2026_Registre_Maintenance_V2[ID_Antenne],_29_03_2026_Registre_Maintenance_V2[Province_RDC],"Pas de correspondance")</f>
        <v>Pas de correspondance</v>
      </c>
      <c r="G430" t="str">
        <f>_xlfn.XLOOKUP(Log_Reseau_Master[[#This Row],[Cell_ID]],_29_03_2026_Registre_Maintenance_V2[ID_Antenne],_29_03_2026_Registre_Maintenance_V2[Technologie],"Pas de correspondance")</f>
        <v>Pas de correspondance</v>
      </c>
      <c r="H430" t="str">
        <f>_xlfn.XLOOKUP(Log_Reseau_Master[[#This Row],[Cell_ID]],_29_03_2026_Registre_Maintenance_V2[ID_Antenne],_29_03_2026_Registre_Maintenance_V2[Equipementier],"Pas de correspondance")</f>
        <v>Pas de correspondance</v>
      </c>
    </row>
    <row r="431" spans="1:8" hidden="1" x14ac:dyDescent="0.25">
      <c r="A431" s="1">
        <v>45208.762499999997</v>
      </c>
      <c r="B431">
        <f>Log_Reseau_Master[[#This Row],[Duree_Panne_Min]]/1440</f>
        <v>7.013888888888889E-2</v>
      </c>
      <c r="C431" t="s">
        <v>1478</v>
      </c>
      <c r="D431">
        <v>101</v>
      </c>
      <c r="E431" t="s">
        <v>1314</v>
      </c>
      <c r="F431" t="str">
        <f>_xlfn.XLOOKUP(Log_Reseau_Master[[#This Row],[Cell_ID]],_29_03_2026_Registre_Maintenance_V2[ID_Antenne],_29_03_2026_Registre_Maintenance_V2[Province_RDC],"Pas de correspondance")</f>
        <v>Pas de correspondance</v>
      </c>
      <c r="G431" t="str">
        <f>_xlfn.XLOOKUP(Log_Reseau_Master[[#This Row],[Cell_ID]],_29_03_2026_Registre_Maintenance_V2[ID_Antenne],_29_03_2026_Registre_Maintenance_V2[Technologie],"Pas de correspondance")</f>
        <v>Pas de correspondance</v>
      </c>
      <c r="H431" t="str">
        <f>_xlfn.XLOOKUP(Log_Reseau_Master[[#This Row],[Cell_ID]],_29_03_2026_Registre_Maintenance_V2[ID_Antenne],_29_03_2026_Registre_Maintenance_V2[Equipementier],"Pas de correspondance")</f>
        <v>Pas de correspondance</v>
      </c>
    </row>
    <row r="432" spans="1:8" hidden="1" x14ac:dyDescent="0.25">
      <c r="A432" s="1">
        <v>45213.960416666669</v>
      </c>
      <c r="B432">
        <f>Log_Reseau_Master[[#This Row],[Duree_Panne_Min]]/1440</f>
        <v>7.1527777777777773E-2</v>
      </c>
      <c r="C432" t="s">
        <v>1479</v>
      </c>
      <c r="D432">
        <v>103</v>
      </c>
      <c r="E432" t="s">
        <v>1312</v>
      </c>
      <c r="F432" t="str">
        <f>_xlfn.XLOOKUP(Log_Reseau_Master[[#This Row],[Cell_ID]],_29_03_2026_Registre_Maintenance_V2[ID_Antenne],_29_03_2026_Registre_Maintenance_V2[Province_RDC],"Pas de correspondance")</f>
        <v>Pas de correspondance</v>
      </c>
      <c r="G432" t="str">
        <f>_xlfn.XLOOKUP(Log_Reseau_Master[[#This Row],[Cell_ID]],_29_03_2026_Registre_Maintenance_V2[ID_Antenne],_29_03_2026_Registre_Maintenance_V2[Technologie],"Pas de correspondance")</f>
        <v>Pas de correspondance</v>
      </c>
      <c r="H432" t="str">
        <f>_xlfn.XLOOKUP(Log_Reseau_Master[[#This Row],[Cell_ID]],_29_03_2026_Registre_Maintenance_V2[ID_Antenne],_29_03_2026_Registre_Maintenance_V2[Equipementier],"Pas de correspondance")</f>
        <v>Pas de correspondance</v>
      </c>
    </row>
    <row r="433" spans="1:8" hidden="1" x14ac:dyDescent="0.25">
      <c r="A433" s="1">
        <v>45219.076388888891</v>
      </c>
      <c r="B433">
        <f>Log_Reseau_Master[[#This Row],[Duree_Panne_Min]]/1440</f>
        <v>6.458333333333334E-2</v>
      </c>
      <c r="C433" t="s">
        <v>1480</v>
      </c>
      <c r="D433">
        <v>93</v>
      </c>
      <c r="E433" t="s">
        <v>1321</v>
      </c>
      <c r="F433" t="str">
        <f>_xlfn.XLOOKUP(Log_Reseau_Master[[#This Row],[Cell_ID]],_29_03_2026_Registre_Maintenance_V2[ID_Antenne],_29_03_2026_Registre_Maintenance_V2[Province_RDC],"Pas de correspondance")</f>
        <v>Pas de correspondance</v>
      </c>
      <c r="G433" t="str">
        <f>_xlfn.XLOOKUP(Log_Reseau_Master[[#This Row],[Cell_ID]],_29_03_2026_Registre_Maintenance_V2[ID_Antenne],_29_03_2026_Registre_Maintenance_V2[Technologie],"Pas de correspondance")</f>
        <v>Pas de correspondance</v>
      </c>
      <c r="H433" t="str">
        <f>_xlfn.XLOOKUP(Log_Reseau_Master[[#This Row],[Cell_ID]],_29_03_2026_Registre_Maintenance_V2[ID_Antenne],_29_03_2026_Registre_Maintenance_V2[Equipementier],"Pas de correspondance")</f>
        <v>Pas de correspondance</v>
      </c>
    </row>
    <row r="434" spans="1:8" hidden="1" x14ac:dyDescent="0.25">
      <c r="A434" s="1">
        <v>45217.504166666666</v>
      </c>
      <c r="B434">
        <f>Log_Reseau_Master[[#This Row],[Duree_Panne_Min]]/1440</f>
        <v>3.8194444444444448E-2</v>
      </c>
      <c r="C434" t="s">
        <v>1480</v>
      </c>
      <c r="D434">
        <v>55</v>
      </c>
      <c r="E434" t="s">
        <v>1321</v>
      </c>
      <c r="F434" t="str">
        <f>_xlfn.XLOOKUP(Log_Reseau_Master[[#This Row],[Cell_ID]],_29_03_2026_Registre_Maintenance_V2[ID_Antenne],_29_03_2026_Registre_Maintenance_V2[Province_RDC],"Pas de correspondance")</f>
        <v>Pas de correspondance</v>
      </c>
      <c r="G434" t="str">
        <f>_xlfn.XLOOKUP(Log_Reseau_Master[[#This Row],[Cell_ID]],_29_03_2026_Registre_Maintenance_V2[ID_Antenne],_29_03_2026_Registre_Maintenance_V2[Technologie],"Pas de correspondance")</f>
        <v>Pas de correspondance</v>
      </c>
      <c r="H434" t="str">
        <f>_xlfn.XLOOKUP(Log_Reseau_Master[[#This Row],[Cell_ID]],_29_03_2026_Registre_Maintenance_V2[ID_Antenne],_29_03_2026_Registre_Maintenance_V2[Equipementier],"Pas de correspondance")</f>
        <v>Pas de correspondance</v>
      </c>
    </row>
    <row r="435" spans="1:8" hidden="1" x14ac:dyDescent="0.25">
      <c r="A435" s="1">
        <v>45217.193749999999</v>
      </c>
      <c r="B435">
        <f>Log_Reseau_Master[[#This Row],[Duree_Panne_Min]]/1440</f>
        <v>3.888888888888889E-2</v>
      </c>
      <c r="C435" t="s">
        <v>1480</v>
      </c>
      <c r="D435">
        <v>56</v>
      </c>
      <c r="E435" t="s">
        <v>1314</v>
      </c>
      <c r="F435" t="str">
        <f>_xlfn.XLOOKUP(Log_Reseau_Master[[#This Row],[Cell_ID]],_29_03_2026_Registre_Maintenance_V2[ID_Antenne],_29_03_2026_Registre_Maintenance_V2[Province_RDC],"Pas de correspondance")</f>
        <v>Pas de correspondance</v>
      </c>
      <c r="G435" t="str">
        <f>_xlfn.XLOOKUP(Log_Reseau_Master[[#This Row],[Cell_ID]],_29_03_2026_Registre_Maintenance_V2[ID_Antenne],_29_03_2026_Registre_Maintenance_V2[Technologie],"Pas de correspondance")</f>
        <v>Pas de correspondance</v>
      </c>
      <c r="H435" t="str">
        <f>_xlfn.XLOOKUP(Log_Reseau_Master[[#This Row],[Cell_ID]],_29_03_2026_Registre_Maintenance_V2[ID_Antenne],_29_03_2026_Registre_Maintenance_V2[Equipementier],"Pas de correspondance")</f>
        <v>Pas de correspondance</v>
      </c>
    </row>
    <row r="436" spans="1:8" x14ac:dyDescent="0.25">
      <c r="A436" s="1">
        <v>45213.145138888889</v>
      </c>
      <c r="B436" s="4">
        <f>Log_Reseau_Master[[#This Row],[Duree_Panne_Min]]/1440</f>
        <v>7.2916666666666671E-2</v>
      </c>
      <c r="C436" t="s">
        <v>280</v>
      </c>
      <c r="D436">
        <v>105</v>
      </c>
      <c r="E436" t="s">
        <v>1312</v>
      </c>
      <c r="F436" t="str">
        <f>_xlfn.XLOOKUP(Log_Reseau_Master[[#This Row],[Cell_ID]],_29_03_2026_Registre_Maintenance_V2[ID_Antenne],_29_03_2026_Registre_Maintenance_V2[Province_RDC],"Pas de correspondance")</f>
        <v>Kwilu</v>
      </c>
      <c r="G436" t="str">
        <f>_xlfn.XLOOKUP(Log_Reseau_Master[[#This Row],[Cell_ID]],_29_03_2026_Registre_Maintenance_V2[ID_Antenne],_29_03_2026_Registre_Maintenance_V2[Technologie],"Pas de correspondance")</f>
        <v>4G</v>
      </c>
      <c r="H436" t="str">
        <f>_xlfn.XLOOKUP(Log_Reseau_Master[[#This Row],[Cell_ID]],_29_03_2026_Registre_Maintenance_V2[ID_Antenne],_29_03_2026_Registre_Maintenance_V2[Equipementier],"Pas de correspondance")</f>
        <v>ZTE</v>
      </c>
    </row>
    <row r="437" spans="1:8" x14ac:dyDescent="0.25">
      <c r="A437" s="1">
        <v>45200.511111111111</v>
      </c>
      <c r="B437" s="4">
        <f>Log_Reseau_Master[[#This Row],[Duree_Panne_Min]]/1440</f>
        <v>1.5277777777777777E-2</v>
      </c>
      <c r="C437" t="s">
        <v>280</v>
      </c>
      <c r="D437">
        <v>22</v>
      </c>
      <c r="E437" t="s">
        <v>1321</v>
      </c>
      <c r="F437" t="str">
        <f>_xlfn.XLOOKUP(Log_Reseau_Master[[#This Row],[Cell_ID]],_29_03_2026_Registre_Maintenance_V2[ID_Antenne],_29_03_2026_Registre_Maintenance_V2[Province_RDC],"Pas de correspondance")</f>
        <v>Kwilu</v>
      </c>
      <c r="G437" t="str">
        <f>_xlfn.XLOOKUP(Log_Reseau_Master[[#This Row],[Cell_ID]],_29_03_2026_Registre_Maintenance_V2[ID_Antenne],_29_03_2026_Registre_Maintenance_V2[Technologie],"Pas de correspondance")</f>
        <v>4G</v>
      </c>
      <c r="H437" t="str">
        <f>_xlfn.XLOOKUP(Log_Reseau_Master[[#This Row],[Cell_ID]],_29_03_2026_Registre_Maintenance_V2[ID_Antenne],_29_03_2026_Registre_Maintenance_V2[Equipementier],"Pas de correspondance")</f>
        <v>ZTE</v>
      </c>
    </row>
    <row r="438" spans="1:8" x14ac:dyDescent="0.25">
      <c r="A438" s="1">
        <v>45206.23333333333</v>
      </c>
      <c r="B438" s="4">
        <f>Log_Reseau_Master[[#This Row],[Duree_Panne_Min]]/1440</f>
        <v>1.8055555555555554E-2</v>
      </c>
      <c r="C438" t="s">
        <v>303</v>
      </c>
      <c r="D438">
        <v>26</v>
      </c>
      <c r="E438" t="s">
        <v>1321</v>
      </c>
      <c r="F438" t="str">
        <f>_xlfn.XLOOKUP(Log_Reseau_Master[[#This Row],[Cell_ID]],_29_03_2026_Registre_Maintenance_V2[ID_Antenne],_29_03_2026_Registre_Maintenance_V2[Province_RDC],"Pas de correspondance")</f>
        <v>Mai-Ndombe</v>
      </c>
      <c r="G438" t="str">
        <f>_xlfn.XLOOKUP(Log_Reseau_Master[[#This Row],[Cell_ID]],_29_03_2026_Registre_Maintenance_V2[ID_Antenne],_29_03_2026_Registre_Maintenance_V2[Technologie],"Pas de correspondance")</f>
        <v>4G</v>
      </c>
      <c r="H438" t="str">
        <f>_xlfn.XLOOKUP(Log_Reseau_Master[[#This Row],[Cell_ID]],_29_03_2026_Registre_Maintenance_V2[ID_Antenne],_29_03_2026_Registre_Maintenance_V2[Equipementier],"Pas de correspondance")</f>
        <v>Huawei</v>
      </c>
    </row>
    <row r="439" spans="1:8" x14ac:dyDescent="0.25">
      <c r="A439" s="1">
        <v>45205.353472222225</v>
      </c>
      <c r="B439" s="4">
        <f>Log_Reseau_Master[[#This Row],[Duree_Panne_Min]]/1440</f>
        <v>3.6111111111111108E-2</v>
      </c>
      <c r="C439" t="s">
        <v>352</v>
      </c>
      <c r="D439">
        <v>52</v>
      </c>
      <c r="E439" t="s">
        <v>1312</v>
      </c>
      <c r="F439" t="str">
        <f>_xlfn.XLOOKUP(Log_Reseau_Master[[#This Row],[Cell_ID]],_29_03_2026_Registre_Maintenance_V2[ID_Antenne],_29_03_2026_Registre_Maintenance_V2[Province_RDC],"Pas de correspondance")</f>
        <v>Tanganyika</v>
      </c>
      <c r="G439" t="str">
        <f>_xlfn.XLOOKUP(Log_Reseau_Master[[#This Row],[Cell_ID]],_29_03_2026_Registre_Maintenance_V2[ID_Antenne],_29_03_2026_Registre_Maintenance_V2[Technologie],"Pas de correspondance")</f>
        <v>3G</v>
      </c>
      <c r="H439" t="str">
        <f>_xlfn.XLOOKUP(Log_Reseau_Master[[#This Row],[Cell_ID]],_29_03_2026_Registre_Maintenance_V2[ID_Antenne],_29_03_2026_Registre_Maintenance_V2[Equipementier],"Pas de correspondance")</f>
        <v>Nokia</v>
      </c>
    </row>
    <row r="440" spans="1:8" hidden="1" x14ac:dyDescent="0.25">
      <c r="A440" s="1">
        <v>45215.743750000001</v>
      </c>
      <c r="B440">
        <f>Log_Reseau_Master[[#This Row],[Duree_Panne_Min]]/1440</f>
        <v>7.1527777777777773E-2</v>
      </c>
      <c r="C440" t="s">
        <v>1481</v>
      </c>
      <c r="D440">
        <v>103</v>
      </c>
      <c r="E440" t="s">
        <v>1314</v>
      </c>
      <c r="F440" t="str">
        <f>_xlfn.XLOOKUP(Log_Reseau_Master[[#This Row],[Cell_ID]],_29_03_2026_Registre_Maintenance_V2[ID_Antenne],_29_03_2026_Registre_Maintenance_V2[Province_RDC],"Pas de correspondance")</f>
        <v>Pas de correspondance</v>
      </c>
      <c r="G440" t="str">
        <f>_xlfn.XLOOKUP(Log_Reseau_Master[[#This Row],[Cell_ID]],_29_03_2026_Registre_Maintenance_V2[ID_Antenne],_29_03_2026_Registre_Maintenance_V2[Technologie],"Pas de correspondance")</f>
        <v>Pas de correspondance</v>
      </c>
      <c r="H440" t="str">
        <f>_xlfn.XLOOKUP(Log_Reseau_Master[[#This Row],[Cell_ID]],_29_03_2026_Registre_Maintenance_V2[ID_Antenne],_29_03_2026_Registre_Maintenance_V2[Equipementier],"Pas de correspondance")</f>
        <v>Pas de correspondance</v>
      </c>
    </row>
    <row r="441" spans="1:8" x14ac:dyDescent="0.25">
      <c r="A441" s="1">
        <v>45211.425000000003</v>
      </c>
      <c r="B441" s="4">
        <f>Log_Reseau_Master[[#This Row],[Duree_Panne_Min]]/1440</f>
        <v>3.9583333333333331E-2</v>
      </c>
      <c r="C441" t="s">
        <v>317</v>
      </c>
      <c r="D441">
        <v>57</v>
      </c>
      <c r="E441" t="s">
        <v>1312</v>
      </c>
      <c r="F441" t="str">
        <f>_xlfn.XLOOKUP(Log_Reseau_Master[[#This Row],[Cell_ID]],_29_03_2026_Registre_Maintenance_V2[ID_Antenne],_29_03_2026_Registre_Maintenance_V2[Province_RDC],"Pas de correspondance")</f>
        <v>Tshopo</v>
      </c>
      <c r="G441" t="str">
        <f>_xlfn.XLOOKUP(Log_Reseau_Master[[#This Row],[Cell_ID]],_29_03_2026_Registre_Maintenance_V2[ID_Antenne],_29_03_2026_Registre_Maintenance_V2[Technologie],"Pas de correspondance")</f>
        <v>5G</v>
      </c>
      <c r="H441" t="str">
        <f>_xlfn.XLOOKUP(Log_Reseau_Master[[#This Row],[Cell_ID]],_29_03_2026_Registre_Maintenance_V2[ID_Antenne],_29_03_2026_Registre_Maintenance_V2[Equipementier],"Pas de correspondance")</f>
        <v>ZTE</v>
      </c>
    </row>
    <row r="442" spans="1:8" x14ac:dyDescent="0.25">
      <c r="A442" s="1">
        <v>45227.577777777777</v>
      </c>
      <c r="B442" s="4">
        <f>Log_Reseau_Master[[#This Row],[Duree_Panne_Min]]/1440</f>
        <v>3.4722222222222224E-2</v>
      </c>
      <c r="C442" t="s">
        <v>317</v>
      </c>
      <c r="D442">
        <v>50</v>
      </c>
      <c r="E442" t="s">
        <v>1321</v>
      </c>
      <c r="F442" t="str">
        <f>_xlfn.XLOOKUP(Log_Reseau_Master[[#This Row],[Cell_ID]],_29_03_2026_Registre_Maintenance_V2[ID_Antenne],_29_03_2026_Registre_Maintenance_V2[Province_RDC],"Pas de correspondance")</f>
        <v>Tshopo</v>
      </c>
      <c r="G442" t="str">
        <f>_xlfn.XLOOKUP(Log_Reseau_Master[[#This Row],[Cell_ID]],_29_03_2026_Registre_Maintenance_V2[ID_Antenne],_29_03_2026_Registre_Maintenance_V2[Technologie],"Pas de correspondance")</f>
        <v>5G</v>
      </c>
      <c r="H442" t="str">
        <f>_xlfn.XLOOKUP(Log_Reseau_Master[[#This Row],[Cell_ID]],_29_03_2026_Registre_Maintenance_V2[ID_Antenne],_29_03_2026_Registre_Maintenance_V2[Equipementier],"Pas de correspondance")</f>
        <v>ZTE</v>
      </c>
    </row>
    <row r="443" spans="1:8" x14ac:dyDescent="0.25">
      <c r="A443" s="1">
        <v>45221.265972222223</v>
      </c>
      <c r="B443" s="4">
        <f>Log_Reseau_Master[[#This Row],[Duree_Panne_Min]]/1440</f>
        <v>6.1111111111111109E-2</v>
      </c>
      <c r="C443" t="s">
        <v>346</v>
      </c>
      <c r="D443">
        <v>88</v>
      </c>
      <c r="E443" t="s">
        <v>1312</v>
      </c>
      <c r="F443" t="str">
        <f>_xlfn.XLOOKUP(Log_Reseau_Master[[#This Row],[Cell_ID]],_29_03_2026_Registre_Maintenance_V2[ID_Antenne],_29_03_2026_Registre_Maintenance_V2[Province_RDC],"Pas de correspondance")</f>
        <v>Kinshasa</v>
      </c>
      <c r="G443" t="str">
        <f>_xlfn.XLOOKUP(Log_Reseau_Master[[#This Row],[Cell_ID]],_29_03_2026_Registre_Maintenance_V2[ID_Antenne],_29_03_2026_Registre_Maintenance_V2[Technologie],"Pas de correspondance")</f>
        <v>3G</v>
      </c>
      <c r="H443" t="str">
        <f>_xlfn.XLOOKUP(Log_Reseau_Master[[#This Row],[Cell_ID]],_29_03_2026_Registre_Maintenance_V2[ID_Antenne],_29_03_2026_Registre_Maintenance_V2[Equipementier],"Pas de correspondance")</f>
        <v>Nokia</v>
      </c>
    </row>
    <row r="444" spans="1:8" hidden="1" x14ac:dyDescent="0.25">
      <c r="A444" s="1">
        <v>45230.067361111112</v>
      </c>
      <c r="B444">
        <f>Log_Reseau_Master[[#This Row],[Duree_Panne_Min]]/1440</f>
        <v>5.2083333333333336E-2</v>
      </c>
      <c r="C444" t="s">
        <v>1482</v>
      </c>
      <c r="D444">
        <v>75</v>
      </c>
      <c r="E444" t="s">
        <v>1314</v>
      </c>
      <c r="F444" t="str">
        <f>_xlfn.XLOOKUP(Log_Reseau_Master[[#This Row],[Cell_ID]],_29_03_2026_Registre_Maintenance_V2[ID_Antenne],_29_03_2026_Registre_Maintenance_V2[Province_RDC],"Pas de correspondance")</f>
        <v>Pas de correspondance</v>
      </c>
      <c r="G444" t="str">
        <f>_xlfn.XLOOKUP(Log_Reseau_Master[[#This Row],[Cell_ID]],_29_03_2026_Registre_Maintenance_V2[ID_Antenne],_29_03_2026_Registre_Maintenance_V2[Technologie],"Pas de correspondance")</f>
        <v>Pas de correspondance</v>
      </c>
      <c r="H444" t="str">
        <f>_xlfn.XLOOKUP(Log_Reseau_Master[[#This Row],[Cell_ID]],_29_03_2026_Registre_Maintenance_V2[ID_Antenne],_29_03_2026_Registre_Maintenance_V2[Equipementier],"Pas de correspondance")</f>
        <v>Pas de correspondance</v>
      </c>
    </row>
    <row r="445" spans="1:8" hidden="1" x14ac:dyDescent="0.25">
      <c r="A445" s="1">
        <v>45218.665972222225</v>
      </c>
      <c r="B445">
        <f>Log_Reseau_Master[[#This Row],[Duree_Panne_Min]]/1440</f>
        <v>6.25E-2</v>
      </c>
      <c r="C445" t="s">
        <v>1483</v>
      </c>
      <c r="D445">
        <v>90</v>
      </c>
      <c r="E445" t="s">
        <v>1321</v>
      </c>
      <c r="F445" t="str">
        <f>_xlfn.XLOOKUP(Log_Reseau_Master[[#This Row],[Cell_ID]],_29_03_2026_Registre_Maintenance_V2[ID_Antenne],_29_03_2026_Registre_Maintenance_V2[Province_RDC],"Pas de correspondance")</f>
        <v>Pas de correspondance</v>
      </c>
      <c r="G445" t="str">
        <f>_xlfn.XLOOKUP(Log_Reseau_Master[[#This Row],[Cell_ID]],_29_03_2026_Registre_Maintenance_V2[ID_Antenne],_29_03_2026_Registre_Maintenance_V2[Technologie],"Pas de correspondance")</f>
        <v>Pas de correspondance</v>
      </c>
      <c r="H445" t="str">
        <f>_xlfn.XLOOKUP(Log_Reseau_Master[[#This Row],[Cell_ID]],_29_03_2026_Registre_Maintenance_V2[ID_Antenne],_29_03_2026_Registre_Maintenance_V2[Equipementier],"Pas de correspondance")</f>
        <v>Pas de correspondance</v>
      </c>
    </row>
    <row r="446" spans="1:8" x14ac:dyDescent="0.25">
      <c r="A446" s="1">
        <v>45205.154166666667</v>
      </c>
      <c r="B446" s="4">
        <f>Log_Reseau_Master[[#This Row],[Duree_Panne_Min]]/1440</f>
        <v>8.3333333333333332E-3</v>
      </c>
      <c r="C446" t="s">
        <v>544</v>
      </c>
      <c r="D446">
        <v>12</v>
      </c>
      <c r="E446" t="s">
        <v>1314</v>
      </c>
      <c r="F446" t="str">
        <f>_xlfn.XLOOKUP(Log_Reseau_Master[[#This Row],[Cell_ID]],_29_03_2026_Registre_Maintenance_V2[ID_Antenne],_29_03_2026_Registre_Maintenance_V2[Province_RDC],"Pas de correspondance")</f>
        <v>Sud-Kivu</v>
      </c>
      <c r="G446" t="str">
        <f>_xlfn.XLOOKUP(Log_Reseau_Master[[#This Row],[Cell_ID]],_29_03_2026_Registre_Maintenance_V2[ID_Antenne],_29_03_2026_Registre_Maintenance_V2[Technologie],"Pas de correspondance")</f>
        <v>3G</v>
      </c>
      <c r="H446" t="str">
        <f>_xlfn.XLOOKUP(Log_Reseau_Master[[#This Row],[Cell_ID]],_29_03_2026_Registre_Maintenance_V2[ID_Antenne],_29_03_2026_Registre_Maintenance_V2[Equipementier],"Pas de correspondance")</f>
        <v>Nokia</v>
      </c>
    </row>
    <row r="447" spans="1:8" x14ac:dyDescent="0.25">
      <c r="A447" s="1">
        <v>45221.84652777778</v>
      </c>
      <c r="B447" s="4">
        <f>Log_Reseau_Master[[#This Row],[Duree_Panne_Min]]/1440</f>
        <v>6.6666666666666666E-2</v>
      </c>
      <c r="C447" t="s">
        <v>544</v>
      </c>
      <c r="D447">
        <v>96</v>
      </c>
      <c r="E447" t="s">
        <v>1321</v>
      </c>
      <c r="F447" t="str">
        <f>_xlfn.XLOOKUP(Log_Reseau_Master[[#This Row],[Cell_ID]],_29_03_2026_Registre_Maintenance_V2[ID_Antenne],_29_03_2026_Registre_Maintenance_V2[Province_RDC],"Pas de correspondance")</f>
        <v>Sud-Kivu</v>
      </c>
      <c r="G447" t="str">
        <f>_xlfn.XLOOKUP(Log_Reseau_Master[[#This Row],[Cell_ID]],_29_03_2026_Registre_Maintenance_V2[ID_Antenne],_29_03_2026_Registre_Maintenance_V2[Technologie],"Pas de correspondance")</f>
        <v>3G</v>
      </c>
      <c r="H447" t="str">
        <f>_xlfn.XLOOKUP(Log_Reseau_Master[[#This Row],[Cell_ID]],_29_03_2026_Registre_Maintenance_V2[ID_Antenne],_29_03_2026_Registre_Maintenance_V2[Equipementier],"Pas de correspondance")</f>
        <v>Nokia</v>
      </c>
    </row>
    <row r="448" spans="1:8" x14ac:dyDescent="0.25">
      <c r="A448" s="1">
        <v>45211.106944444444</v>
      </c>
      <c r="B448" s="4">
        <f>Log_Reseau_Master[[#This Row],[Duree_Panne_Min]]/1440</f>
        <v>6.0416666666666667E-2</v>
      </c>
      <c r="C448" t="s">
        <v>544</v>
      </c>
      <c r="D448">
        <v>87</v>
      </c>
      <c r="E448" t="s">
        <v>1321</v>
      </c>
      <c r="F448" t="str">
        <f>_xlfn.XLOOKUP(Log_Reseau_Master[[#This Row],[Cell_ID]],_29_03_2026_Registre_Maintenance_V2[ID_Antenne],_29_03_2026_Registre_Maintenance_V2[Province_RDC],"Pas de correspondance")</f>
        <v>Sud-Kivu</v>
      </c>
      <c r="G448" t="str">
        <f>_xlfn.XLOOKUP(Log_Reseau_Master[[#This Row],[Cell_ID]],_29_03_2026_Registre_Maintenance_V2[ID_Antenne],_29_03_2026_Registre_Maintenance_V2[Technologie],"Pas de correspondance")</f>
        <v>3G</v>
      </c>
      <c r="H448" t="str">
        <f>_xlfn.XLOOKUP(Log_Reseau_Master[[#This Row],[Cell_ID]],_29_03_2026_Registre_Maintenance_V2[ID_Antenne],_29_03_2026_Registre_Maintenance_V2[Equipementier],"Pas de correspondance")</f>
        <v>Nokia</v>
      </c>
    </row>
    <row r="449" spans="1:8" x14ac:dyDescent="0.25">
      <c r="A449" s="1">
        <v>45221.049305555556</v>
      </c>
      <c r="B449" s="4">
        <f>Log_Reseau_Master[[#This Row],[Duree_Panne_Min]]/1440</f>
        <v>3.6805555555555557E-2</v>
      </c>
      <c r="C449" t="s">
        <v>394</v>
      </c>
      <c r="D449">
        <v>53</v>
      </c>
      <c r="E449" t="s">
        <v>1312</v>
      </c>
      <c r="F449" t="str">
        <f>_xlfn.XLOOKUP(Log_Reseau_Master[[#This Row],[Cell_ID]],_29_03_2026_Registre_Maintenance_V2[ID_Antenne],_29_03_2026_Registre_Maintenance_V2[Province_RDC],"Pas de correspondance")</f>
        <v>Lualaba</v>
      </c>
      <c r="G449" t="str">
        <f>_xlfn.XLOOKUP(Log_Reseau_Master[[#This Row],[Cell_ID]],_29_03_2026_Registre_Maintenance_V2[ID_Antenne],_29_03_2026_Registre_Maintenance_V2[Technologie],"Pas de correspondance")</f>
        <v>4G</v>
      </c>
      <c r="H449" t="str">
        <f>_xlfn.XLOOKUP(Log_Reseau_Master[[#This Row],[Cell_ID]],_29_03_2026_Registre_Maintenance_V2[ID_Antenne],_29_03_2026_Registre_Maintenance_V2[Equipementier],"Pas de correspondance")</f>
        <v>ZTE</v>
      </c>
    </row>
    <row r="450" spans="1:8" x14ac:dyDescent="0.25">
      <c r="A450" s="1">
        <v>45211.316666666666</v>
      </c>
      <c r="B450" s="4">
        <f>Log_Reseau_Master[[#This Row],[Duree_Panne_Min]]/1440</f>
        <v>6.458333333333334E-2</v>
      </c>
      <c r="C450" t="s">
        <v>394</v>
      </c>
      <c r="D450">
        <v>93</v>
      </c>
      <c r="E450" t="s">
        <v>1321</v>
      </c>
      <c r="F450" t="str">
        <f>_xlfn.XLOOKUP(Log_Reseau_Master[[#This Row],[Cell_ID]],_29_03_2026_Registre_Maintenance_V2[ID_Antenne],_29_03_2026_Registre_Maintenance_V2[Province_RDC],"Pas de correspondance")</f>
        <v>Lualaba</v>
      </c>
      <c r="G450" t="str">
        <f>_xlfn.XLOOKUP(Log_Reseau_Master[[#This Row],[Cell_ID]],_29_03_2026_Registre_Maintenance_V2[ID_Antenne],_29_03_2026_Registre_Maintenance_V2[Technologie],"Pas de correspondance")</f>
        <v>4G</v>
      </c>
      <c r="H450" t="str">
        <f>_xlfn.XLOOKUP(Log_Reseau_Master[[#This Row],[Cell_ID]],_29_03_2026_Registre_Maintenance_V2[ID_Antenne],_29_03_2026_Registre_Maintenance_V2[Equipementier],"Pas de correspondance")</f>
        <v>ZTE</v>
      </c>
    </row>
    <row r="451" spans="1:8" hidden="1" x14ac:dyDescent="0.25">
      <c r="A451" s="1">
        <v>45213.597916666666</v>
      </c>
      <c r="B451">
        <f>Log_Reseau_Master[[#This Row],[Duree_Panne_Min]]/1440</f>
        <v>7.4999999999999997E-2</v>
      </c>
      <c r="C451" t="s">
        <v>1484</v>
      </c>
      <c r="D451">
        <v>108</v>
      </c>
      <c r="E451" t="s">
        <v>1312</v>
      </c>
      <c r="F451" t="str">
        <f>_xlfn.XLOOKUP(Log_Reseau_Master[[#This Row],[Cell_ID]],_29_03_2026_Registre_Maintenance_V2[ID_Antenne],_29_03_2026_Registre_Maintenance_V2[Province_RDC],"Pas de correspondance")</f>
        <v>Pas de correspondance</v>
      </c>
      <c r="G451" t="str">
        <f>_xlfn.XLOOKUP(Log_Reseau_Master[[#This Row],[Cell_ID]],_29_03_2026_Registre_Maintenance_V2[ID_Antenne],_29_03_2026_Registre_Maintenance_V2[Technologie],"Pas de correspondance")</f>
        <v>Pas de correspondance</v>
      </c>
      <c r="H451" t="str">
        <f>_xlfn.XLOOKUP(Log_Reseau_Master[[#This Row],[Cell_ID]],_29_03_2026_Registre_Maintenance_V2[ID_Antenne],_29_03_2026_Registre_Maintenance_V2[Equipementier],"Pas de correspondance")</f>
        <v>Pas de correspondance</v>
      </c>
    </row>
    <row r="452" spans="1:8" hidden="1" x14ac:dyDescent="0.25">
      <c r="A452" s="1">
        <v>45221.50277777778</v>
      </c>
      <c r="B452">
        <f>Log_Reseau_Master[[#This Row],[Duree_Panne_Min]]/1440</f>
        <v>4.791666666666667E-2</v>
      </c>
      <c r="C452" t="s">
        <v>1485</v>
      </c>
      <c r="D452">
        <v>69</v>
      </c>
      <c r="E452" t="s">
        <v>1314</v>
      </c>
      <c r="F452" t="str">
        <f>_xlfn.XLOOKUP(Log_Reseau_Master[[#This Row],[Cell_ID]],_29_03_2026_Registre_Maintenance_V2[ID_Antenne],_29_03_2026_Registre_Maintenance_V2[Province_RDC],"Pas de correspondance")</f>
        <v>Pas de correspondance</v>
      </c>
      <c r="G452" t="str">
        <f>_xlfn.XLOOKUP(Log_Reseau_Master[[#This Row],[Cell_ID]],_29_03_2026_Registre_Maintenance_V2[ID_Antenne],_29_03_2026_Registre_Maintenance_V2[Technologie],"Pas de correspondance")</f>
        <v>Pas de correspondance</v>
      </c>
      <c r="H452" t="str">
        <f>_xlfn.XLOOKUP(Log_Reseau_Master[[#This Row],[Cell_ID]],_29_03_2026_Registre_Maintenance_V2[ID_Antenne],_29_03_2026_Registre_Maintenance_V2[Equipementier],"Pas de correspondance")</f>
        <v>Pas de correspondance</v>
      </c>
    </row>
    <row r="453" spans="1:8" hidden="1" x14ac:dyDescent="0.25">
      <c r="A453" s="1">
        <v>45217.68472222222</v>
      </c>
      <c r="B453">
        <f>Log_Reseau_Master[[#This Row],[Duree_Panne_Min]]/1440</f>
        <v>2.9861111111111113E-2</v>
      </c>
      <c r="C453" t="s">
        <v>1486</v>
      </c>
      <c r="D453">
        <v>43</v>
      </c>
      <c r="E453" t="s">
        <v>1314</v>
      </c>
      <c r="F453" t="str">
        <f>_xlfn.XLOOKUP(Log_Reseau_Master[[#This Row],[Cell_ID]],_29_03_2026_Registre_Maintenance_V2[ID_Antenne],_29_03_2026_Registre_Maintenance_V2[Province_RDC],"Pas de correspondance")</f>
        <v>Pas de correspondance</v>
      </c>
      <c r="G453" t="str">
        <f>_xlfn.XLOOKUP(Log_Reseau_Master[[#This Row],[Cell_ID]],_29_03_2026_Registre_Maintenance_V2[ID_Antenne],_29_03_2026_Registre_Maintenance_V2[Technologie],"Pas de correspondance")</f>
        <v>Pas de correspondance</v>
      </c>
      <c r="H453" t="str">
        <f>_xlfn.XLOOKUP(Log_Reseau_Master[[#This Row],[Cell_ID]],_29_03_2026_Registre_Maintenance_V2[ID_Antenne],_29_03_2026_Registre_Maintenance_V2[Equipementier],"Pas de correspondance")</f>
        <v>Pas de correspondance</v>
      </c>
    </row>
    <row r="454" spans="1:8" hidden="1" x14ac:dyDescent="0.25">
      <c r="A454" s="1">
        <v>45209.684027777781</v>
      </c>
      <c r="B454">
        <f>Log_Reseau_Master[[#This Row],[Duree_Panne_Min]]/1440</f>
        <v>3.0555555555555555E-2</v>
      </c>
      <c r="C454" t="s">
        <v>1486</v>
      </c>
      <c r="D454">
        <v>44</v>
      </c>
      <c r="E454" t="s">
        <v>1321</v>
      </c>
      <c r="F454" t="str">
        <f>_xlfn.XLOOKUP(Log_Reseau_Master[[#This Row],[Cell_ID]],_29_03_2026_Registre_Maintenance_V2[ID_Antenne],_29_03_2026_Registre_Maintenance_V2[Province_RDC],"Pas de correspondance")</f>
        <v>Pas de correspondance</v>
      </c>
      <c r="G454" t="str">
        <f>_xlfn.XLOOKUP(Log_Reseau_Master[[#This Row],[Cell_ID]],_29_03_2026_Registre_Maintenance_V2[ID_Antenne],_29_03_2026_Registre_Maintenance_V2[Technologie],"Pas de correspondance")</f>
        <v>Pas de correspondance</v>
      </c>
      <c r="H454" t="str">
        <f>_xlfn.XLOOKUP(Log_Reseau_Master[[#This Row],[Cell_ID]],_29_03_2026_Registre_Maintenance_V2[ID_Antenne],_29_03_2026_Registre_Maintenance_V2[Equipementier],"Pas de correspondance")</f>
        <v>Pas de correspondance</v>
      </c>
    </row>
    <row r="455" spans="1:8" hidden="1" x14ac:dyDescent="0.25">
      <c r="A455" s="1">
        <v>45201.243055555555</v>
      </c>
      <c r="B455">
        <f>Log_Reseau_Master[[#This Row],[Duree_Panne_Min]]/1440</f>
        <v>3.9583333333333331E-2</v>
      </c>
      <c r="C455" t="s">
        <v>1486</v>
      </c>
      <c r="D455">
        <v>57</v>
      </c>
      <c r="E455" t="s">
        <v>1321</v>
      </c>
      <c r="F455" t="str">
        <f>_xlfn.XLOOKUP(Log_Reseau_Master[[#This Row],[Cell_ID]],_29_03_2026_Registre_Maintenance_V2[ID_Antenne],_29_03_2026_Registre_Maintenance_V2[Province_RDC],"Pas de correspondance")</f>
        <v>Pas de correspondance</v>
      </c>
      <c r="G455" t="str">
        <f>_xlfn.XLOOKUP(Log_Reseau_Master[[#This Row],[Cell_ID]],_29_03_2026_Registre_Maintenance_V2[ID_Antenne],_29_03_2026_Registre_Maintenance_V2[Technologie],"Pas de correspondance")</f>
        <v>Pas de correspondance</v>
      </c>
      <c r="H455" t="str">
        <f>_xlfn.XLOOKUP(Log_Reseau_Master[[#This Row],[Cell_ID]],_29_03_2026_Registre_Maintenance_V2[ID_Antenne],_29_03_2026_Registre_Maintenance_V2[Equipementier],"Pas de correspondance")</f>
        <v>Pas de correspondance</v>
      </c>
    </row>
    <row r="456" spans="1:8" x14ac:dyDescent="0.25">
      <c r="A456" s="1">
        <v>45204.76666666667</v>
      </c>
      <c r="B456" s="4">
        <f>Log_Reseau_Master[[#This Row],[Duree_Panne_Min]]/1440</f>
        <v>6.2500000000000003E-3</v>
      </c>
      <c r="C456" t="s">
        <v>413</v>
      </c>
      <c r="D456">
        <v>9</v>
      </c>
      <c r="E456" t="s">
        <v>1321</v>
      </c>
      <c r="F456" t="str">
        <f>_xlfn.XLOOKUP(Log_Reseau_Master[[#This Row],[Cell_ID]],_29_03_2026_Registre_Maintenance_V2[ID_Antenne],_29_03_2026_Registre_Maintenance_V2[Province_RDC],"Pas de correspondance")</f>
        <v>Kasai-Central</v>
      </c>
      <c r="G456" t="str">
        <f>_xlfn.XLOOKUP(Log_Reseau_Master[[#This Row],[Cell_ID]],_29_03_2026_Registre_Maintenance_V2[ID_Antenne],_29_03_2026_Registre_Maintenance_V2[Technologie],"Pas de correspondance")</f>
        <v>4G</v>
      </c>
      <c r="H456" t="str">
        <f>_xlfn.XLOOKUP(Log_Reseau_Master[[#This Row],[Cell_ID]],_29_03_2026_Registre_Maintenance_V2[ID_Antenne],_29_03_2026_Registre_Maintenance_V2[Equipementier],"Pas de correspondance")</f>
        <v>Ericsson</v>
      </c>
    </row>
    <row r="457" spans="1:8" x14ac:dyDescent="0.25">
      <c r="A457" s="1">
        <v>45209.32708333333</v>
      </c>
      <c r="B457" s="4">
        <f>Log_Reseau_Master[[#This Row],[Duree_Panne_Min]]/1440</f>
        <v>7.4305555555555555E-2</v>
      </c>
      <c r="C457" t="s">
        <v>183</v>
      </c>
      <c r="D457">
        <v>107</v>
      </c>
      <c r="E457" t="s">
        <v>1312</v>
      </c>
      <c r="F457" t="str">
        <f>_xlfn.XLOOKUP(Log_Reseau_Master[[#This Row],[Cell_ID]],_29_03_2026_Registre_Maintenance_V2[ID_Antenne],_29_03_2026_Registre_Maintenance_V2[Province_RDC],"Pas de correspondance")</f>
        <v>Equateur</v>
      </c>
      <c r="G457" t="str">
        <f>_xlfn.XLOOKUP(Log_Reseau_Master[[#This Row],[Cell_ID]],_29_03_2026_Registre_Maintenance_V2[ID_Antenne],_29_03_2026_Registre_Maintenance_V2[Technologie],"Pas de correspondance")</f>
        <v>3G</v>
      </c>
      <c r="H457" t="str">
        <f>_xlfn.XLOOKUP(Log_Reseau_Master[[#This Row],[Cell_ID]],_29_03_2026_Registre_Maintenance_V2[ID_Antenne],_29_03_2026_Registre_Maintenance_V2[Equipementier],"Pas de correspondance")</f>
        <v>ZTE</v>
      </c>
    </row>
    <row r="458" spans="1:8" hidden="1" x14ac:dyDescent="0.25">
      <c r="A458" s="1">
        <v>45206.366666666669</v>
      </c>
      <c r="B458">
        <f>Log_Reseau_Master[[#This Row],[Duree_Panne_Min]]/1440</f>
        <v>4.791666666666667E-2</v>
      </c>
      <c r="C458" t="s">
        <v>1487</v>
      </c>
      <c r="D458">
        <v>69</v>
      </c>
      <c r="E458" t="s">
        <v>1312</v>
      </c>
      <c r="F458" t="str">
        <f>_xlfn.XLOOKUP(Log_Reseau_Master[[#This Row],[Cell_ID]],_29_03_2026_Registre_Maintenance_V2[ID_Antenne],_29_03_2026_Registre_Maintenance_V2[Province_RDC],"Pas de correspondance")</f>
        <v>Pas de correspondance</v>
      </c>
      <c r="G458" t="str">
        <f>_xlfn.XLOOKUP(Log_Reseau_Master[[#This Row],[Cell_ID]],_29_03_2026_Registre_Maintenance_V2[ID_Antenne],_29_03_2026_Registre_Maintenance_V2[Technologie],"Pas de correspondance")</f>
        <v>Pas de correspondance</v>
      </c>
      <c r="H458" t="str">
        <f>_xlfn.XLOOKUP(Log_Reseau_Master[[#This Row],[Cell_ID]],_29_03_2026_Registre_Maintenance_V2[ID_Antenne],_29_03_2026_Registre_Maintenance_V2[Equipementier],"Pas de correspondance")</f>
        <v>Pas de correspondance</v>
      </c>
    </row>
    <row r="459" spans="1:8" hidden="1" x14ac:dyDescent="0.25">
      <c r="A459" s="1">
        <v>45202.659722222219</v>
      </c>
      <c r="B459">
        <f>Log_Reseau_Master[[#This Row],[Duree_Panne_Min]]/1440</f>
        <v>2.9166666666666667E-2</v>
      </c>
      <c r="C459" t="s">
        <v>1487</v>
      </c>
      <c r="D459">
        <v>42</v>
      </c>
      <c r="E459" t="s">
        <v>1314</v>
      </c>
      <c r="F459" t="str">
        <f>_xlfn.XLOOKUP(Log_Reseau_Master[[#This Row],[Cell_ID]],_29_03_2026_Registre_Maintenance_V2[ID_Antenne],_29_03_2026_Registre_Maintenance_V2[Province_RDC],"Pas de correspondance")</f>
        <v>Pas de correspondance</v>
      </c>
      <c r="G459" t="str">
        <f>_xlfn.XLOOKUP(Log_Reseau_Master[[#This Row],[Cell_ID]],_29_03_2026_Registre_Maintenance_V2[ID_Antenne],_29_03_2026_Registre_Maintenance_V2[Technologie],"Pas de correspondance")</f>
        <v>Pas de correspondance</v>
      </c>
      <c r="H459" t="str">
        <f>_xlfn.XLOOKUP(Log_Reseau_Master[[#This Row],[Cell_ID]],_29_03_2026_Registre_Maintenance_V2[ID_Antenne],_29_03_2026_Registre_Maintenance_V2[Equipementier],"Pas de correspondance")</f>
        <v>Pas de correspondance</v>
      </c>
    </row>
    <row r="460" spans="1:8" hidden="1" x14ac:dyDescent="0.25">
      <c r="A460" s="1">
        <v>45203.447916666664</v>
      </c>
      <c r="B460">
        <f>Log_Reseau_Master[[#This Row],[Duree_Panne_Min]]/1440</f>
        <v>5.8333333333333334E-2</v>
      </c>
      <c r="C460" t="s">
        <v>1487</v>
      </c>
      <c r="D460">
        <v>84</v>
      </c>
      <c r="E460" t="s">
        <v>1321</v>
      </c>
      <c r="F460" t="str">
        <f>_xlfn.XLOOKUP(Log_Reseau_Master[[#This Row],[Cell_ID]],_29_03_2026_Registre_Maintenance_V2[ID_Antenne],_29_03_2026_Registre_Maintenance_V2[Province_RDC],"Pas de correspondance")</f>
        <v>Pas de correspondance</v>
      </c>
      <c r="G460" t="str">
        <f>_xlfn.XLOOKUP(Log_Reseau_Master[[#This Row],[Cell_ID]],_29_03_2026_Registre_Maintenance_V2[ID_Antenne],_29_03_2026_Registre_Maintenance_V2[Technologie],"Pas de correspondance")</f>
        <v>Pas de correspondance</v>
      </c>
      <c r="H460" t="str">
        <f>_xlfn.XLOOKUP(Log_Reseau_Master[[#This Row],[Cell_ID]],_29_03_2026_Registre_Maintenance_V2[ID_Antenne],_29_03_2026_Registre_Maintenance_V2[Equipementier],"Pas de correspondance")</f>
        <v>Pas de correspondance</v>
      </c>
    </row>
    <row r="461" spans="1:8" hidden="1" x14ac:dyDescent="0.25">
      <c r="A461" s="1">
        <v>45207.40625</v>
      </c>
      <c r="B461">
        <f>Log_Reseau_Master[[#This Row],[Duree_Panne_Min]]/1440</f>
        <v>3.4027777777777775E-2</v>
      </c>
      <c r="C461" t="s">
        <v>1488</v>
      </c>
      <c r="D461">
        <v>49</v>
      </c>
      <c r="E461" t="s">
        <v>1312</v>
      </c>
      <c r="F461" t="str">
        <f>_xlfn.XLOOKUP(Log_Reseau_Master[[#This Row],[Cell_ID]],_29_03_2026_Registre_Maintenance_V2[ID_Antenne],_29_03_2026_Registre_Maintenance_V2[Province_RDC],"Pas de correspondance")</f>
        <v>Pas de correspondance</v>
      </c>
      <c r="G461" t="str">
        <f>_xlfn.XLOOKUP(Log_Reseau_Master[[#This Row],[Cell_ID]],_29_03_2026_Registre_Maintenance_V2[ID_Antenne],_29_03_2026_Registre_Maintenance_V2[Technologie],"Pas de correspondance")</f>
        <v>Pas de correspondance</v>
      </c>
      <c r="H461" t="str">
        <f>_xlfn.XLOOKUP(Log_Reseau_Master[[#This Row],[Cell_ID]],_29_03_2026_Registre_Maintenance_V2[ID_Antenne],_29_03_2026_Registre_Maintenance_V2[Equipementier],"Pas de correspondance")</f>
        <v>Pas de correspondance</v>
      </c>
    </row>
    <row r="462" spans="1:8" hidden="1" x14ac:dyDescent="0.25">
      <c r="A462" s="1">
        <v>45225.737500000003</v>
      </c>
      <c r="B462">
        <f>Log_Reseau_Master[[#This Row],[Duree_Panne_Min]]/1440</f>
        <v>4.1666666666666666E-3</v>
      </c>
      <c r="C462" t="s">
        <v>1488</v>
      </c>
      <c r="D462">
        <v>6</v>
      </c>
      <c r="E462" t="s">
        <v>1312</v>
      </c>
      <c r="F462" t="str">
        <f>_xlfn.XLOOKUP(Log_Reseau_Master[[#This Row],[Cell_ID]],_29_03_2026_Registre_Maintenance_V2[ID_Antenne],_29_03_2026_Registre_Maintenance_V2[Province_RDC],"Pas de correspondance")</f>
        <v>Pas de correspondance</v>
      </c>
      <c r="G462" t="str">
        <f>_xlfn.XLOOKUP(Log_Reseau_Master[[#This Row],[Cell_ID]],_29_03_2026_Registre_Maintenance_V2[ID_Antenne],_29_03_2026_Registre_Maintenance_V2[Technologie],"Pas de correspondance")</f>
        <v>Pas de correspondance</v>
      </c>
      <c r="H462" t="str">
        <f>_xlfn.XLOOKUP(Log_Reseau_Master[[#This Row],[Cell_ID]],_29_03_2026_Registre_Maintenance_V2[ID_Antenne],_29_03_2026_Registre_Maintenance_V2[Equipementier],"Pas de correspondance")</f>
        <v>Pas de correspondance</v>
      </c>
    </row>
    <row r="463" spans="1:8" x14ac:dyDescent="0.25">
      <c r="A463" s="1">
        <v>45216.14166666667</v>
      </c>
      <c r="B463" s="4">
        <f>Log_Reseau_Master[[#This Row],[Duree_Panne_Min]]/1440</f>
        <v>6.5277777777777782E-2</v>
      </c>
      <c r="C463" t="s">
        <v>471</v>
      </c>
      <c r="D463">
        <v>94</v>
      </c>
      <c r="E463" t="s">
        <v>1314</v>
      </c>
      <c r="F463" t="str">
        <f>_xlfn.XLOOKUP(Log_Reseau_Master[[#This Row],[Cell_ID]],_29_03_2026_Registre_Maintenance_V2[ID_Antenne],_29_03_2026_Registre_Maintenance_V2[Province_RDC],"Pas de correspondance")</f>
        <v>Nord-Kivu</v>
      </c>
      <c r="G463" t="str">
        <f>_xlfn.XLOOKUP(Log_Reseau_Master[[#This Row],[Cell_ID]],_29_03_2026_Registre_Maintenance_V2[ID_Antenne],_29_03_2026_Registre_Maintenance_V2[Technologie],"Pas de correspondance")</f>
        <v>3G</v>
      </c>
      <c r="H463" t="str">
        <f>_xlfn.XLOOKUP(Log_Reseau_Master[[#This Row],[Cell_ID]],_29_03_2026_Registre_Maintenance_V2[ID_Antenne],_29_03_2026_Registre_Maintenance_V2[Equipementier],"Pas de correspondance")</f>
        <v>Huawei</v>
      </c>
    </row>
    <row r="464" spans="1:8" hidden="1" x14ac:dyDescent="0.25">
      <c r="A464" s="1">
        <v>45218.990277777775</v>
      </c>
      <c r="B464">
        <f>Log_Reseau_Master[[#This Row],[Duree_Panne_Min]]/1440</f>
        <v>6.9444444444444448E-2</v>
      </c>
      <c r="C464" t="s">
        <v>1489</v>
      </c>
      <c r="D464">
        <v>100</v>
      </c>
      <c r="E464" t="s">
        <v>1314</v>
      </c>
      <c r="F464" t="str">
        <f>_xlfn.XLOOKUP(Log_Reseau_Master[[#This Row],[Cell_ID]],_29_03_2026_Registre_Maintenance_V2[ID_Antenne],_29_03_2026_Registre_Maintenance_V2[Province_RDC],"Pas de correspondance")</f>
        <v>Pas de correspondance</v>
      </c>
      <c r="G464" t="str">
        <f>_xlfn.XLOOKUP(Log_Reseau_Master[[#This Row],[Cell_ID]],_29_03_2026_Registre_Maintenance_V2[ID_Antenne],_29_03_2026_Registre_Maintenance_V2[Technologie],"Pas de correspondance")</f>
        <v>Pas de correspondance</v>
      </c>
      <c r="H464" t="str">
        <f>_xlfn.XLOOKUP(Log_Reseau_Master[[#This Row],[Cell_ID]],_29_03_2026_Registre_Maintenance_V2[ID_Antenne],_29_03_2026_Registre_Maintenance_V2[Equipementier],"Pas de correspondance")</f>
        <v>Pas de correspondance</v>
      </c>
    </row>
    <row r="465" spans="1:8" hidden="1" x14ac:dyDescent="0.25">
      <c r="A465" s="1">
        <v>45214.145833333336</v>
      </c>
      <c r="B465">
        <f>Log_Reseau_Master[[#This Row],[Duree_Panne_Min]]/1440</f>
        <v>2.013888888888889E-2</v>
      </c>
      <c r="C465" t="s">
        <v>1489</v>
      </c>
      <c r="D465">
        <v>29</v>
      </c>
      <c r="E465" t="s">
        <v>1321</v>
      </c>
      <c r="F465" t="str">
        <f>_xlfn.XLOOKUP(Log_Reseau_Master[[#This Row],[Cell_ID]],_29_03_2026_Registre_Maintenance_V2[ID_Antenne],_29_03_2026_Registre_Maintenance_V2[Province_RDC],"Pas de correspondance")</f>
        <v>Pas de correspondance</v>
      </c>
      <c r="G465" t="str">
        <f>_xlfn.XLOOKUP(Log_Reseau_Master[[#This Row],[Cell_ID]],_29_03_2026_Registre_Maintenance_V2[ID_Antenne],_29_03_2026_Registre_Maintenance_V2[Technologie],"Pas de correspondance")</f>
        <v>Pas de correspondance</v>
      </c>
      <c r="H465" t="str">
        <f>_xlfn.XLOOKUP(Log_Reseau_Master[[#This Row],[Cell_ID]],_29_03_2026_Registre_Maintenance_V2[ID_Antenne],_29_03_2026_Registre_Maintenance_V2[Equipementier],"Pas de correspondance")</f>
        <v>Pas de correspondance</v>
      </c>
    </row>
    <row r="466" spans="1:8" hidden="1" x14ac:dyDescent="0.25">
      <c r="A466" s="1">
        <v>45207.379861111112</v>
      </c>
      <c r="B466">
        <f>Log_Reseau_Master[[#This Row],[Duree_Panne_Min]]/1440</f>
        <v>8.1944444444444445E-2</v>
      </c>
      <c r="C466" t="s">
        <v>1489</v>
      </c>
      <c r="D466">
        <v>118</v>
      </c>
      <c r="E466" t="s">
        <v>1321</v>
      </c>
      <c r="F466" t="str">
        <f>_xlfn.XLOOKUP(Log_Reseau_Master[[#This Row],[Cell_ID]],_29_03_2026_Registre_Maintenance_V2[ID_Antenne],_29_03_2026_Registre_Maintenance_V2[Province_RDC],"Pas de correspondance")</f>
        <v>Pas de correspondance</v>
      </c>
      <c r="G466" t="str">
        <f>_xlfn.XLOOKUP(Log_Reseau_Master[[#This Row],[Cell_ID]],_29_03_2026_Registre_Maintenance_V2[ID_Antenne],_29_03_2026_Registre_Maintenance_V2[Technologie],"Pas de correspondance")</f>
        <v>Pas de correspondance</v>
      </c>
      <c r="H466" t="str">
        <f>_xlfn.XLOOKUP(Log_Reseau_Master[[#This Row],[Cell_ID]],_29_03_2026_Registre_Maintenance_V2[ID_Antenne],_29_03_2026_Registre_Maintenance_V2[Equipementier],"Pas de correspondance")</f>
        <v>Pas de correspondance</v>
      </c>
    </row>
    <row r="467" spans="1:8" x14ac:dyDescent="0.25">
      <c r="A467" s="1">
        <v>45203.997916666667</v>
      </c>
      <c r="B467" s="4">
        <f>Log_Reseau_Master[[#This Row],[Duree_Panne_Min]]/1440</f>
        <v>7.013888888888889E-2</v>
      </c>
      <c r="C467" t="s">
        <v>109</v>
      </c>
      <c r="D467">
        <v>101</v>
      </c>
      <c r="E467" t="s">
        <v>1321</v>
      </c>
      <c r="F467" t="str">
        <f>_xlfn.XLOOKUP(Log_Reseau_Master[[#This Row],[Cell_ID]],_29_03_2026_Registre_Maintenance_V2[ID_Antenne],_29_03_2026_Registre_Maintenance_V2[Province_RDC],"Pas de correspondance")</f>
        <v>Nord-Kivu</v>
      </c>
      <c r="G467" t="str">
        <f>_xlfn.XLOOKUP(Log_Reseau_Master[[#This Row],[Cell_ID]],_29_03_2026_Registre_Maintenance_V2[ID_Antenne],_29_03_2026_Registre_Maintenance_V2[Technologie],"Pas de correspondance")</f>
        <v>3G</v>
      </c>
      <c r="H467" t="str">
        <f>_xlfn.XLOOKUP(Log_Reseau_Master[[#This Row],[Cell_ID]],_29_03_2026_Registre_Maintenance_V2[ID_Antenne],_29_03_2026_Registre_Maintenance_V2[Equipementier],"Pas de correspondance")</f>
        <v>ZTE</v>
      </c>
    </row>
    <row r="468" spans="1:8" x14ac:dyDescent="0.25">
      <c r="A468" s="1">
        <v>45220.811805555553</v>
      </c>
      <c r="B468" s="4">
        <f>Log_Reseau_Master[[#This Row],[Duree_Panne_Min]]/1440</f>
        <v>6.9444444444444448E-2</v>
      </c>
      <c r="C468" t="s">
        <v>376</v>
      </c>
      <c r="D468">
        <v>100</v>
      </c>
      <c r="E468" t="s">
        <v>1321</v>
      </c>
      <c r="F468" t="str">
        <f>_xlfn.XLOOKUP(Log_Reseau_Master[[#This Row],[Cell_ID]],_29_03_2026_Registre_Maintenance_V2[ID_Antenne],_29_03_2026_Registre_Maintenance_V2[Province_RDC],"Pas de correspondance")</f>
        <v>Kwilu</v>
      </c>
      <c r="G468" t="str">
        <f>_xlfn.XLOOKUP(Log_Reseau_Master[[#This Row],[Cell_ID]],_29_03_2026_Registre_Maintenance_V2[ID_Antenne],_29_03_2026_Registre_Maintenance_V2[Technologie],"Pas de correspondance")</f>
        <v>3G</v>
      </c>
      <c r="H468" t="str">
        <f>_xlfn.XLOOKUP(Log_Reseau_Master[[#This Row],[Cell_ID]],_29_03_2026_Registre_Maintenance_V2[ID_Antenne],_29_03_2026_Registre_Maintenance_V2[Equipementier],"Pas de correspondance")</f>
        <v>Huawei</v>
      </c>
    </row>
    <row r="469" spans="1:8" hidden="1" x14ac:dyDescent="0.25">
      <c r="A469" s="1">
        <v>45222.367361111108</v>
      </c>
      <c r="B469">
        <f>Log_Reseau_Master[[#This Row],[Duree_Panne_Min]]/1440</f>
        <v>8.1250000000000003E-2</v>
      </c>
      <c r="C469" t="s">
        <v>1490</v>
      </c>
      <c r="D469">
        <v>117</v>
      </c>
      <c r="E469" t="s">
        <v>1312</v>
      </c>
      <c r="F469" t="str">
        <f>_xlfn.XLOOKUP(Log_Reseau_Master[[#This Row],[Cell_ID]],_29_03_2026_Registre_Maintenance_V2[ID_Antenne],_29_03_2026_Registre_Maintenance_V2[Province_RDC],"Pas de correspondance")</f>
        <v>Pas de correspondance</v>
      </c>
      <c r="G469" t="str">
        <f>_xlfn.XLOOKUP(Log_Reseau_Master[[#This Row],[Cell_ID]],_29_03_2026_Registre_Maintenance_V2[ID_Antenne],_29_03_2026_Registre_Maintenance_V2[Technologie],"Pas de correspondance")</f>
        <v>Pas de correspondance</v>
      </c>
      <c r="H469" t="str">
        <f>_xlfn.XLOOKUP(Log_Reseau_Master[[#This Row],[Cell_ID]],_29_03_2026_Registre_Maintenance_V2[ID_Antenne],_29_03_2026_Registre_Maintenance_V2[Equipementier],"Pas de correspondance")</f>
        <v>Pas de correspondance</v>
      </c>
    </row>
    <row r="470" spans="1:8" hidden="1" x14ac:dyDescent="0.25">
      <c r="A470" s="1">
        <v>45219.753472222219</v>
      </c>
      <c r="B470">
        <f>Log_Reseau_Master[[#This Row],[Duree_Panne_Min]]/1440</f>
        <v>5.347222222222222E-2</v>
      </c>
      <c r="C470" t="s">
        <v>1491</v>
      </c>
      <c r="D470">
        <v>77</v>
      </c>
      <c r="E470" t="s">
        <v>1314</v>
      </c>
      <c r="F470" t="str">
        <f>_xlfn.XLOOKUP(Log_Reseau_Master[[#This Row],[Cell_ID]],_29_03_2026_Registre_Maintenance_V2[ID_Antenne],_29_03_2026_Registre_Maintenance_V2[Province_RDC],"Pas de correspondance")</f>
        <v>Pas de correspondance</v>
      </c>
      <c r="G470" t="str">
        <f>_xlfn.XLOOKUP(Log_Reseau_Master[[#This Row],[Cell_ID]],_29_03_2026_Registre_Maintenance_V2[ID_Antenne],_29_03_2026_Registre_Maintenance_V2[Technologie],"Pas de correspondance")</f>
        <v>Pas de correspondance</v>
      </c>
      <c r="H470" t="str">
        <f>_xlfn.XLOOKUP(Log_Reseau_Master[[#This Row],[Cell_ID]],_29_03_2026_Registre_Maintenance_V2[ID_Antenne],_29_03_2026_Registre_Maintenance_V2[Equipementier],"Pas de correspondance")</f>
        <v>Pas de correspondance</v>
      </c>
    </row>
    <row r="471" spans="1:8" hidden="1" x14ac:dyDescent="0.25">
      <c r="A471" s="1">
        <v>45221.997916666667</v>
      </c>
      <c r="B471">
        <f>Log_Reseau_Master[[#This Row],[Duree_Panne_Min]]/1440</f>
        <v>4.0972222222222222E-2</v>
      </c>
      <c r="C471" t="s">
        <v>1491</v>
      </c>
      <c r="D471">
        <v>59</v>
      </c>
      <c r="E471" t="s">
        <v>1314</v>
      </c>
      <c r="F471" t="str">
        <f>_xlfn.XLOOKUP(Log_Reseau_Master[[#This Row],[Cell_ID]],_29_03_2026_Registre_Maintenance_V2[ID_Antenne],_29_03_2026_Registre_Maintenance_V2[Province_RDC],"Pas de correspondance")</f>
        <v>Pas de correspondance</v>
      </c>
      <c r="G471" t="str">
        <f>_xlfn.XLOOKUP(Log_Reseau_Master[[#This Row],[Cell_ID]],_29_03_2026_Registre_Maintenance_V2[ID_Antenne],_29_03_2026_Registre_Maintenance_V2[Technologie],"Pas de correspondance")</f>
        <v>Pas de correspondance</v>
      </c>
      <c r="H471" t="str">
        <f>_xlfn.XLOOKUP(Log_Reseau_Master[[#This Row],[Cell_ID]],_29_03_2026_Registre_Maintenance_V2[ID_Antenne],_29_03_2026_Registre_Maintenance_V2[Equipementier],"Pas de correspondance")</f>
        <v>Pas de correspondance</v>
      </c>
    </row>
    <row r="472" spans="1:8" hidden="1" x14ac:dyDescent="0.25">
      <c r="A472" s="1">
        <v>45222.107638888891</v>
      </c>
      <c r="B472">
        <f>Log_Reseau_Master[[#This Row],[Duree_Panne_Min]]/1440</f>
        <v>5.9027777777777776E-2</v>
      </c>
      <c r="C472" t="s">
        <v>1491</v>
      </c>
      <c r="D472">
        <v>85</v>
      </c>
      <c r="E472" t="s">
        <v>1314</v>
      </c>
      <c r="F472" t="str">
        <f>_xlfn.XLOOKUP(Log_Reseau_Master[[#This Row],[Cell_ID]],_29_03_2026_Registre_Maintenance_V2[ID_Antenne],_29_03_2026_Registre_Maintenance_V2[Province_RDC],"Pas de correspondance")</f>
        <v>Pas de correspondance</v>
      </c>
      <c r="G472" t="str">
        <f>_xlfn.XLOOKUP(Log_Reseau_Master[[#This Row],[Cell_ID]],_29_03_2026_Registre_Maintenance_V2[ID_Antenne],_29_03_2026_Registre_Maintenance_V2[Technologie],"Pas de correspondance")</f>
        <v>Pas de correspondance</v>
      </c>
      <c r="H472" t="str">
        <f>_xlfn.XLOOKUP(Log_Reseau_Master[[#This Row],[Cell_ID]],_29_03_2026_Registre_Maintenance_V2[ID_Antenne],_29_03_2026_Registre_Maintenance_V2[Equipementier],"Pas de correspondance")</f>
        <v>Pas de correspondance</v>
      </c>
    </row>
    <row r="473" spans="1:8" x14ac:dyDescent="0.25">
      <c r="A473" s="1">
        <v>45203.032638888886</v>
      </c>
      <c r="B473" s="4">
        <f>Log_Reseau_Master[[#This Row],[Duree_Panne_Min]]/1440</f>
        <v>5.0694444444444445E-2</v>
      </c>
      <c r="C473" t="s">
        <v>266</v>
      </c>
      <c r="D473">
        <v>73</v>
      </c>
      <c r="E473" t="s">
        <v>1314</v>
      </c>
      <c r="F473" t="str">
        <f>_xlfn.XLOOKUP(Log_Reseau_Master[[#This Row],[Cell_ID]],_29_03_2026_Registre_Maintenance_V2[ID_Antenne],_29_03_2026_Registre_Maintenance_V2[Province_RDC],"Pas de correspondance")</f>
        <v>Tanganyika</v>
      </c>
      <c r="G473" t="str">
        <f>_xlfn.XLOOKUP(Log_Reseau_Master[[#This Row],[Cell_ID]],_29_03_2026_Registre_Maintenance_V2[ID_Antenne],_29_03_2026_Registre_Maintenance_V2[Technologie],"Pas de correspondance")</f>
        <v>4G</v>
      </c>
      <c r="H473" t="str">
        <f>_xlfn.XLOOKUP(Log_Reseau_Master[[#This Row],[Cell_ID]],_29_03_2026_Registre_Maintenance_V2[ID_Antenne],_29_03_2026_Registre_Maintenance_V2[Equipementier],"Pas de correspondance")</f>
        <v>Nokia</v>
      </c>
    </row>
    <row r="474" spans="1:8" x14ac:dyDescent="0.25">
      <c r="A474" s="1">
        <v>45228.791666666664</v>
      </c>
      <c r="B474" s="4">
        <f>Log_Reseau_Master[[#This Row],[Duree_Panne_Min]]/1440</f>
        <v>4.3749999999999997E-2</v>
      </c>
      <c r="C474" t="s">
        <v>266</v>
      </c>
      <c r="D474">
        <v>63</v>
      </c>
      <c r="E474" t="s">
        <v>1314</v>
      </c>
      <c r="F474" t="str">
        <f>_xlfn.XLOOKUP(Log_Reseau_Master[[#This Row],[Cell_ID]],_29_03_2026_Registre_Maintenance_V2[ID_Antenne],_29_03_2026_Registre_Maintenance_V2[Province_RDC],"Pas de correspondance")</f>
        <v>Tanganyika</v>
      </c>
      <c r="G474" t="str">
        <f>_xlfn.XLOOKUP(Log_Reseau_Master[[#This Row],[Cell_ID]],_29_03_2026_Registre_Maintenance_V2[ID_Antenne],_29_03_2026_Registre_Maintenance_V2[Technologie],"Pas de correspondance")</f>
        <v>4G</v>
      </c>
      <c r="H474" t="str">
        <f>_xlfn.XLOOKUP(Log_Reseau_Master[[#This Row],[Cell_ID]],_29_03_2026_Registre_Maintenance_V2[ID_Antenne],_29_03_2026_Registre_Maintenance_V2[Equipementier],"Pas de correspondance")</f>
        <v>Nokia</v>
      </c>
    </row>
    <row r="475" spans="1:8" x14ac:dyDescent="0.25">
      <c r="A475" s="1">
        <v>45222.943749999999</v>
      </c>
      <c r="B475" s="4">
        <f>Log_Reseau_Master[[#This Row],[Duree_Panne_Min]]/1440</f>
        <v>7.9166666666666663E-2</v>
      </c>
      <c r="C475" t="s">
        <v>140</v>
      </c>
      <c r="D475">
        <v>114</v>
      </c>
      <c r="E475" t="s">
        <v>1314</v>
      </c>
      <c r="F475" t="str">
        <f>_xlfn.XLOOKUP(Log_Reseau_Master[[#This Row],[Cell_ID]],_29_03_2026_Registre_Maintenance_V2[ID_Antenne],_29_03_2026_Registre_Maintenance_V2[Province_RDC],"Pas de correspondance")</f>
        <v>Haut-Lomami</v>
      </c>
      <c r="G475" t="str">
        <f>_xlfn.XLOOKUP(Log_Reseau_Master[[#This Row],[Cell_ID]],_29_03_2026_Registre_Maintenance_V2[ID_Antenne],_29_03_2026_Registre_Maintenance_V2[Technologie],"Pas de correspondance")</f>
        <v>4G</v>
      </c>
      <c r="H475" t="str">
        <f>_xlfn.XLOOKUP(Log_Reseau_Master[[#This Row],[Cell_ID]],_29_03_2026_Registre_Maintenance_V2[ID_Antenne],_29_03_2026_Registre_Maintenance_V2[Equipementier],"Pas de correspondance")</f>
        <v>ZTE</v>
      </c>
    </row>
    <row r="476" spans="1:8" hidden="1" x14ac:dyDescent="0.25">
      <c r="A476" s="1">
        <v>45215.163888888892</v>
      </c>
      <c r="B476">
        <f>Log_Reseau_Master[[#This Row],[Duree_Panne_Min]]/1440</f>
        <v>7.5694444444444439E-2</v>
      </c>
      <c r="C476" t="s">
        <v>1492</v>
      </c>
      <c r="D476">
        <v>109</v>
      </c>
      <c r="E476" t="s">
        <v>1312</v>
      </c>
      <c r="F476" t="str">
        <f>_xlfn.XLOOKUP(Log_Reseau_Master[[#This Row],[Cell_ID]],_29_03_2026_Registre_Maintenance_V2[ID_Antenne],_29_03_2026_Registre_Maintenance_V2[Province_RDC],"Pas de correspondance")</f>
        <v>Pas de correspondance</v>
      </c>
      <c r="G476" t="str">
        <f>_xlfn.XLOOKUP(Log_Reseau_Master[[#This Row],[Cell_ID]],_29_03_2026_Registre_Maintenance_V2[ID_Antenne],_29_03_2026_Registre_Maintenance_V2[Technologie],"Pas de correspondance")</f>
        <v>Pas de correspondance</v>
      </c>
      <c r="H476" t="str">
        <f>_xlfn.XLOOKUP(Log_Reseau_Master[[#This Row],[Cell_ID]],_29_03_2026_Registre_Maintenance_V2[ID_Antenne],_29_03_2026_Registre_Maintenance_V2[Equipementier],"Pas de correspondance")</f>
        <v>Pas de correspondance</v>
      </c>
    </row>
    <row r="477" spans="1:8" hidden="1" x14ac:dyDescent="0.25">
      <c r="A477" s="1">
        <v>45226.003472222219</v>
      </c>
      <c r="B477">
        <f>Log_Reseau_Master[[#This Row],[Duree_Panne_Min]]/1440</f>
        <v>5.2777777777777778E-2</v>
      </c>
      <c r="C477" t="s">
        <v>1493</v>
      </c>
      <c r="D477">
        <v>76</v>
      </c>
      <c r="E477" t="s">
        <v>1314</v>
      </c>
      <c r="F477" t="str">
        <f>_xlfn.XLOOKUP(Log_Reseau_Master[[#This Row],[Cell_ID]],_29_03_2026_Registre_Maintenance_V2[ID_Antenne],_29_03_2026_Registre_Maintenance_V2[Province_RDC],"Pas de correspondance")</f>
        <v>Pas de correspondance</v>
      </c>
      <c r="G477" t="str">
        <f>_xlfn.XLOOKUP(Log_Reseau_Master[[#This Row],[Cell_ID]],_29_03_2026_Registre_Maintenance_V2[ID_Antenne],_29_03_2026_Registre_Maintenance_V2[Technologie],"Pas de correspondance")</f>
        <v>Pas de correspondance</v>
      </c>
      <c r="H477" t="str">
        <f>_xlfn.XLOOKUP(Log_Reseau_Master[[#This Row],[Cell_ID]],_29_03_2026_Registre_Maintenance_V2[ID_Antenne],_29_03_2026_Registre_Maintenance_V2[Equipementier],"Pas de correspondance")</f>
        <v>Pas de correspondance</v>
      </c>
    </row>
    <row r="478" spans="1:8" hidden="1" x14ac:dyDescent="0.25">
      <c r="A478" s="1">
        <v>45230.088194444441</v>
      </c>
      <c r="B478">
        <f>Log_Reseau_Master[[#This Row],[Duree_Panne_Min]]/1440</f>
        <v>6.0416666666666667E-2</v>
      </c>
      <c r="C478" t="s">
        <v>1493</v>
      </c>
      <c r="D478">
        <v>87</v>
      </c>
      <c r="E478" t="s">
        <v>1321</v>
      </c>
      <c r="F478" t="str">
        <f>_xlfn.XLOOKUP(Log_Reseau_Master[[#This Row],[Cell_ID]],_29_03_2026_Registre_Maintenance_V2[ID_Antenne],_29_03_2026_Registre_Maintenance_V2[Province_RDC],"Pas de correspondance")</f>
        <v>Pas de correspondance</v>
      </c>
      <c r="G478" t="str">
        <f>_xlfn.XLOOKUP(Log_Reseau_Master[[#This Row],[Cell_ID]],_29_03_2026_Registre_Maintenance_V2[ID_Antenne],_29_03_2026_Registre_Maintenance_V2[Technologie],"Pas de correspondance")</f>
        <v>Pas de correspondance</v>
      </c>
      <c r="H478" t="str">
        <f>_xlfn.XLOOKUP(Log_Reseau_Master[[#This Row],[Cell_ID]],_29_03_2026_Registre_Maintenance_V2[ID_Antenne],_29_03_2026_Registre_Maintenance_V2[Equipementier],"Pas de correspondance")</f>
        <v>Pas de correspondance</v>
      </c>
    </row>
    <row r="479" spans="1:8" x14ac:dyDescent="0.25">
      <c r="A479" s="1">
        <v>45211.219444444447</v>
      </c>
      <c r="B479" s="4">
        <f>Log_Reseau_Master[[#This Row],[Duree_Panne_Min]]/1440</f>
        <v>3.472222222222222E-3</v>
      </c>
      <c r="C479" t="s">
        <v>476</v>
      </c>
      <c r="D479">
        <v>5</v>
      </c>
      <c r="E479" t="s">
        <v>1314</v>
      </c>
      <c r="F479" t="str">
        <f>_xlfn.XLOOKUP(Log_Reseau_Master[[#This Row],[Cell_ID]],_29_03_2026_Registre_Maintenance_V2[ID_Antenne],_29_03_2026_Registre_Maintenance_V2[Province_RDC],"Pas de correspondance")</f>
        <v>Nord-Kivu</v>
      </c>
      <c r="G479" t="str">
        <f>_xlfn.XLOOKUP(Log_Reseau_Master[[#This Row],[Cell_ID]],_29_03_2026_Registre_Maintenance_V2[ID_Antenne],_29_03_2026_Registre_Maintenance_V2[Technologie],"Pas de correspondance")</f>
        <v>3G</v>
      </c>
      <c r="H479" t="str">
        <f>_xlfn.XLOOKUP(Log_Reseau_Master[[#This Row],[Cell_ID]],_29_03_2026_Registre_Maintenance_V2[ID_Antenne],_29_03_2026_Registre_Maintenance_V2[Equipementier],"Pas de correspondance")</f>
        <v>Nokia</v>
      </c>
    </row>
    <row r="480" spans="1:8" hidden="1" x14ac:dyDescent="0.25">
      <c r="A480" s="1">
        <v>45227.324305555558</v>
      </c>
      <c r="B480">
        <f>Log_Reseau_Master[[#This Row],[Duree_Panne_Min]]/1440</f>
        <v>3.6111111111111108E-2</v>
      </c>
      <c r="C480" t="s">
        <v>1494</v>
      </c>
      <c r="D480">
        <v>52</v>
      </c>
      <c r="E480" t="s">
        <v>1314</v>
      </c>
      <c r="F480" t="str">
        <f>_xlfn.XLOOKUP(Log_Reseau_Master[[#This Row],[Cell_ID]],_29_03_2026_Registre_Maintenance_V2[ID_Antenne],_29_03_2026_Registre_Maintenance_V2[Province_RDC],"Pas de correspondance")</f>
        <v>Pas de correspondance</v>
      </c>
      <c r="G480" t="str">
        <f>_xlfn.XLOOKUP(Log_Reseau_Master[[#This Row],[Cell_ID]],_29_03_2026_Registre_Maintenance_V2[ID_Antenne],_29_03_2026_Registre_Maintenance_V2[Technologie],"Pas de correspondance")</f>
        <v>Pas de correspondance</v>
      </c>
      <c r="H480" t="str">
        <f>_xlfn.XLOOKUP(Log_Reseau_Master[[#This Row],[Cell_ID]],_29_03_2026_Registre_Maintenance_V2[ID_Antenne],_29_03_2026_Registre_Maintenance_V2[Equipementier],"Pas de correspondance")</f>
        <v>Pas de correspondance</v>
      </c>
    </row>
    <row r="481" spans="1:8" x14ac:dyDescent="0.25">
      <c r="A481" s="1">
        <v>45218.127083333333</v>
      </c>
      <c r="B481" s="4">
        <f>Log_Reseau_Master[[#This Row],[Duree_Panne_Min]]/1440</f>
        <v>4.027777777777778E-2</v>
      </c>
      <c r="C481" t="s">
        <v>477</v>
      </c>
      <c r="D481">
        <v>58</v>
      </c>
      <c r="E481" t="s">
        <v>1312</v>
      </c>
      <c r="F481" t="str">
        <f>_xlfn.XLOOKUP(Log_Reseau_Master[[#This Row],[Cell_ID]],_29_03_2026_Registre_Maintenance_V2[ID_Antenne],_29_03_2026_Registre_Maintenance_V2[Province_RDC],"Pas de correspondance")</f>
        <v>Sud-Kivu</v>
      </c>
      <c r="G481" t="str">
        <f>_xlfn.XLOOKUP(Log_Reseau_Master[[#This Row],[Cell_ID]],_29_03_2026_Registre_Maintenance_V2[ID_Antenne],_29_03_2026_Registre_Maintenance_V2[Technologie],"Pas de correspondance")</f>
        <v>4G</v>
      </c>
      <c r="H481" t="str">
        <f>_xlfn.XLOOKUP(Log_Reseau_Master[[#This Row],[Cell_ID]],_29_03_2026_Registre_Maintenance_V2[ID_Antenne],_29_03_2026_Registre_Maintenance_V2[Equipementier],"Pas de correspondance")</f>
        <v>Huawei</v>
      </c>
    </row>
    <row r="482" spans="1:8" x14ac:dyDescent="0.25">
      <c r="A482" s="1">
        <v>45200.832638888889</v>
      </c>
      <c r="B482" s="4">
        <f>Log_Reseau_Master[[#This Row],[Duree_Panne_Min]]/1440</f>
        <v>1.8749999999999999E-2</v>
      </c>
      <c r="C482" t="s">
        <v>477</v>
      </c>
      <c r="D482">
        <v>27</v>
      </c>
      <c r="E482" t="s">
        <v>1314</v>
      </c>
      <c r="F482" t="str">
        <f>_xlfn.XLOOKUP(Log_Reseau_Master[[#This Row],[Cell_ID]],_29_03_2026_Registre_Maintenance_V2[ID_Antenne],_29_03_2026_Registre_Maintenance_V2[Province_RDC],"Pas de correspondance")</f>
        <v>Sud-Kivu</v>
      </c>
      <c r="G482" t="str">
        <f>_xlfn.XLOOKUP(Log_Reseau_Master[[#This Row],[Cell_ID]],_29_03_2026_Registre_Maintenance_V2[ID_Antenne],_29_03_2026_Registre_Maintenance_V2[Technologie],"Pas de correspondance")</f>
        <v>4G</v>
      </c>
      <c r="H482" t="str">
        <f>_xlfn.XLOOKUP(Log_Reseau_Master[[#This Row],[Cell_ID]],_29_03_2026_Registre_Maintenance_V2[ID_Antenne],_29_03_2026_Registre_Maintenance_V2[Equipementier],"Pas de correspondance")</f>
        <v>Huawei</v>
      </c>
    </row>
    <row r="483" spans="1:8" hidden="1" x14ac:dyDescent="0.25">
      <c r="A483" s="1">
        <v>45201.243055555555</v>
      </c>
      <c r="B483">
        <f>Log_Reseau_Master[[#This Row],[Duree_Panne_Min]]/1440</f>
        <v>5.0694444444444445E-2</v>
      </c>
      <c r="C483" t="s">
        <v>1495</v>
      </c>
      <c r="D483">
        <v>73</v>
      </c>
      <c r="E483" t="s">
        <v>1312</v>
      </c>
      <c r="F483" t="str">
        <f>_xlfn.XLOOKUP(Log_Reseau_Master[[#This Row],[Cell_ID]],_29_03_2026_Registre_Maintenance_V2[ID_Antenne],_29_03_2026_Registre_Maintenance_V2[Province_RDC],"Pas de correspondance")</f>
        <v>Pas de correspondance</v>
      </c>
      <c r="G483" t="str">
        <f>_xlfn.XLOOKUP(Log_Reseau_Master[[#This Row],[Cell_ID]],_29_03_2026_Registre_Maintenance_V2[ID_Antenne],_29_03_2026_Registre_Maintenance_V2[Technologie],"Pas de correspondance")</f>
        <v>Pas de correspondance</v>
      </c>
      <c r="H483" t="str">
        <f>_xlfn.XLOOKUP(Log_Reseau_Master[[#This Row],[Cell_ID]],_29_03_2026_Registre_Maintenance_V2[ID_Antenne],_29_03_2026_Registre_Maintenance_V2[Equipementier],"Pas de correspondance")</f>
        <v>Pas de correspondance</v>
      </c>
    </row>
    <row r="484" spans="1:8" hidden="1" x14ac:dyDescent="0.25">
      <c r="A484" s="1">
        <v>45200.394444444442</v>
      </c>
      <c r="B484">
        <f>Log_Reseau_Master[[#This Row],[Duree_Panne_Min]]/1440</f>
        <v>7.9861111111111105E-2</v>
      </c>
      <c r="C484" t="s">
        <v>1495</v>
      </c>
      <c r="D484">
        <v>115</v>
      </c>
      <c r="E484" t="s">
        <v>1312</v>
      </c>
      <c r="F484" t="str">
        <f>_xlfn.XLOOKUP(Log_Reseau_Master[[#This Row],[Cell_ID]],_29_03_2026_Registre_Maintenance_V2[ID_Antenne],_29_03_2026_Registre_Maintenance_V2[Province_RDC],"Pas de correspondance")</f>
        <v>Pas de correspondance</v>
      </c>
      <c r="G484" t="str">
        <f>_xlfn.XLOOKUP(Log_Reseau_Master[[#This Row],[Cell_ID]],_29_03_2026_Registre_Maintenance_V2[ID_Antenne],_29_03_2026_Registre_Maintenance_V2[Technologie],"Pas de correspondance")</f>
        <v>Pas de correspondance</v>
      </c>
      <c r="H484" t="str">
        <f>_xlfn.XLOOKUP(Log_Reseau_Master[[#This Row],[Cell_ID]],_29_03_2026_Registre_Maintenance_V2[ID_Antenne],_29_03_2026_Registre_Maintenance_V2[Equipementier],"Pas de correspondance")</f>
        <v>Pas de correspondance</v>
      </c>
    </row>
    <row r="485" spans="1:8" hidden="1" x14ac:dyDescent="0.25">
      <c r="A485" s="1">
        <v>45202.695138888892</v>
      </c>
      <c r="B485">
        <f>Log_Reseau_Master[[#This Row],[Duree_Panne_Min]]/1440</f>
        <v>1.4583333333333334E-2</v>
      </c>
      <c r="C485" t="s">
        <v>1495</v>
      </c>
      <c r="D485">
        <v>21</v>
      </c>
      <c r="E485" t="s">
        <v>1314</v>
      </c>
      <c r="F485" t="str">
        <f>_xlfn.XLOOKUP(Log_Reseau_Master[[#This Row],[Cell_ID]],_29_03_2026_Registre_Maintenance_V2[ID_Antenne],_29_03_2026_Registre_Maintenance_V2[Province_RDC],"Pas de correspondance")</f>
        <v>Pas de correspondance</v>
      </c>
      <c r="G485" t="str">
        <f>_xlfn.XLOOKUP(Log_Reseau_Master[[#This Row],[Cell_ID]],_29_03_2026_Registre_Maintenance_V2[ID_Antenne],_29_03_2026_Registre_Maintenance_V2[Technologie],"Pas de correspondance")</f>
        <v>Pas de correspondance</v>
      </c>
      <c r="H485" t="str">
        <f>_xlfn.XLOOKUP(Log_Reseau_Master[[#This Row],[Cell_ID]],_29_03_2026_Registre_Maintenance_V2[ID_Antenne],_29_03_2026_Registre_Maintenance_V2[Equipementier],"Pas de correspondance")</f>
        <v>Pas de correspondance</v>
      </c>
    </row>
    <row r="486" spans="1:8" hidden="1" x14ac:dyDescent="0.25">
      <c r="A486" s="1">
        <v>45227.768750000003</v>
      </c>
      <c r="B486">
        <f>Log_Reseau_Master[[#This Row],[Duree_Panne_Min]]/1440</f>
        <v>4.2361111111111113E-2</v>
      </c>
      <c r="C486" t="s">
        <v>1496</v>
      </c>
      <c r="D486">
        <v>61</v>
      </c>
      <c r="E486" t="s">
        <v>1312</v>
      </c>
      <c r="F486" t="str">
        <f>_xlfn.XLOOKUP(Log_Reseau_Master[[#This Row],[Cell_ID]],_29_03_2026_Registre_Maintenance_V2[ID_Antenne],_29_03_2026_Registre_Maintenance_V2[Province_RDC],"Pas de correspondance")</f>
        <v>Pas de correspondance</v>
      </c>
      <c r="G486" t="str">
        <f>_xlfn.XLOOKUP(Log_Reseau_Master[[#This Row],[Cell_ID]],_29_03_2026_Registre_Maintenance_V2[ID_Antenne],_29_03_2026_Registre_Maintenance_V2[Technologie],"Pas de correspondance")</f>
        <v>Pas de correspondance</v>
      </c>
      <c r="H486" t="str">
        <f>_xlfn.XLOOKUP(Log_Reseau_Master[[#This Row],[Cell_ID]],_29_03_2026_Registre_Maintenance_V2[ID_Antenne],_29_03_2026_Registre_Maintenance_V2[Equipementier],"Pas de correspondance")</f>
        <v>Pas de correspondance</v>
      </c>
    </row>
    <row r="487" spans="1:8" hidden="1" x14ac:dyDescent="0.25">
      <c r="A487" s="1">
        <v>45230.1875</v>
      </c>
      <c r="B487">
        <f>Log_Reseau_Master[[#This Row],[Duree_Panne_Min]]/1440</f>
        <v>6.2500000000000003E-3</v>
      </c>
      <c r="C487" t="s">
        <v>1497</v>
      </c>
      <c r="D487">
        <v>9</v>
      </c>
      <c r="E487" t="s">
        <v>1321</v>
      </c>
      <c r="F487" t="str">
        <f>_xlfn.XLOOKUP(Log_Reseau_Master[[#This Row],[Cell_ID]],_29_03_2026_Registre_Maintenance_V2[ID_Antenne],_29_03_2026_Registre_Maintenance_V2[Province_RDC],"Pas de correspondance")</f>
        <v>Pas de correspondance</v>
      </c>
      <c r="G487" t="str">
        <f>_xlfn.XLOOKUP(Log_Reseau_Master[[#This Row],[Cell_ID]],_29_03_2026_Registre_Maintenance_V2[ID_Antenne],_29_03_2026_Registre_Maintenance_V2[Technologie],"Pas de correspondance")</f>
        <v>Pas de correspondance</v>
      </c>
      <c r="H487" t="str">
        <f>_xlfn.XLOOKUP(Log_Reseau_Master[[#This Row],[Cell_ID]],_29_03_2026_Registre_Maintenance_V2[ID_Antenne],_29_03_2026_Registre_Maintenance_V2[Equipementier],"Pas de correspondance")</f>
        <v>Pas de correspondance</v>
      </c>
    </row>
    <row r="488" spans="1:8" hidden="1" x14ac:dyDescent="0.25">
      <c r="A488" s="1">
        <v>45213.822222222225</v>
      </c>
      <c r="B488">
        <f>Log_Reseau_Master[[#This Row],[Duree_Panne_Min]]/1440</f>
        <v>6.9444444444444448E-2</v>
      </c>
      <c r="C488" t="s">
        <v>1498</v>
      </c>
      <c r="D488">
        <v>100</v>
      </c>
      <c r="E488" t="s">
        <v>1312</v>
      </c>
      <c r="F488" t="str">
        <f>_xlfn.XLOOKUP(Log_Reseau_Master[[#This Row],[Cell_ID]],_29_03_2026_Registre_Maintenance_V2[ID_Antenne],_29_03_2026_Registre_Maintenance_V2[Province_RDC],"Pas de correspondance")</f>
        <v>Pas de correspondance</v>
      </c>
      <c r="G488" t="str">
        <f>_xlfn.XLOOKUP(Log_Reseau_Master[[#This Row],[Cell_ID]],_29_03_2026_Registre_Maintenance_V2[ID_Antenne],_29_03_2026_Registre_Maintenance_V2[Technologie],"Pas de correspondance")</f>
        <v>Pas de correspondance</v>
      </c>
      <c r="H488" t="str">
        <f>_xlfn.XLOOKUP(Log_Reseau_Master[[#This Row],[Cell_ID]],_29_03_2026_Registre_Maintenance_V2[ID_Antenne],_29_03_2026_Registre_Maintenance_V2[Equipementier],"Pas de correspondance")</f>
        <v>Pas de correspondance</v>
      </c>
    </row>
    <row r="489" spans="1:8" hidden="1" x14ac:dyDescent="0.25">
      <c r="A489" s="1">
        <v>45209.094444444447</v>
      </c>
      <c r="B489">
        <f>Log_Reseau_Master[[#This Row],[Duree_Panne_Min]]/1440</f>
        <v>6.6666666666666666E-2</v>
      </c>
      <c r="C489" t="s">
        <v>1499</v>
      </c>
      <c r="D489">
        <v>96</v>
      </c>
      <c r="E489" t="s">
        <v>1314</v>
      </c>
      <c r="F489" t="str">
        <f>_xlfn.XLOOKUP(Log_Reseau_Master[[#This Row],[Cell_ID]],_29_03_2026_Registre_Maintenance_V2[ID_Antenne],_29_03_2026_Registre_Maintenance_V2[Province_RDC],"Pas de correspondance")</f>
        <v>Pas de correspondance</v>
      </c>
      <c r="G489" t="str">
        <f>_xlfn.XLOOKUP(Log_Reseau_Master[[#This Row],[Cell_ID]],_29_03_2026_Registre_Maintenance_V2[ID_Antenne],_29_03_2026_Registre_Maintenance_V2[Technologie],"Pas de correspondance")</f>
        <v>Pas de correspondance</v>
      </c>
      <c r="H489" t="str">
        <f>_xlfn.XLOOKUP(Log_Reseau_Master[[#This Row],[Cell_ID]],_29_03_2026_Registre_Maintenance_V2[ID_Antenne],_29_03_2026_Registre_Maintenance_V2[Equipementier],"Pas de correspondance")</f>
        <v>Pas de correspondance</v>
      </c>
    </row>
    <row r="490" spans="1:8" x14ac:dyDescent="0.25">
      <c r="A490" s="1">
        <v>45219.683333333334</v>
      </c>
      <c r="B490" s="4">
        <f>Log_Reseau_Master[[#This Row],[Duree_Panne_Min]]/1440</f>
        <v>6.8750000000000006E-2</v>
      </c>
      <c r="C490" t="s">
        <v>139</v>
      </c>
      <c r="D490">
        <v>99</v>
      </c>
      <c r="E490" t="s">
        <v>1312</v>
      </c>
      <c r="F490" t="str">
        <f>_xlfn.XLOOKUP(Log_Reseau_Master[[#This Row],[Cell_ID]],_29_03_2026_Registre_Maintenance_V2[ID_Antenne],_29_03_2026_Registre_Maintenance_V2[Province_RDC],"Pas de correspondance")</f>
        <v>Kongo-Central</v>
      </c>
      <c r="G490" t="str">
        <f>_xlfn.XLOOKUP(Log_Reseau_Master[[#This Row],[Cell_ID]],_29_03_2026_Registre_Maintenance_V2[ID_Antenne],_29_03_2026_Registre_Maintenance_V2[Technologie],"Pas de correspondance")</f>
        <v>5G</v>
      </c>
      <c r="H490" t="str">
        <f>_xlfn.XLOOKUP(Log_Reseau_Master[[#This Row],[Cell_ID]],_29_03_2026_Registre_Maintenance_V2[ID_Antenne],_29_03_2026_Registre_Maintenance_V2[Equipementier],"Pas de correspondance")</f>
        <v>Nokia</v>
      </c>
    </row>
    <row r="491" spans="1:8" x14ac:dyDescent="0.25">
      <c r="A491" s="1">
        <v>45210.879861111112</v>
      </c>
      <c r="B491" s="4">
        <f>Log_Reseau_Master[[#This Row],[Duree_Panne_Min]]/1440</f>
        <v>3.6805555555555557E-2</v>
      </c>
      <c r="C491" t="s">
        <v>71</v>
      </c>
      <c r="D491">
        <v>53</v>
      </c>
      <c r="E491" t="s">
        <v>1314</v>
      </c>
      <c r="F491" t="str">
        <f>_xlfn.XLOOKUP(Log_Reseau_Master[[#This Row],[Cell_ID]],_29_03_2026_Registre_Maintenance_V2[ID_Antenne],_29_03_2026_Registre_Maintenance_V2[Province_RDC],"Pas de correspondance")</f>
        <v>Lomami</v>
      </c>
      <c r="G491" t="str">
        <f>_xlfn.XLOOKUP(Log_Reseau_Master[[#This Row],[Cell_ID]],_29_03_2026_Registre_Maintenance_V2[ID_Antenne],_29_03_2026_Registre_Maintenance_V2[Technologie],"Pas de correspondance")</f>
        <v>4G</v>
      </c>
      <c r="H491" t="str">
        <f>_xlfn.XLOOKUP(Log_Reseau_Master[[#This Row],[Cell_ID]],_29_03_2026_Registre_Maintenance_V2[ID_Antenne],_29_03_2026_Registre_Maintenance_V2[Equipementier],"Pas de correspondance")</f>
        <v>Ericsson</v>
      </c>
    </row>
    <row r="492" spans="1:8" hidden="1" x14ac:dyDescent="0.25">
      <c r="A492" s="1">
        <v>45218.056944444441</v>
      </c>
      <c r="B492">
        <f>Log_Reseau_Master[[#This Row],[Duree_Panne_Min]]/1440</f>
        <v>3.1944444444444442E-2</v>
      </c>
      <c r="C492" t="s">
        <v>1500</v>
      </c>
      <c r="D492">
        <v>46</v>
      </c>
      <c r="E492" t="s">
        <v>1321</v>
      </c>
      <c r="F492" t="str">
        <f>_xlfn.XLOOKUP(Log_Reseau_Master[[#This Row],[Cell_ID]],_29_03_2026_Registre_Maintenance_V2[ID_Antenne],_29_03_2026_Registre_Maintenance_V2[Province_RDC],"Pas de correspondance")</f>
        <v>Pas de correspondance</v>
      </c>
      <c r="G492" t="str">
        <f>_xlfn.XLOOKUP(Log_Reseau_Master[[#This Row],[Cell_ID]],_29_03_2026_Registre_Maintenance_V2[ID_Antenne],_29_03_2026_Registre_Maintenance_V2[Technologie],"Pas de correspondance")</f>
        <v>Pas de correspondance</v>
      </c>
      <c r="H492" t="str">
        <f>_xlfn.XLOOKUP(Log_Reseau_Master[[#This Row],[Cell_ID]],_29_03_2026_Registre_Maintenance_V2[ID_Antenne],_29_03_2026_Registre_Maintenance_V2[Equipementier],"Pas de correspondance")</f>
        <v>Pas de correspondance</v>
      </c>
    </row>
    <row r="493" spans="1:8" hidden="1" x14ac:dyDescent="0.25">
      <c r="A493" s="1">
        <v>45219.041666666664</v>
      </c>
      <c r="B493">
        <f>Log_Reseau_Master[[#This Row],[Duree_Panne_Min]]/1440</f>
        <v>6.9444444444444448E-2</v>
      </c>
      <c r="C493" t="s">
        <v>1500</v>
      </c>
      <c r="D493">
        <v>100</v>
      </c>
      <c r="E493" t="s">
        <v>1321</v>
      </c>
      <c r="F493" t="str">
        <f>_xlfn.XLOOKUP(Log_Reseau_Master[[#This Row],[Cell_ID]],_29_03_2026_Registre_Maintenance_V2[ID_Antenne],_29_03_2026_Registre_Maintenance_V2[Province_RDC],"Pas de correspondance")</f>
        <v>Pas de correspondance</v>
      </c>
      <c r="G493" t="str">
        <f>_xlfn.XLOOKUP(Log_Reseau_Master[[#This Row],[Cell_ID]],_29_03_2026_Registre_Maintenance_V2[ID_Antenne],_29_03_2026_Registre_Maintenance_V2[Technologie],"Pas de correspondance")</f>
        <v>Pas de correspondance</v>
      </c>
      <c r="H493" t="str">
        <f>_xlfn.XLOOKUP(Log_Reseau_Master[[#This Row],[Cell_ID]],_29_03_2026_Registre_Maintenance_V2[ID_Antenne],_29_03_2026_Registre_Maintenance_V2[Equipementier],"Pas de correspondance")</f>
        <v>Pas de correspondance</v>
      </c>
    </row>
    <row r="494" spans="1:8" hidden="1" x14ac:dyDescent="0.25">
      <c r="A494" s="1">
        <v>45216.393055555556</v>
      </c>
      <c r="B494">
        <f>Log_Reseau_Master[[#This Row],[Duree_Panne_Min]]/1440</f>
        <v>2.361111111111111E-2</v>
      </c>
      <c r="C494" t="s">
        <v>1501</v>
      </c>
      <c r="D494">
        <v>34</v>
      </c>
      <c r="E494" t="s">
        <v>1321</v>
      </c>
      <c r="F494" t="str">
        <f>_xlfn.XLOOKUP(Log_Reseau_Master[[#This Row],[Cell_ID]],_29_03_2026_Registre_Maintenance_V2[ID_Antenne],_29_03_2026_Registre_Maintenance_V2[Province_RDC],"Pas de correspondance")</f>
        <v>Pas de correspondance</v>
      </c>
      <c r="G494" t="str">
        <f>_xlfn.XLOOKUP(Log_Reseau_Master[[#This Row],[Cell_ID]],_29_03_2026_Registre_Maintenance_V2[ID_Antenne],_29_03_2026_Registre_Maintenance_V2[Technologie],"Pas de correspondance")</f>
        <v>Pas de correspondance</v>
      </c>
      <c r="H494" t="str">
        <f>_xlfn.XLOOKUP(Log_Reseau_Master[[#This Row],[Cell_ID]],_29_03_2026_Registre_Maintenance_V2[ID_Antenne],_29_03_2026_Registre_Maintenance_V2[Equipementier],"Pas de correspondance")</f>
        <v>Pas de correspondance</v>
      </c>
    </row>
    <row r="495" spans="1:8" hidden="1" x14ac:dyDescent="0.25">
      <c r="A495" s="1">
        <v>45200.427777777775</v>
      </c>
      <c r="B495">
        <f>Log_Reseau_Master[[#This Row],[Duree_Panne_Min]]/1440</f>
        <v>1.1111111111111112E-2</v>
      </c>
      <c r="C495" t="s">
        <v>1502</v>
      </c>
      <c r="D495">
        <v>16</v>
      </c>
      <c r="E495" t="s">
        <v>1312</v>
      </c>
      <c r="F495" t="str">
        <f>_xlfn.XLOOKUP(Log_Reseau_Master[[#This Row],[Cell_ID]],_29_03_2026_Registre_Maintenance_V2[ID_Antenne],_29_03_2026_Registre_Maintenance_V2[Province_RDC],"Pas de correspondance")</f>
        <v>Pas de correspondance</v>
      </c>
      <c r="G495" t="str">
        <f>_xlfn.XLOOKUP(Log_Reseau_Master[[#This Row],[Cell_ID]],_29_03_2026_Registre_Maintenance_V2[ID_Antenne],_29_03_2026_Registre_Maintenance_V2[Technologie],"Pas de correspondance")</f>
        <v>Pas de correspondance</v>
      </c>
      <c r="H495" t="str">
        <f>_xlfn.XLOOKUP(Log_Reseau_Master[[#This Row],[Cell_ID]],_29_03_2026_Registre_Maintenance_V2[ID_Antenne],_29_03_2026_Registre_Maintenance_V2[Equipementier],"Pas de correspondance")</f>
        <v>Pas de correspondance</v>
      </c>
    </row>
    <row r="496" spans="1:8" hidden="1" x14ac:dyDescent="0.25">
      <c r="A496" s="1">
        <v>45213.89166666667</v>
      </c>
      <c r="B496">
        <f>Log_Reseau_Master[[#This Row],[Duree_Panne_Min]]/1440</f>
        <v>7.2222222222222215E-2</v>
      </c>
      <c r="C496" t="s">
        <v>1502</v>
      </c>
      <c r="D496">
        <v>104</v>
      </c>
      <c r="E496" t="s">
        <v>1314</v>
      </c>
      <c r="F496" t="str">
        <f>_xlfn.XLOOKUP(Log_Reseau_Master[[#This Row],[Cell_ID]],_29_03_2026_Registre_Maintenance_V2[ID_Antenne],_29_03_2026_Registre_Maintenance_V2[Province_RDC],"Pas de correspondance")</f>
        <v>Pas de correspondance</v>
      </c>
      <c r="G496" t="str">
        <f>_xlfn.XLOOKUP(Log_Reseau_Master[[#This Row],[Cell_ID]],_29_03_2026_Registre_Maintenance_V2[ID_Antenne],_29_03_2026_Registre_Maintenance_V2[Technologie],"Pas de correspondance")</f>
        <v>Pas de correspondance</v>
      </c>
      <c r="H496" t="str">
        <f>_xlfn.XLOOKUP(Log_Reseau_Master[[#This Row],[Cell_ID]],_29_03_2026_Registre_Maintenance_V2[ID_Antenne],_29_03_2026_Registre_Maintenance_V2[Equipementier],"Pas de correspondance")</f>
        <v>Pas de correspondance</v>
      </c>
    </row>
    <row r="497" spans="1:8" x14ac:dyDescent="0.25">
      <c r="A497" s="1">
        <v>45204.572222222225</v>
      </c>
      <c r="B497" s="4">
        <f>Log_Reseau_Master[[#This Row],[Duree_Panne_Min]]/1440</f>
        <v>6.1111111111111109E-2</v>
      </c>
      <c r="C497" t="s">
        <v>285</v>
      </c>
      <c r="D497">
        <v>88</v>
      </c>
      <c r="E497" t="s">
        <v>1321</v>
      </c>
      <c r="F497" t="str">
        <f>_xlfn.XLOOKUP(Log_Reseau_Master[[#This Row],[Cell_ID]],_29_03_2026_Registre_Maintenance_V2[ID_Antenne],_29_03_2026_Registre_Maintenance_V2[Province_RDC],"Pas de correspondance")</f>
        <v>Kasai-Central</v>
      </c>
      <c r="G497" t="str">
        <f>_xlfn.XLOOKUP(Log_Reseau_Master[[#This Row],[Cell_ID]],_29_03_2026_Registre_Maintenance_V2[ID_Antenne],_29_03_2026_Registre_Maintenance_V2[Technologie],"Pas de correspondance")</f>
        <v>4G</v>
      </c>
      <c r="H497" t="str">
        <f>_xlfn.XLOOKUP(Log_Reseau_Master[[#This Row],[Cell_ID]],_29_03_2026_Registre_Maintenance_V2[ID_Antenne],_29_03_2026_Registre_Maintenance_V2[Equipementier],"Pas de correspondance")</f>
        <v>ZTE</v>
      </c>
    </row>
    <row r="498" spans="1:8" x14ac:dyDescent="0.25">
      <c r="A498" s="1">
        <v>45206.027083333334</v>
      </c>
      <c r="B498" s="4">
        <f>Log_Reseau_Master[[#This Row],[Duree_Panne_Min]]/1440</f>
        <v>2.5000000000000001E-2</v>
      </c>
      <c r="C498" t="s">
        <v>285</v>
      </c>
      <c r="D498">
        <v>36</v>
      </c>
      <c r="E498" t="s">
        <v>1321</v>
      </c>
      <c r="F498" t="str">
        <f>_xlfn.XLOOKUP(Log_Reseau_Master[[#This Row],[Cell_ID]],_29_03_2026_Registre_Maintenance_V2[ID_Antenne],_29_03_2026_Registre_Maintenance_V2[Province_RDC],"Pas de correspondance")</f>
        <v>Kasai-Central</v>
      </c>
      <c r="G498" t="str">
        <f>_xlfn.XLOOKUP(Log_Reseau_Master[[#This Row],[Cell_ID]],_29_03_2026_Registre_Maintenance_V2[ID_Antenne],_29_03_2026_Registre_Maintenance_V2[Technologie],"Pas de correspondance")</f>
        <v>4G</v>
      </c>
      <c r="H498" t="str">
        <f>_xlfn.XLOOKUP(Log_Reseau_Master[[#This Row],[Cell_ID]],_29_03_2026_Registre_Maintenance_V2[ID_Antenne],_29_03_2026_Registre_Maintenance_V2[Equipementier],"Pas de correspondance")</f>
        <v>ZTE</v>
      </c>
    </row>
    <row r="499" spans="1:8" x14ac:dyDescent="0.25">
      <c r="A499" s="1">
        <v>45202.747916666667</v>
      </c>
      <c r="B499" s="4">
        <f>Log_Reseau_Master[[#This Row],[Duree_Panne_Min]]/1440</f>
        <v>1.9444444444444445E-2</v>
      </c>
      <c r="C499" t="s">
        <v>285</v>
      </c>
      <c r="D499">
        <v>28</v>
      </c>
      <c r="E499" t="s">
        <v>1312</v>
      </c>
      <c r="F499" t="str">
        <f>_xlfn.XLOOKUP(Log_Reseau_Master[[#This Row],[Cell_ID]],_29_03_2026_Registre_Maintenance_V2[ID_Antenne],_29_03_2026_Registre_Maintenance_V2[Province_RDC],"Pas de correspondance")</f>
        <v>Kasai-Central</v>
      </c>
      <c r="G499" t="str">
        <f>_xlfn.XLOOKUP(Log_Reseau_Master[[#This Row],[Cell_ID]],_29_03_2026_Registre_Maintenance_V2[ID_Antenne],_29_03_2026_Registre_Maintenance_V2[Technologie],"Pas de correspondance")</f>
        <v>4G</v>
      </c>
      <c r="H499" t="str">
        <f>_xlfn.XLOOKUP(Log_Reseau_Master[[#This Row],[Cell_ID]],_29_03_2026_Registre_Maintenance_V2[ID_Antenne],_29_03_2026_Registre_Maintenance_V2[Equipementier],"Pas de correspondance")</f>
        <v>ZTE</v>
      </c>
    </row>
    <row r="500" spans="1:8" x14ac:dyDescent="0.25">
      <c r="A500" s="1">
        <v>45206.563888888886</v>
      </c>
      <c r="B500" s="4">
        <f>Log_Reseau_Master[[#This Row],[Duree_Panne_Min]]/1440</f>
        <v>2.5694444444444443E-2</v>
      </c>
      <c r="C500" t="s">
        <v>320</v>
      </c>
      <c r="D500">
        <v>37</v>
      </c>
      <c r="E500" t="s">
        <v>1314</v>
      </c>
      <c r="F500" t="str">
        <f>_xlfn.XLOOKUP(Log_Reseau_Master[[#This Row],[Cell_ID]],_29_03_2026_Registre_Maintenance_V2[ID_Antenne],_29_03_2026_Registre_Maintenance_V2[Province_RDC],"Pas de correspondance")</f>
        <v>Haut-Uele</v>
      </c>
      <c r="G500" t="str">
        <f>_xlfn.XLOOKUP(Log_Reseau_Master[[#This Row],[Cell_ID]],_29_03_2026_Registre_Maintenance_V2[ID_Antenne],_29_03_2026_Registre_Maintenance_V2[Technologie],"Pas de correspondance")</f>
        <v>4G</v>
      </c>
      <c r="H500" t="str">
        <f>_xlfn.XLOOKUP(Log_Reseau_Master[[#This Row],[Cell_ID]],_29_03_2026_Registre_Maintenance_V2[ID_Antenne],_29_03_2026_Registre_Maintenance_V2[Equipementier],"Pas de correspondance")</f>
        <v>Nokia</v>
      </c>
    </row>
    <row r="501" spans="1:8" hidden="1" x14ac:dyDescent="0.25">
      <c r="A501" s="1">
        <v>45210.511805555558</v>
      </c>
      <c r="B501">
        <f>Log_Reseau_Master[[#This Row],[Duree_Panne_Min]]/1440</f>
        <v>1.8749999999999999E-2</v>
      </c>
      <c r="C501" t="s">
        <v>1503</v>
      </c>
      <c r="D501">
        <v>27</v>
      </c>
      <c r="E501" t="s">
        <v>1312</v>
      </c>
      <c r="F501" t="str">
        <f>_xlfn.XLOOKUP(Log_Reseau_Master[[#This Row],[Cell_ID]],_29_03_2026_Registre_Maintenance_V2[ID_Antenne],_29_03_2026_Registre_Maintenance_V2[Province_RDC],"Pas de correspondance")</f>
        <v>Pas de correspondance</v>
      </c>
      <c r="G501" t="str">
        <f>_xlfn.XLOOKUP(Log_Reseau_Master[[#This Row],[Cell_ID]],_29_03_2026_Registre_Maintenance_V2[ID_Antenne],_29_03_2026_Registre_Maintenance_V2[Technologie],"Pas de correspondance")</f>
        <v>Pas de correspondance</v>
      </c>
      <c r="H501" t="str">
        <f>_xlfn.XLOOKUP(Log_Reseau_Master[[#This Row],[Cell_ID]],_29_03_2026_Registre_Maintenance_V2[ID_Antenne],_29_03_2026_Registre_Maintenance_V2[Equipementier],"Pas de correspondance")</f>
        <v>Pas de correspondance</v>
      </c>
    </row>
    <row r="502" spans="1:8" hidden="1" x14ac:dyDescent="0.25">
      <c r="A502" s="1">
        <v>45209.724999999999</v>
      </c>
      <c r="B502">
        <f>Log_Reseau_Master[[#This Row],[Duree_Panne_Min]]/1440</f>
        <v>6.7361111111111108E-2</v>
      </c>
      <c r="C502" t="s">
        <v>1504</v>
      </c>
      <c r="D502">
        <v>97</v>
      </c>
      <c r="E502" t="s">
        <v>1321</v>
      </c>
      <c r="F502" t="str">
        <f>_xlfn.XLOOKUP(Log_Reseau_Master[[#This Row],[Cell_ID]],_29_03_2026_Registre_Maintenance_V2[ID_Antenne],_29_03_2026_Registre_Maintenance_V2[Province_RDC],"Pas de correspondance")</f>
        <v>Pas de correspondance</v>
      </c>
      <c r="G502" t="str">
        <f>_xlfn.XLOOKUP(Log_Reseau_Master[[#This Row],[Cell_ID]],_29_03_2026_Registre_Maintenance_V2[ID_Antenne],_29_03_2026_Registre_Maintenance_V2[Technologie],"Pas de correspondance")</f>
        <v>Pas de correspondance</v>
      </c>
      <c r="H502" t="str">
        <f>_xlfn.XLOOKUP(Log_Reseau_Master[[#This Row],[Cell_ID]],_29_03_2026_Registre_Maintenance_V2[ID_Antenne],_29_03_2026_Registre_Maintenance_V2[Equipementier],"Pas de correspondance")</f>
        <v>Pas de correspondance</v>
      </c>
    </row>
    <row r="503" spans="1:8" x14ac:dyDescent="0.25">
      <c r="A503" s="1">
        <v>45215.704861111109</v>
      </c>
      <c r="B503" s="4">
        <f>Log_Reseau_Master[[#This Row],[Duree_Panne_Min]]/1440</f>
        <v>7.4305555555555555E-2</v>
      </c>
      <c r="C503" t="s">
        <v>178</v>
      </c>
      <c r="D503">
        <v>107</v>
      </c>
      <c r="E503" t="s">
        <v>1314</v>
      </c>
      <c r="F503" t="str">
        <f>_xlfn.XLOOKUP(Log_Reseau_Master[[#This Row],[Cell_ID]],_29_03_2026_Registre_Maintenance_V2[ID_Antenne],_29_03_2026_Registre_Maintenance_V2[Province_RDC],"Pas de correspondance")</f>
        <v>Kongo-Central</v>
      </c>
      <c r="G503" t="str">
        <f>_xlfn.XLOOKUP(Log_Reseau_Master[[#This Row],[Cell_ID]],_29_03_2026_Registre_Maintenance_V2[ID_Antenne],_29_03_2026_Registre_Maintenance_V2[Technologie],"Pas de correspondance")</f>
        <v>5G</v>
      </c>
      <c r="H503" t="str">
        <f>_xlfn.XLOOKUP(Log_Reseau_Master[[#This Row],[Cell_ID]],_29_03_2026_Registre_Maintenance_V2[ID_Antenne],_29_03_2026_Registre_Maintenance_V2[Equipementier],"Pas de correspondance")</f>
        <v>ZTE</v>
      </c>
    </row>
    <row r="504" spans="1:8" x14ac:dyDescent="0.25">
      <c r="A504" s="1">
        <v>45230.484027777777</v>
      </c>
      <c r="B504" s="4">
        <f>Log_Reseau_Master[[#This Row],[Duree_Panne_Min]]/1440</f>
        <v>2.5694444444444443E-2</v>
      </c>
      <c r="C504" t="s">
        <v>178</v>
      </c>
      <c r="D504">
        <v>37</v>
      </c>
      <c r="E504" t="s">
        <v>1312</v>
      </c>
      <c r="F504" t="str">
        <f>_xlfn.XLOOKUP(Log_Reseau_Master[[#This Row],[Cell_ID]],_29_03_2026_Registre_Maintenance_V2[ID_Antenne],_29_03_2026_Registre_Maintenance_V2[Province_RDC],"Pas de correspondance")</f>
        <v>Kongo-Central</v>
      </c>
      <c r="G504" t="str">
        <f>_xlfn.XLOOKUP(Log_Reseau_Master[[#This Row],[Cell_ID]],_29_03_2026_Registre_Maintenance_V2[ID_Antenne],_29_03_2026_Registre_Maintenance_V2[Technologie],"Pas de correspondance")</f>
        <v>5G</v>
      </c>
      <c r="H504" t="str">
        <f>_xlfn.XLOOKUP(Log_Reseau_Master[[#This Row],[Cell_ID]],_29_03_2026_Registre_Maintenance_V2[ID_Antenne],_29_03_2026_Registre_Maintenance_V2[Equipementier],"Pas de correspondance")</f>
        <v>ZTE</v>
      </c>
    </row>
    <row r="505" spans="1:8" hidden="1" x14ac:dyDescent="0.25">
      <c r="A505" s="1">
        <v>45221.095833333333</v>
      </c>
      <c r="B505">
        <f>Log_Reseau_Master[[#This Row],[Duree_Panne_Min]]/1440</f>
        <v>7.8472222222222221E-2</v>
      </c>
      <c r="C505" t="s">
        <v>1505</v>
      </c>
      <c r="D505">
        <v>113</v>
      </c>
      <c r="E505" t="s">
        <v>1321</v>
      </c>
      <c r="F505" t="str">
        <f>_xlfn.XLOOKUP(Log_Reseau_Master[[#This Row],[Cell_ID]],_29_03_2026_Registre_Maintenance_V2[ID_Antenne],_29_03_2026_Registre_Maintenance_V2[Province_RDC],"Pas de correspondance")</f>
        <v>Pas de correspondance</v>
      </c>
      <c r="G505" t="str">
        <f>_xlfn.XLOOKUP(Log_Reseau_Master[[#This Row],[Cell_ID]],_29_03_2026_Registre_Maintenance_V2[ID_Antenne],_29_03_2026_Registre_Maintenance_V2[Technologie],"Pas de correspondance")</f>
        <v>Pas de correspondance</v>
      </c>
      <c r="H505" t="str">
        <f>_xlfn.XLOOKUP(Log_Reseau_Master[[#This Row],[Cell_ID]],_29_03_2026_Registre_Maintenance_V2[ID_Antenne],_29_03_2026_Registre_Maintenance_V2[Equipementier],"Pas de correspondance")</f>
        <v>Pas de correspondance</v>
      </c>
    </row>
    <row r="506" spans="1:8" hidden="1" x14ac:dyDescent="0.25">
      <c r="A506" s="1">
        <v>45209.588194444441</v>
      </c>
      <c r="B506">
        <f>Log_Reseau_Master[[#This Row],[Duree_Panne_Min]]/1440</f>
        <v>2.8472222222222222E-2</v>
      </c>
      <c r="C506" t="s">
        <v>1505</v>
      </c>
      <c r="D506">
        <v>41</v>
      </c>
      <c r="E506" t="s">
        <v>1312</v>
      </c>
      <c r="F506" t="str">
        <f>_xlfn.XLOOKUP(Log_Reseau_Master[[#This Row],[Cell_ID]],_29_03_2026_Registre_Maintenance_V2[ID_Antenne],_29_03_2026_Registre_Maintenance_V2[Province_RDC],"Pas de correspondance")</f>
        <v>Pas de correspondance</v>
      </c>
      <c r="G506" t="str">
        <f>_xlfn.XLOOKUP(Log_Reseau_Master[[#This Row],[Cell_ID]],_29_03_2026_Registre_Maintenance_V2[ID_Antenne],_29_03_2026_Registre_Maintenance_V2[Technologie],"Pas de correspondance")</f>
        <v>Pas de correspondance</v>
      </c>
      <c r="H506" t="str">
        <f>_xlfn.XLOOKUP(Log_Reseau_Master[[#This Row],[Cell_ID]],_29_03_2026_Registre_Maintenance_V2[ID_Antenne],_29_03_2026_Registre_Maintenance_V2[Equipementier],"Pas de correspondance")</f>
        <v>Pas de correspondance</v>
      </c>
    </row>
    <row r="507" spans="1:8" x14ac:dyDescent="0.25">
      <c r="A507" s="1">
        <v>45216.137499999997</v>
      </c>
      <c r="B507" s="4">
        <f>Log_Reseau_Master[[#This Row],[Duree_Panne_Min]]/1440</f>
        <v>8.3333333333333329E-2</v>
      </c>
      <c r="C507" t="s">
        <v>176</v>
      </c>
      <c r="D507">
        <v>120</v>
      </c>
      <c r="E507" t="s">
        <v>1312</v>
      </c>
      <c r="F507" t="str">
        <f>_xlfn.XLOOKUP(Log_Reseau_Master[[#This Row],[Cell_ID]],_29_03_2026_Registre_Maintenance_V2[ID_Antenne],_29_03_2026_Registre_Maintenance_V2[Province_RDC],"Pas de correspondance")</f>
        <v>Mongala</v>
      </c>
      <c r="G507" t="str">
        <f>_xlfn.XLOOKUP(Log_Reseau_Master[[#This Row],[Cell_ID]],_29_03_2026_Registre_Maintenance_V2[ID_Antenne],_29_03_2026_Registre_Maintenance_V2[Technologie],"Pas de correspondance")</f>
        <v>5G</v>
      </c>
      <c r="H507" t="str">
        <f>_xlfn.XLOOKUP(Log_Reseau_Master[[#This Row],[Cell_ID]],_29_03_2026_Registre_Maintenance_V2[ID_Antenne],_29_03_2026_Registre_Maintenance_V2[Equipementier],"Pas de correspondance")</f>
        <v>Ericsson</v>
      </c>
    </row>
    <row r="508" spans="1:8" hidden="1" x14ac:dyDescent="0.25">
      <c r="A508" s="1">
        <v>45200.981944444444</v>
      </c>
      <c r="B508">
        <f>Log_Reseau_Master[[#This Row],[Duree_Panne_Min]]/1440</f>
        <v>6.805555555555555E-2</v>
      </c>
      <c r="C508" t="s">
        <v>1506</v>
      </c>
      <c r="D508">
        <v>98</v>
      </c>
      <c r="E508" t="s">
        <v>1314</v>
      </c>
      <c r="F508" t="str">
        <f>_xlfn.XLOOKUP(Log_Reseau_Master[[#This Row],[Cell_ID]],_29_03_2026_Registre_Maintenance_V2[ID_Antenne],_29_03_2026_Registre_Maintenance_V2[Province_RDC],"Pas de correspondance")</f>
        <v>Pas de correspondance</v>
      </c>
      <c r="G508" t="str">
        <f>_xlfn.XLOOKUP(Log_Reseau_Master[[#This Row],[Cell_ID]],_29_03_2026_Registre_Maintenance_V2[ID_Antenne],_29_03_2026_Registre_Maintenance_V2[Technologie],"Pas de correspondance")</f>
        <v>Pas de correspondance</v>
      </c>
      <c r="H508" t="str">
        <f>_xlfn.XLOOKUP(Log_Reseau_Master[[#This Row],[Cell_ID]],_29_03_2026_Registre_Maintenance_V2[ID_Antenne],_29_03_2026_Registre_Maintenance_V2[Equipementier],"Pas de correspondance")</f>
        <v>Pas de correspondance</v>
      </c>
    </row>
    <row r="509" spans="1:8" hidden="1" x14ac:dyDescent="0.25">
      <c r="A509" s="1">
        <v>45211.55972222222</v>
      </c>
      <c r="B509">
        <f>Log_Reseau_Master[[#This Row],[Duree_Panne_Min]]/1440</f>
        <v>4.791666666666667E-2</v>
      </c>
      <c r="C509" t="s">
        <v>1506</v>
      </c>
      <c r="D509">
        <v>69</v>
      </c>
      <c r="E509" t="s">
        <v>1312</v>
      </c>
      <c r="F509" t="str">
        <f>_xlfn.XLOOKUP(Log_Reseau_Master[[#This Row],[Cell_ID]],_29_03_2026_Registre_Maintenance_V2[ID_Antenne],_29_03_2026_Registre_Maintenance_V2[Province_RDC],"Pas de correspondance")</f>
        <v>Pas de correspondance</v>
      </c>
      <c r="G509" t="str">
        <f>_xlfn.XLOOKUP(Log_Reseau_Master[[#This Row],[Cell_ID]],_29_03_2026_Registre_Maintenance_V2[ID_Antenne],_29_03_2026_Registre_Maintenance_V2[Technologie],"Pas de correspondance")</f>
        <v>Pas de correspondance</v>
      </c>
      <c r="H509" t="str">
        <f>_xlfn.XLOOKUP(Log_Reseau_Master[[#This Row],[Cell_ID]],_29_03_2026_Registre_Maintenance_V2[ID_Antenne],_29_03_2026_Registre_Maintenance_V2[Equipementier],"Pas de correspondance")</f>
        <v>Pas de correspondance</v>
      </c>
    </row>
    <row r="510" spans="1:8" hidden="1" x14ac:dyDescent="0.25">
      <c r="A510" s="1">
        <v>45219.840277777781</v>
      </c>
      <c r="B510">
        <f>Log_Reseau_Master[[#This Row],[Duree_Panne_Min]]/1440</f>
        <v>6.3888888888888884E-2</v>
      </c>
      <c r="C510" t="s">
        <v>1506</v>
      </c>
      <c r="D510">
        <v>92</v>
      </c>
      <c r="E510" t="s">
        <v>1314</v>
      </c>
      <c r="F510" t="str">
        <f>_xlfn.XLOOKUP(Log_Reseau_Master[[#This Row],[Cell_ID]],_29_03_2026_Registre_Maintenance_V2[ID_Antenne],_29_03_2026_Registre_Maintenance_V2[Province_RDC],"Pas de correspondance")</f>
        <v>Pas de correspondance</v>
      </c>
      <c r="G510" t="str">
        <f>_xlfn.XLOOKUP(Log_Reseau_Master[[#This Row],[Cell_ID]],_29_03_2026_Registre_Maintenance_V2[ID_Antenne],_29_03_2026_Registre_Maintenance_V2[Technologie],"Pas de correspondance")</f>
        <v>Pas de correspondance</v>
      </c>
      <c r="H510" t="str">
        <f>_xlfn.XLOOKUP(Log_Reseau_Master[[#This Row],[Cell_ID]],_29_03_2026_Registre_Maintenance_V2[ID_Antenne],_29_03_2026_Registre_Maintenance_V2[Equipementier],"Pas de correspondance")</f>
        <v>Pas de correspondance</v>
      </c>
    </row>
    <row r="511" spans="1:8" x14ac:dyDescent="0.25">
      <c r="A511" s="1">
        <v>45218.270138888889</v>
      </c>
      <c r="B511" s="4">
        <f>Log_Reseau_Master[[#This Row],[Duree_Panne_Min]]/1440</f>
        <v>2.7777777777777776E-2</v>
      </c>
      <c r="C511" t="s">
        <v>529</v>
      </c>
      <c r="D511">
        <v>40</v>
      </c>
      <c r="E511" t="s">
        <v>1312</v>
      </c>
      <c r="F511" t="str">
        <f>_xlfn.XLOOKUP(Log_Reseau_Master[[#This Row],[Cell_ID]],_29_03_2026_Registre_Maintenance_V2[ID_Antenne],_29_03_2026_Registre_Maintenance_V2[Province_RDC],"Pas de correspondance")</f>
        <v>Haut-Uele</v>
      </c>
      <c r="G511" t="str">
        <f>_xlfn.XLOOKUP(Log_Reseau_Master[[#This Row],[Cell_ID]],_29_03_2026_Registre_Maintenance_V2[ID_Antenne],_29_03_2026_Registre_Maintenance_V2[Technologie],"Pas de correspondance")</f>
        <v>3G</v>
      </c>
      <c r="H511" t="str">
        <f>_xlfn.XLOOKUP(Log_Reseau_Master[[#This Row],[Cell_ID]],_29_03_2026_Registre_Maintenance_V2[ID_Antenne],_29_03_2026_Registre_Maintenance_V2[Equipementier],"Pas de correspondance")</f>
        <v>Huawei</v>
      </c>
    </row>
    <row r="512" spans="1:8" x14ac:dyDescent="0.25">
      <c r="A512" s="1">
        <v>45217.627083333333</v>
      </c>
      <c r="B512" s="4">
        <f>Log_Reseau_Master[[#This Row],[Duree_Panne_Min]]/1440</f>
        <v>2.2916666666666665E-2</v>
      </c>
      <c r="C512" t="s">
        <v>529</v>
      </c>
      <c r="D512">
        <v>33</v>
      </c>
      <c r="E512" t="s">
        <v>1314</v>
      </c>
      <c r="F512" t="str">
        <f>_xlfn.XLOOKUP(Log_Reseau_Master[[#This Row],[Cell_ID]],_29_03_2026_Registre_Maintenance_V2[ID_Antenne],_29_03_2026_Registre_Maintenance_V2[Province_RDC],"Pas de correspondance")</f>
        <v>Haut-Uele</v>
      </c>
      <c r="G512" t="str">
        <f>_xlfn.XLOOKUP(Log_Reseau_Master[[#This Row],[Cell_ID]],_29_03_2026_Registre_Maintenance_V2[ID_Antenne],_29_03_2026_Registre_Maintenance_V2[Technologie],"Pas de correspondance")</f>
        <v>3G</v>
      </c>
      <c r="H512" t="str">
        <f>_xlfn.XLOOKUP(Log_Reseau_Master[[#This Row],[Cell_ID]],_29_03_2026_Registre_Maintenance_V2[ID_Antenne],_29_03_2026_Registre_Maintenance_V2[Equipementier],"Pas de correspondance")</f>
        <v>Huawei</v>
      </c>
    </row>
    <row r="513" spans="1:8" x14ac:dyDescent="0.25">
      <c r="A513" s="1">
        <v>45212.599305555559</v>
      </c>
      <c r="B513" s="4">
        <f>Log_Reseau_Master[[#This Row],[Duree_Panne_Min]]/1440</f>
        <v>4.027777777777778E-2</v>
      </c>
      <c r="C513" t="s">
        <v>529</v>
      </c>
      <c r="D513">
        <v>58</v>
      </c>
      <c r="E513" t="s">
        <v>1312</v>
      </c>
      <c r="F513" t="str">
        <f>_xlfn.XLOOKUP(Log_Reseau_Master[[#This Row],[Cell_ID]],_29_03_2026_Registre_Maintenance_V2[ID_Antenne],_29_03_2026_Registre_Maintenance_V2[Province_RDC],"Pas de correspondance")</f>
        <v>Haut-Uele</v>
      </c>
      <c r="G513" t="str">
        <f>_xlfn.XLOOKUP(Log_Reseau_Master[[#This Row],[Cell_ID]],_29_03_2026_Registre_Maintenance_V2[ID_Antenne],_29_03_2026_Registre_Maintenance_V2[Technologie],"Pas de correspondance")</f>
        <v>3G</v>
      </c>
      <c r="H513" t="str">
        <f>_xlfn.XLOOKUP(Log_Reseau_Master[[#This Row],[Cell_ID]],_29_03_2026_Registre_Maintenance_V2[ID_Antenne],_29_03_2026_Registre_Maintenance_V2[Equipementier],"Pas de correspondance")</f>
        <v>Huawei</v>
      </c>
    </row>
    <row r="514" spans="1:8" x14ac:dyDescent="0.25">
      <c r="A514" s="1">
        <v>45228.57708333333</v>
      </c>
      <c r="B514" s="4">
        <f>Log_Reseau_Master[[#This Row],[Duree_Panne_Min]]/1440</f>
        <v>5.5555555555555552E-2</v>
      </c>
      <c r="C514" t="s">
        <v>529</v>
      </c>
      <c r="D514">
        <v>80</v>
      </c>
      <c r="E514" t="s">
        <v>1321</v>
      </c>
      <c r="F514" t="str">
        <f>_xlfn.XLOOKUP(Log_Reseau_Master[[#This Row],[Cell_ID]],_29_03_2026_Registre_Maintenance_V2[ID_Antenne],_29_03_2026_Registre_Maintenance_V2[Province_RDC],"Pas de correspondance")</f>
        <v>Haut-Uele</v>
      </c>
      <c r="G514" t="str">
        <f>_xlfn.XLOOKUP(Log_Reseau_Master[[#This Row],[Cell_ID]],_29_03_2026_Registre_Maintenance_V2[ID_Antenne],_29_03_2026_Registre_Maintenance_V2[Technologie],"Pas de correspondance")</f>
        <v>3G</v>
      </c>
      <c r="H514" t="str">
        <f>_xlfn.XLOOKUP(Log_Reseau_Master[[#This Row],[Cell_ID]],_29_03_2026_Registre_Maintenance_V2[ID_Antenne],_29_03_2026_Registre_Maintenance_V2[Equipementier],"Pas de correspondance")</f>
        <v>Huawei</v>
      </c>
    </row>
    <row r="515" spans="1:8" hidden="1" x14ac:dyDescent="0.25">
      <c r="A515" s="1">
        <v>45219.793749999997</v>
      </c>
      <c r="B515">
        <f>Log_Reseau_Master[[#This Row],[Duree_Panne_Min]]/1440</f>
        <v>2.9861111111111113E-2</v>
      </c>
      <c r="C515" t="s">
        <v>1507</v>
      </c>
      <c r="D515">
        <v>43</v>
      </c>
      <c r="E515" t="s">
        <v>1312</v>
      </c>
      <c r="F515" t="str">
        <f>_xlfn.XLOOKUP(Log_Reseau_Master[[#This Row],[Cell_ID]],_29_03_2026_Registre_Maintenance_V2[ID_Antenne],_29_03_2026_Registre_Maintenance_V2[Province_RDC],"Pas de correspondance")</f>
        <v>Pas de correspondance</v>
      </c>
      <c r="G515" t="str">
        <f>_xlfn.XLOOKUP(Log_Reseau_Master[[#This Row],[Cell_ID]],_29_03_2026_Registre_Maintenance_V2[ID_Antenne],_29_03_2026_Registre_Maintenance_V2[Technologie],"Pas de correspondance")</f>
        <v>Pas de correspondance</v>
      </c>
      <c r="H515" t="str">
        <f>_xlfn.XLOOKUP(Log_Reseau_Master[[#This Row],[Cell_ID]],_29_03_2026_Registre_Maintenance_V2[ID_Antenne],_29_03_2026_Registre_Maintenance_V2[Equipementier],"Pas de correspondance")</f>
        <v>Pas de correspondance</v>
      </c>
    </row>
    <row r="516" spans="1:8" x14ac:dyDescent="0.25">
      <c r="A516" s="1">
        <v>45214.168055555558</v>
      </c>
      <c r="B516" s="4">
        <f>Log_Reseau_Master[[#This Row],[Duree_Panne_Min]]/1440</f>
        <v>7.3611111111111113E-2</v>
      </c>
      <c r="C516" t="s">
        <v>521</v>
      </c>
      <c r="D516">
        <v>106</v>
      </c>
      <c r="E516" t="s">
        <v>1314</v>
      </c>
      <c r="F516" t="str">
        <f>_xlfn.XLOOKUP(Log_Reseau_Master[[#This Row],[Cell_ID]],_29_03_2026_Registre_Maintenance_V2[ID_Antenne],_29_03_2026_Registre_Maintenance_V2[Province_RDC],"Pas de correspondance")</f>
        <v>Sud-Kivu</v>
      </c>
      <c r="G516" t="str">
        <f>_xlfn.XLOOKUP(Log_Reseau_Master[[#This Row],[Cell_ID]],_29_03_2026_Registre_Maintenance_V2[ID_Antenne],_29_03_2026_Registre_Maintenance_V2[Technologie],"Pas de correspondance")</f>
        <v>5G</v>
      </c>
      <c r="H516" t="str">
        <f>_xlfn.XLOOKUP(Log_Reseau_Master[[#This Row],[Cell_ID]],_29_03_2026_Registre_Maintenance_V2[ID_Antenne],_29_03_2026_Registre_Maintenance_V2[Equipementier],"Pas de correspondance")</f>
        <v>Ericsson</v>
      </c>
    </row>
    <row r="517" spans="1:8" x14ac:dyDescent="0.25">
      <c r="A517" s="1">
        <v>45201.527777777781</v>
      </c>
      <c r="B517" s="4">
        <f>Log_Reseau_Master[[#This Row],[Duree_Panne_Min]]/1440</f>
        <v>1.3888888888888888E-2</v>
      </c>
      <c r="C517" t="s">
        <v>412</v>
      </c>
      <c r="D517">
        <v>20</v>
      </c>
      <c r="E517" t="s">
        <v>1312</v>
      </c>
      <c r="F517" t="str">
        <f>_xlfn.XLOOKUP(Log_Reseau_Master[[#This Row],[Cell_ID]],_29_03_2026_Registre_Maintenance_V2[ID_Antenne],_29_03_2026_Registre_Maintenance_V2[Province_RDC],"Pas de correspondance")</f>
        <v>Bas-Uele</v>
      </c>
      <c r="G517" t="str">
        <f>_xlfn.XLOOKUP(Log_Reseau_Master[[#This Row],[Cell_ID]],_29_03_2026_Registre_Maintenance_V2[ID_Antenne],_29_03_2026_Registre_Maintenance_V2[Technologie],"Pas de correspondance")</f>
        <v>4G</v>
      </c>
      <c r="H517" t="str">
        <f>_xlfn.XLOOKUP(Log_Reseau_Master[[#This Row],[Cell_ID]],_29_03_2026_Registre_Maintenance_V2[ID_Antenne],_29_03_2026_Registre_Maintenance_V2[Equipementier],"Pas de correspondance")</f>
        <v>Huawei</v>
      </c>
    </row>
    <row r="518" spans="1:8" hidden="1" x14ac:dyDescent="0.25">
      <c r="A518" s="1">
        <v>45203.615277777775</v>
      </c>
      <c r="B518">
        <f>Log_Reseau_Master[[#This Row],[Duree_Panne_Min]]/1440</f>
        <v>2.8472222222222222E-2</v>
      </c>
      <c r="C518" t="s">
        <v>1508</v>
      </c>
      <c r="D518">
        <v>41</v>
      </c>
      <c r="E518" t="s">
        <v>1314</v>
      </c>
      <c r="F518" t="str">
        <f>_xlfn.XLOOKUP(Log_Reseau_Master[[#This Row],[Cell_ID]],_29_03_2026_Registre_Maintenance_V2[ID_Antenne],_29_03_2026_Registre_Maintenance_V2[Province_RDC],"Pas de correspondance")</f>
        <v>Pas de correspondance</v>
      </c>
      <c r="G518" t="str">
        <f>_xlfn.XLOOKUP(Log_Reseau_Master[[#This Row],[Cell_ID]],_29_03_2026_Registre_Maintenance_V2[ID_Antenne],_29_03_2026_Registre_Maintenance_V2[Technologie],"Pas de correspondance")</f>
        <v>Pas de correspondance</v>
      </c>
      <c r="H518" t="str">
        <f>_xlfn.XLOOKUP(Log_Reseau_Master[[#This Row],[Cell_ID]],_29_03_2026_Registre_Maintenance_V2[ID_Antenne],_29_03_2026_Registre_Maintenance_V2[Equipementier],"Pas de correspondance")</f>
        <v>Pas de correspondance</v>
      </c>
    </row>
    <row r="519" spans="1:8" hidden="1" x14ac:dyDescent="0.25">
      <c r="A519" s="1">
        <v>45202.695138888892</v>
      </c>
      <c r="B519">
        <f>Log_Reseau_Master[[#This Row],[Duree_Panne_Min]]/1440</f>
        <v>3.4027777777777775E-2</v>
      </c>
      <c r="C519" t="s">
        <v>1509</v>
      </c>
      <c r="D519">
        <v>49</v>
      </c>
      <c r="E519" t="s">
        <v>1312</v>
      </c>
      <c r="F519" t="str">
        <f>_xlfn.XLOOKUP(Log_Reseau_Master[[#This Row],[Cell_ID]],_29_03_2026_Registre_Maintenance_V2[ID_Antenne],_29_03_2026_Registre_Maintenance_V2[Province_RDC],"Pas de correspondance")</f>
        <v>Pas de correspondance</v>
      </c>
      <c r="G519" t="str">
        <f>_xlfn.XLOOKUP(Log_Reseau_Master[[#This Row],[Cell_ID]],_29_03_2026_Registre_Maintenance_V2[ID_Antenne],_29_03_2026_Registre_Maintenance_V2[Technologie],"Pas de correspondance")</f>
        <v>Pas de correspondance</v>
      </c>
      <c r="H519" t="str">
        <f>_xlfn.XLOOKUP(Log_Reseau_Master[[#This Row],[Cell_ID]],_29_03_2026_Registre_Maintenance_V2[ID_Antenne],_29_03_2026_Registre_Maintenance_V2[Equipementier],"Pas de correspondance")</f>
        <v>Pas de correspondance</v>
      </c>
    </row>
    <row r="520" spans="1:8" x14ac:dyDescent="0.25">
      <c r="A520" s="1">
        <v>45214.943055555559</v>
      </c>
      <c r="B520" s="4">
        <f>Log_Reseau_Master[[#This Row],[Duree_Panne_Min]]/1440</f>
        <v>1.1111111111111112E-2</v>
      </c>
      <c r="C520" t="s">
        <v>508</v>
      </c>
      <c r="D520">
        <v>16</v>
      </c>
      <c r="E520" t="s">
        <v>1314</v>
      </c>
      <c r="F520" t="str">
        <f>_xlfn.XLOOKUP(Log_Reseau_Master[[#This Row],[Cell_ID]],_29_03_2026_Registre_Maintenance_V2[ID_Antenne],_29_03_2026_Registre_Maintenance_V2[Province_RDC],"Pas de correspondance")</f>
        <v>Haut-Lomami</v>
      </c>
      <c r="G520" t="str">
        <f>_xlfn.XLOOKUP(Log_Reseau_Master[[#This Row],[Cell_ID]],_29_03_2026_Registre_Maintenance_V2[ID_Antenne],_29_03_2026_Registre_Maintenance_V2[Technologie],"Pas de correspondance")</f>
        <v>4G</v>
      </c>
      <c r="H520" t="str">
        <f>_xlfn.XLOOKUP(Log_Reseau_Master[[#This Row],[Cell_ID]],_29_03_2026_Registre_Maintenance_V2[ID_Antenne],_29_03_2026_Registre_Maintenance_V2[Equipementier],"Pas de correspondance")</f>
        <v>Ericsson</v>
      </c>
    </row>
    <row r="521" spans="1:8" x14ac:dyDescent="0.25">
      <c r="A521" s="1">
        <v>45206.857638888891</v>
      </c>
      <c r="B521" s="4">
        <f>Log_Reseau_Master[[#This Row],[Duree_Panne_Min]]/1440</f>
        <v>3.125E-2</v>
      </c>
      <c r="C521" t="s">
        <v>508</v>
      </c>
      <c r="D521">
        <v>45</v>
      </c>
      <c r="E521" t="s">
        <v>1321</v>
      </c>
      <c r="F521" t="str">
        <f>_xlfn.XLOOKUP(Log_Reseau_Master[[#This Row],[Cell_ID]],_29_03_2026_Registre_Maintenance_V2[ID_Antenne],_29_03_2026_Registre_Maintenance_V2[Province_RDC],"Pas de correspondance")</f>
        <v>Haut-Lomami</v>
      </c>
      <c r="G521" t="str">
        <f>_xlfn.XLOOKUP(Log_Reseau_Master[[#This Row],[Cell_ID]],_29_03_2026_Registre_Maintenance_V2[ID_Antenne],_29_03_2026_Registre_Maintenance_V2[Technologie],"Pas de correspondance")</f>
        <v>4G</v>
      </c>
      <c r="H521" t="str">
        <f>_xlfn.XLOOKUP(Log_Reseau_Master[[#This Row],[Cell_ID]],_29_03_2026_Registre_Maintenance_V2[ID_Antenne],_29_03_2026_Registre_Maintenance_V2[Equipementier],"Pas de correspondance")</f>
        <v>Ericsson</v>
      </c>
    </row>
    <row r="522" spans="1:8" x14ac:dyDescent="0.25">
      <c r="A522" s="1">
        <v>45210.926388888889</v>
      </c>
      <c r="B522" s="4">
        <f>Log_Reseau_Master[[#This Row],[Duree_Panne_Min]]/1440</f>
        <v>3.125E-2</v>
      </c>
      <c r="C522" t="s">
        <v>508</v>
      </c>
      <c r="D522">
        <v>45</v>
      </c>
      <c r="E522" t="s">
        <v>1312</v>
      </c>
      <c r="F522" t="str">
        <f>_xlfn.XLOOKUP(Log_Reseau_Master[[#This Row],[Cell_ID]],_29_03_2026_Registre_Maintenance_V2[ID_Antenne],_29_03_2026_Registre_Maintenance_V2[Province_RDC],"Pas de correspondance")</f>
        <v>Haut-Lomami</v>
      </c>
      <c r="G522" t="str">
        <f>_xlfn.XLOOKUP(Log_Reseau_Master[[#This Row],[Cell_ID]],_29_03_2026_Registre_Maintenance_V2[ID_Antenne],_29_03_2026_Registre_Maintenance_V2[Technologie],"Pas de correspondance")</f>
        <v>4G</v>
      </c>
      <c r="H522" t="str">
        <f>_xlfn.XLOOKUP(Log_Reseau_Master[[#This Row],[Cell_ID]],_29_03_2026_Registre_Maintenance_V2[ID_Antenne],_29_03_2026_Registre_Maintenance_V2[Equipementier],"Pas de correspondance")</f>
        <v>Ericsson</v>
      </c>
    </row>
    <row r="523" spans="1:8" hidden="1" x14ac:dyDescent="0.25">
      <c r="A523" s="1">
        <v>45204.090277777781</v>
      </c>
      <c r="B523">
        <f>Log_Reseau_Master[[#This Row],[Duree_Panne_Min]]/1440</f>
        <v>6.458333333333334E-2</v>
      </c>
      <c r="C523" t="s">
        <v>1510</v>
      </c>
      <c r="D523">
        <v>93</v>
      </c>
      <c r="E523" t="s">
        <v>1321</v>
      </c>
      <c r="F523" t="str">
        <f>_xlfn.XLOOKUP(Log_Reseau_Master[[#This Row],[Cell_ID]],_29_03_2026_Registre_Maintenance_V2[ID_Antenne],_29_03_2026_Registre_Maintenance_V2[Province_RDC],"Pas de correspondance")</f>
        <v>Pas de correspondance</v>
      </c>
      <c r="G523" t="str">
        <f>_xlfn.XLOOKUP(Log_Reseau_Master[[#This Row],[Cell_ID]],_29_03_2026_Registre_Maintenance_V2[ID_Antenne],_29_03_2026_Registre_Maintenance_V2[Technologie],"Pas de correspondance")</f>
        <v>Pas de correspondance</v>
      </c>
      <c r="H523" t="str">
        <f>_xlfn.XLOOKUP(Log_Reseau_Master[[#This Row],[Cell_ID]],_29_03_2026_Registre_Maintenance_V2[ID_Antenne],_29_03_2026_Registre_Maintenance_V2[Equipementier],"Pas de correspondance")</f>
        <v>Pas de correspondance</v>
      </c>
    </row>
    <row r="524" spans="1:8" hidden="1" x14ac:dyDescent="0.25">
      <c r="A524" s="1">
        <v>45203.009027777778</v>
      </c>
      <c r="B524">
        <f>Log_Reseau_Master[[#This Row],[Duree_Panne_Min]]/1440</f>
        <v>3.4027777777777775E-2</v>
      </c>
      <c r="C524" t="s">
        <v>1510</v>
      </c>
      <c r="D524">
        <v>49</v>
      </c>
      <c r="E524" t="s">
        <v>1314</v>
      </c>
      <c r="F524" t="str">
        <f>_xlfn.XLOOKUP(Log_Reseau_Master[[#This Row],[Cell_ID]],_29_03_2026_Registre_Maintenance_V2[ID_Antenne],_29_03_2026_Registre_Maintenance_V2[Province_RDC],"Pas de correspondance")</f>
        <v>Pas de correspondance</v>
      </c>
      <c r="G524" t="str">
        <f>_xlfn.XLOOKUP(Log_Reseau_Master[[#This Row],[Cell_ID]],_29_03_2026_Registre_Maintenance_V2[ID_Antenne],_29_03_2026_Registre_Maintenance_V2[Technologie],"Pas de correspondance")</f>
        <v>Pas de correspondance</v>
      </c>
      <c r="H524" t="str">
        <f>_xlfn.XLOOKUP(Log_Reseau_Master[[#This Row],[Cell_ID]],_29_03_2026_Registre_Maintenance_V2[ID_Antenne],_29_03_2026_Registre_Maintenance_V2[Equipementier],"Pas de correspondance")</f>
        <v>Pas de correspondance</v>
      </c>
    </row>
    <row r="525" spans="1:8" hidden="1" x14ac:dyDescent="0.25">
      <c r="A525" s="1">
        <v>45217.28125</v>
      </c>
      <c r="B525">
        <f>Log_Reseau_Master[[#This Row],[Duree_Panne_Min]]/1440</f>
        <v>3.5416666666666666E-2</v>
      </c>
      <c r="C525" t="s">
        <v>1511</v>
      </c>
      <c r="D525">
        <v>51</v>
      </c>
      <c r="E525" t="s">
        <v>1312</v>
      </c>
      <c r="F525" t="str">
        <f>_xlfn.XLOOKUP(Log_Reseau_Master[[#This Row],[Cell_ID]],_29_03_2026_Registre_Maintenance_V2[ID_Antenne],_29_03_2026_Registre_Maintenance_V2[Province_RDC],"Pas de correspondance")</f>
        <v>Pas de correspondance</v>
      </c>
      <c r="G525" t="str">
        <f>_xlfn.XLOOKUP(Log_Reseau_Master[[#This Row],[Cell_ID]],_29_03_2026_Registre_Maintenance_V2[ID_Antenne],_29_03_2026_Registre_Maintenance_V2[Technologie],"Pas de correspondance")</f>
        <v>Pas de correspondance</v>
      </c>
      <c r="H525" t="str">
        <f>_xlfn.XLOOKUP(Log_Reseau_Master[[#This Row],[Cell_ID]],_29_03_2026_Registre_Maintenance_V2[ID_Antenne],_29_03_2026_Registre_Maintenance_V2[Equipementier],"Pas de correspondance")</f>
        <v>Pas de correspondance</v>
      </c>
    </row>
    <row r="526" spans="1:8" x14ac:dyDescent="0.25">
      <c r="A526" s="1">
        <v>45227.527083333334</v>
      </c>
      <c r="B526" s="4">
        <f>Log_Reseau_Master[[#This Row],[Duree_Panne_Min]]/1440</f>
        <v>7.4305555555555555E-2</v>
      </c>
      <c r="C526" t="s">
        <v>90</v>
      </c>
      <c r="D526">
        <v>107</v>
      </c>
      <c r="E526" t="s">
        <v>1312</v>
      </c>
      <c r="F526" t="str">
        <f>_xlfn.XLOOKUP(Log_Reseau_Master[[#This Row],[Cell_ID]],_29_03_2026_Registre_Maintenance_V2[ID_Antenne],_29_03_2026_Registre_Maintenance_V2[Province_RDC],"Pas de correspondance")</f>
        <v>Tanganyika</v>
      </c>
      <c r="G526" t="str">
        <f>_xlfn.XLOOKUP(Log_Reseau_Master[[#This Row],[Cell_ID]],_29_03_2026_Registre_Maintenance_V2[ID_Antenne],_29_03_2026_Registre_Maintenance_V2[Technologie],"Pas de correspondance")</f>
        <v>5G</v>
      </c>
      <c r="H526" t="str">
        <f>_xlfn.XLOOKUP(Log_Reseau_Master[[#This Row],[Cell_ID]],_29_03_2026_Registre_Maintenance_V2[ID_Antenne],_29_03_2026_Registre_Maintenance_V2[Equipementier],"Pas de correspondance")</f>
        <v>ZTE</v>
      </c>
    </row>
    <row r="527" spans="1:8" x14ac:dyDescent="0.25">
      <c r="A527" s="1">
        <v>45229.39166666667</v>
      </c>
      <c r="B527" s="4">
        <f>Log_Reseau_Master[[#This Row],[Duree_Panne_Min]]/1440</f>
        <v>1.9444444444444445E-2</v>
      </c>
      <c r="C527" t="s">
        <v>97</v>
      </c>
      <c r="D527">
        <v>28</v>
      </c>
      <c r="E527" t="s">
        <v>1321</v>
      </c>
      <c r="F527" t="str">
        <f>_xlfn.XLOOKUP(Log_Reseau_Master[[#This Row],[Cell_ID]],_29_03_2026_Registre_Maintenance_V2[ID_Antenne],_29_03_2026_Registre_Maintenance_V2[Province_RDC],"Pas de correspondance")</f>
        <v>Lualaba</v>
      </c>
      <c r="G527" t="str">
        <f>_xlfn.XLOOKUP(Log_Reseau_Master[[#This Row],[Cell_ID]],_29_03_2026_Registre_Maintenance_V2[ID_Antenne],_29_03_2026_Registre_Maintenance_V2[Technologie],"Pas de correspondance")</f>
        <v>4G</v>
      </c>
      <c r="H527" t="str">
        <f>_xlfn.XLOOKUP(Log_Reseau_Master[[#This Row],[Cell_ID]],_29_03_2026_Registre_Maintenance_V2[ID_Antenne],_29_03_2026_Registre_Maintenance_V2[Equipementier],"Pas de correspondance")</f>
        <v>Ericsson</v>
      </c>
    </row>
    <row r="528" spans="1:8" x14ac:dyDescent="0.25">
      <c r="A528" s="1">
        <v>45216.183333333334</v>
      </c>
      <c r="B528" s="4">
        <f>Log_Reseau_Master[[#This Row],[Duree_Panne_Min]]/1440</f>
        <v>4.6527777777777779E-2</v>
      </c>
      <c r="C528" t="s">
        <v>97</v>
      </c>
      <c r="D528">
        <v>67</v>
      </c>
      <c r="E528" t="s">
        <v>1312</v>
      </c>
      <c r="F528" t="str">
        <f>_xlfn.XLOOKUP(Log_Reseau_Master[[#This Row],[Cell_ID]],_29_03_2026_Registre_Maintenance_V2[ID_Antenne],_29_03_2026_Registre_Maintenance_V2[Province_RDC],"Pas de correspondance")</f>
        <v>Lualaba</v>
      </c>
      <c r="G528" t="str">
        <f>_xlfn.XLOOKUP(Log_Reseau_Master[[#This Row],[Cell_ID]],_29_03_2026_Registre_Maintenance_V2[ID_Antenne],_29_03_2026_Registre_Maintenance_V2[Technologie],"Pas de correspondance")</f>
        <v>4G</v>
      </c>
      <c r="H528" t="str">
        <f>_xlfn.XLOOKUP(Log_Reseau_Master[[#This Row],[Cell_ID]],_29_03_2026_Registre_Maintenance_V2[ID_Antenne],_29_03_2026_Registre_Maintenance_V2[Equipementier],"Pas de correspondance")</f>
        <v>Ericsson</v>
      </c>
    </row>
    <row r="529" spans="1:8" x14ac:dyDescent="0.25">
      <c r="A529" s="1">
        <v>45217.999305555553</v>
      </c>
      <c r="B529" s="4">
        <f>Log_Reseau_Master[[#This Row],[Duree_Panne_Min]]/1440</f>
        <v>2.6388888888888889E-2</v>
      </c>
      <c r="C529" t="s">
        <v>97</v>
      </c>
      <c r="D529">
        <v>38</v>
      </c>
      <c r="E529" t="s">
        <v>1312</v>
      </c>
      <c r="F529" t="str">
        <f>_xlfn.XLOOKUP(Log_Reseau_Master[[#This Row],[Cell_ID]],_29_03_2026_Registre_Maintenance_V2[ID_Antenne],_29_03_2026_Registre_Maintenance_V2[Province_RDC],"Pas de correspondance")</f>
        <v>Lualaba</v>
      </c>
      <c r="G529" t="str">
        <f>_xlfn.XLOOKUP(Log_Reseau_Master[[#This Row],[Cell_ID]],_29_03_2026_Registre_Maintenance_V2[ID_Antenne],_29_03_2026_Registre_Maintenance_V2[Technologie],"Pas de correspondance")</f>
        <v>4G</v>
      </c>
      <c r="H529" t="str">
        <f>_xlfn.XLOOKUP(Log_Reseau_Master[[#This Row],[Cell_ID]],_29_03_2026_Registre_Maintenance_V2[ID_Antenne],_29_03_2026_Registre_Maintenance_V2[Equipementier],"Pas de correspondance")</f>
        <v>Ericsson</v>
      </c>
    </row>
    <row r="530" spans="1:8" x14ac:dyDescent="0.25">
      <c r="A530" s="1">
        <v>45223.990972222222</v>
      </c>
      <c r="B530" s="4">
        <f>Log_Reseau_Master[[#This Row],[Duree_Panne_Min]]/1440</f>
        <v>1.5972222222222221E-2</v>
      </c>
      <c r="C530" t="s">
        <v>278</v>
      </c>
      <c r="D530">
        <v>23</v>
      </c>
      <c r="E530" t="s">
        <v>1314</v>
      </c>
      <c r="F530" t="str">
        <f>_xlfn.XLOOKUP(Log_Reseau_Master[[#This Row],[Cell_ID]],_29_03_2026_Registre_Maintenance_V2[ID_Antenne],_29_03_2026_Registre_Maintenance_V2[Province_RDC],"Pas de correspondance")</f>
        <v>Sankuru</v>
      </c>
      <c r="G530" t="str">
        <f>_xlfn.XLOOKUP(Log_Reseau_Master[[#This Row],[Cell_ID]],_29_03_2026_Registre_Maintenance_V2[ID_Antenne],_29_03_2026_Registre_Maintenance_V2[Technologie],"Pas de correspondance")</f>
        <v>5G</v>
      </c>
      <c r="H530" t="str">
        <f>_xlfn.XLOOKUP(Log_Reseau_Master[[#This Row],[Cell_ID]],_29_03_2026_Registre_Maintenance_V2[ID_Antenne],_29_03_2026_Registre_Maintenance_V2[Equipementier],"Pas de correspondance")</f>
        <v>Nokia</v>
      </c>
    </row>
    <row r="531" spans="1:8" hidden="1" x14ac:dyDescent="0.25">
      <c r="A531" s="1">
        <v>45201.640972222223</v>
      </c>
      <c r="B531">
        <f>Log_Reseau_Master[[#This Row],[Duree_Panne_Min]]/1440</f>
        <v>5.9722222222222225E-2</v>
      </c>
      <c r="C531" t="s">
        <v>1512</v>
      </c>
      <c r="D531">
        <v>86</v>
      </c>
      <c r="E531" t="s">
        <v>1321</v>
      </c>
      <c r="F531" t="str">
        <f>_xlfn.XLOOKUP(Log_Reseau_Master[[#This Row],[Cell_ID]],_29_03_2026_Registre_Maintenance_V2[ID_Antenne],_29_03_2026_Registre_Maintenance_V2[Province_RDC],"Pas de correspondance")</f>
        <v>Pas de correspondance</v>
      </c>
      <c r="G531" t="str">
        <f>_xlfn.XLOOKUP(Log_Reseau_Master[[#This Row],[Cell_ID]],_29_03_2026_Registre_Maintenance_V2[ID_Antenne],_29_03_2026_Registre_Maintenance_V2[Technologie],"Pas de correspondance")</f>
        <v>Pas de correspondance</v>
      </c>
      <c r="H531" t="str">
        <f>_xlfn.XLOOKUP(Log_Reseau_Master[[#This Row],[Cell_ID]],_29_03_2026_Registre_Maintenance_V2[ID_Antenne],_29_03_2026_Registre_Maintenance_V2[Equipementier],"Pas de correspondance")</f>
        <v>Pas de correspondance</v>
      </c>
    </row>
    <row r="532" spans="1:8" hidden="1" x14ac:dyDescent="0.25">
      <c r="A532" s="1">
        <v>45203.893750000003</v>
      </c>
      <c r="B532">
        <f>Log_Reseau_Master[[#This Row],[Duree_Panne_Min]]/1440</f>
        <v>2.2222222222222223E-2</v>
      </c>
      <c r="C532" t="s">
        <v>1512</v>
      </c>
      <c r="D532">
        <v>32</v>
      </c>
      <c r="E532" t="s">
        <v>1314</v>
      </c>
      <c r="F532" t="str">
        <f>_xlfn.XLOOKUP(Log_Reseau_Master[[#This Row],[Cell_ID]],_29_03_2026_Registre_Maintenance_V2[ID_Antenne],_29_03_2026_Registre_Maintenance_V2[Province_RDC],"Pas de correspondance")</f>
        <v>Pas de correspondance</v>
      </c>
      <c r="G532" t="str">
        <f>_xlfn.XLOOKUP(Log_Reseau_Master[[#This Row],[Cell_ID]],_29_03_2026_Registre_Maintenance_V2[ID_Antenne],_29_03_2026_Registre_Maintenance_V2[Technologie],"Pas de correspondance")</f>
        <v>Pas de correspondance</v>
      </c>
      <c r="H532" t="str">
        <f>_xlfn.XLOOKUP(Log_Reseau_Master[[#This Row],[Cell_ID]],_29_03_2026_Registre_Maintenance_V2[ID_Antenne],_29_03_2026_Registre_Maintenance_V2[Equipementier],"Pas de correspondance")</f>
        <v>Pas de correspondance</v>
      </c>
    </row>
    <row r="533" spans="1:8" hidden="1" x14ac:dyDescent="0.25">
      <c r="A533" s="1">
        <v>45208.172222222223</v>
      </c>
      <c r="B533">
        <f>Log_Reseau_Master[[#This Row],[Duree_Panne_Min]]/1440</f>
        <v>6.0416666666666667E-2</v>
      </c>
      <c r="C533" t="s">
        <v>1512</v>
      </c>
      <c r="D533">
        <v>87</v>
      </c>
      <c r="E533" t="s">
        <v>1314</v>
      </c>
      <c r="F533" t="str">
        <f>_xlfn.XLOOKUP(Log_Reseau_Master[[#This Row],[Cell_ID]],_29_03_2026_Registre_Maintenance_V2[ID_Antenne],_29_03_2026_Registre_Maintenance_V2[Province_RDC],"Pas de correspondance")</f>
        <v>Pas de correspondance</v>
      </c>
      <c r="G533" t="str">
        <f>_xlfn.XLOOKUP(Log_Reseau_Master[[#This Row],[Cell_ID]],_29_03_2026_Registre_Maintenance_V2[ID_Antenne],_29_03_2026_Registre_Maintenance_V2[Technologie],"Pas de correspondance")</f>
        <v>Pas de correspondance</v>
      </c>
      <c r="H533" t="str">
        <f>_xlfn.XLOOKUP(Log_Reseau_Master[[#This Row],[Cell_ID]],_29_03_2026_Registre_Maintenance_V2[ID_Antenne],_29_03_2026_Registre_Maintenance_V2[Equipementier],"Pas de correspondance")</f>
        <v>Pas de correspondance</v>
      </c>
    </row>
    <row r="534" spans="1:8" x14ac:dyDescent="0.25">
      <c r="A534" s="1">
        <v>45218.368750000001</v>
      </c>
      <c r="B534" s="4">
        <f>Log_Reseau_Master[[#This Row],[Duree_Panne_Min]]/1440</f>
        <v>4.8611111111111112E-2</v>
      </c>
      <c r="C534" t="s">
        <v>50</v>
      </c>
      <c r="D534">
        <v>70</v>
      </c>
      <c r="E534" t="s">
        <v>1314</v>
      </c>
      <c r="F534" t="str">
        <f>_xlfn.XLOOKUP(Log_Reseau_Master[[#This Row],[Cell_ID]],_29_03_2026_Registre_Maintenance_V2[ID_Antenne],_29_03_2026_Registre_Maintenance_V2[Province_RDC],"Pas de correspondance")</f>
        <v>Lomami</v>
      </c>
      <c r="G534" t="str">
        <f>_xlfn.XLOOKUP(Log_Reseau_Master[[#This Row],[Cell_ID]],_29_03_2026_Registre_Maintenance_V2[ID_Antenne],_29_03_2026_Registre_Maintenance_V2[Technologie],"Pas de correspondance")</f>
        <v>4G</v>
      </c>
      <c r="H534" t="str">
        <f>_xlfn.XLOOKUP(Log_Reseau_Master[[#This Row],[Cell_ID]],_29_03_2026_Registre_Maintenance_V2[ID_Antenne],_29_03_2026_Registre_Maintenance_V2[Equipementier],"Pas de correspondance")</f>
        <v>Huawei</v>
      </c>
    </row>
    <row r="535" spans="1:8" x14ac:dyDescent="0.25">
      <c r="A535" s="1">
        <v>45208.073611111111</v>
      </c>
      <c r="B535" s="4">
        <f>Log_Reseau_Master[[#This Row],[Duree_Panne_Min]]/1440</f>
        <v>5.9027777777777776E-2</v>
      </c>
      <c r="C535" t="s">
        <v>50</v>
      </c>
      <c r="D535">
        <v>85</v>
      </c>
      <c r="E535" t="s">
        <v>1312</v>
      </c>
      <c r="F535" t="str">
        <f>_xlfn.XLOOKUP(Log_Reseau_Master[[#This Row],[Cell_ID]],_29_03_2026_Registre_Maintenance_V2[ID_Antenne],_29_03_2026_Registre_Maintenance_V2[Province_RDC],"Pas de correspondance")</f>
        <v>Lomami</v>
      </c>
      <c r="G535" t="str">
        <f>_xlfn.XLOOKUP(Log_Reseau_Master[[#This Row],[Cell_ID]],_29_03_2026_Registre_Maintenance_V2[ID_Antenne],_29_03_2026_Registre_Maintenance_V2[Technologie],"Pas de correspondance")</f>
        <v>4G</v>
      </c>
      <c r="H535" t="str">
        <f>_xlfn.XLOOKUP(Log_Reseau_Master[[#This Row],[Cell_ID]],_29_03_2026_Registre_Maintenance_V2[ID_Antenne],_29_03_2026_Registre_Maintenance_V2[Equipementier],"Pas de correspondance")</f>
        <v>Huawei</v>
      </c>
    </row>
    <row r="536" spans="1:8" x14ac:dyDescent="0.25">
      <c r="A536" s="1">
        <v>45214.23541666667</v>
      </c>
      <c r="B536" s="4">
        <f>Log_Reseau_Master[[#This Row],[Duree_Panne_Min]]/1440</f>
        <v>2.2916666666666665E-2</v>
      </c>
      <c r="C536" t="s">
        <v>380</v>
      </c>
      <c r="D536">
        <v>33</v>
      </c>
      <c r="E536" t="s">
        <v>1314</v>
      </c>
      <c r="F536" t="str">
        <f>_xlfn.XLOOKUP(Log_Reseau_Master[[#This Row],[Cell_ID]],_29_03_2026_Registre_Maintenance_V2[ID_Antenne],_29_03_2026_Registre_Maintenance_V2[Province_RDC],"Pas de correspondance")</f>
        <v>Maniema</v>
      </c>
      <c r="G536" t="str">
        <f>_xlfn.XLOOKUP(Log_Reseau_Master[[#This Row],[Cell_ID]],_29_03_2026_Registre_Maintenance_V2[ID_Antenne],_29_03_2026_Registre_Maintenance_V2[Technologie],"Pas de correspondance")</f>
        <v>4G</v>
      </c>
      <c r="H536" t="str">
        <f>_xlfn.XLOOKUP(Log_Reseau_Master[[#This Row],[Cell_ID]],_29_03_2026_Registre_Maintenance_V2[ID_Antenne],_29_03_2026_Registre_Maintenance_V2[Equipementier],"Pas de correspondance")</f>
        <v>Ericsson</v>
      </c>
    </row>
    <row r="537" spans="1:8" hidden="1" x14ac:dyDescent="0.25">
      <c r="A537" s="1">
        <v>45218.659722222219</v>
      </c>
      <c r="B537">
        <f>Log_Reseau_Master[[#This Row],[Duree_Panne_Min]]/1440</f>
        <v>1.6666666666666666E-2</v>
      </c>
      <c r="C537" t="s">
        <v>1513</v>
      </c>
      <c r="D537">
        <v>24</v>
      </c>
      <c r="E537" t="s">
        <v>1314</v>
      </c>
      <c r="F537" t="str">
        <f>_xlfn.XLOOKUP(Log_Reseau_Master[[#This Row],[Cell_ID]],_29_03_2026_Registre_Maintenance_V2[ID_Antenne],_29_03_2026_Registre_Maintenance_V2[Province_RDC],"Pas de correspondance")</f>
        <v>Pas de correspondance</v>
      </c>
      <c r="G537" t="str">
        <f>_xlfn.XLOOKUP(Log_Reseau_Master[[#This Row],[Cell_ID]],_29_03_2026_Registre_Maintenance_V2[ID_Antenne],_29_03_2026_Registre_Maintenance_V2[Technologie],"Pas de correspondance")</f>
        <v>Pas de correspondance</v>
      </c>
      <c r="H537" t="str">
        <f>_xlfn.XLOOKUP(Log_Reseau_Master[[#This Row],[Cell_ID]],_29_03_2026_Registre_Maintenance_V2[ID_Antenne],_29_03_2026_Registre_Maintenance_V2[Equipementier],"Pas de correspondance")</f>
        <v>Pas de correspondance</v>
      </c>
    </row>
    <row r="538" spans="1:8" x14ac:dyDescent="0.25">
      <c r="A538" s="1">
        <v>45207.526388888888</v>
      </c>
      <c r="B538" s="4">
        <f>Log_Reseau_Master[[#This Row],[Duree_Panne_Min]]/1440</f>
        <v>5.4166666666666669E-2</v>
      </c>
      <c r="C538" t="s">
        <v>91</v>
      </c>
      <c r="D538">
        <v>78</v>
      </c>
      <c r="E538" t="s">
        <v>1321</v>
      </c>
      <c r="F538" t="str">
        <f>_xlfn.XLOOKUP(Log_Reseau_Master[[#This Row],[Cell_ID]],_29_03_2026_Registre_Maintenance_V2[ID_Antenne],_29_03_2026_Registre_Maintenance_V2[Province_RDC],"Pas de correspondance")</f>
        <v>Haut-Katanga</v>
      </c>
      <c r="G538" t="str">
        <f>_xlfn.XLOOKUP(Log_Reseau_Master[[#This Row],[Cell_ID]],_29_03_2026_Registre_Maintenance_V2[ID_Antenne],_29_03_2026_Registre_Maintenance_V2[Technologie],"Pas de correspondance")</f>
        <v>3G</v>
      </c>
      <c r="H538" t="str">
        <f>_xlfn.XLOOKUP(Log_Reseau_Master[[#This Row],[Cell_ID]],_29_03_2026_Registre_Maintenance_V2[ID_Antenne],_29_03_2026_Registre_Maintenance_V2[Equipementier],"Pas de correspondance")</f>
        <v>Ericsson</v>
      </c>
    </row>
    <row r="539" spans="1:8" x14ac:dyDescent="0.25">
      <c r="A539" s="1">
        <v>45203.522222222222</v>
      </c>
      <c r="B539" s="4">
        <f>Log_Reseau_Master[[#This Row],[Duree_Panne_Min]]/1440</f>
        <v>7.6388888888888886E-3</v>
      </c>
      <c r="C539" t="s">
        <v>260</v>
      </c>
      <c r="D539">
        <v>11</v>
      </c>
      <c r="E539" t="s">
        <v>1312</v>
      </c>
      <c r="F539" t="str">
        <f>_xlfn.XLOOKUP(Log_Reseau_Master[[#This Row],[Cell_ID]],_29_03_2026_Registre_Maintenance_V2[ID_Antenne],_29_03_2026_Registre_Maintenance_V2[Province_RDC],"Pas de correspondance")</f>
        <v>Kwilu</v>
      </c>
      <c r="G539" t="str">
        <f>_xlfn.XLOOKUP(Log_Reseau_Master[[#This Row],[Cell_ID]],_29_03_2026_Registre_Maintenance_V2[ID_Antenne],_29_03_2026_Registre_Maintenance_V2[Technologie],"Pas de correspondance")</f>
        <v>4G</v>
      </c>
      <c r="H539" t="str">
        <f>_xlfn.XLOOKUP(Log_Reseau_Master[[#This Row],[Cell_ID]],_29_03_2026_Registre_Maintenance_V2[ID_Antenne],_29_03_2026_Registre_Maintenance_V2[Equipementier],"Pas de correspondance")</f>
        <v>Huawei</v>
      </c>
    </row>
    <row r="540" spans="1:8" x14ac:dyDescent="0.25">
      <c r="A540" s="1">
        <v>45202.376388888886</v>
      </c>
      <c r="B540" s="4">
        <f>Log_Reseau_Master[[#This Row],[Duree_Panne_Min]]/1440</f>
        <v>1.9444444444444445E-2</v>
      </c>
      <c r="C540" t="s">
        <v>260</v>
      </c>
      <c r="D540">
        <v>28</v>
      </c>
      <c r="E540" t="s">
        <v>1314</v>
      </c>
      <c r="F540" t="str">
        <f>_xlfn.XLOOKUP(Log_Reseau_Master[[#This Row],[Cell_ID]],_29_03_2026_Registre_Maintenance_V2[ID_Antenne],_29_03_2026_Registre_Maintenance_V2[Province_RDC],"Pas de correspondance")</f>
        <v>Kwilu</v>
      </c>
      <c r="G540" t="str">
        <f>_xlfn.XLOOKUP(Log_Reseau_Master[[#This Row],[Cell_ID]],_29_03_2026_Registre_Maintenance_V2[ID_Antenne],_29_03_2026_Registre_Maintenance_V2[Technologie],"Pas de correspondance")</f>
        <v>4G</v>
      </c>
      <c r="H540" t="str">
        <f>_xlfn.XLOOKUP(Log_Reseau_Master[[#This Row],[Cell_ID]],_29_03_2026_Registre_Maintenance_V2[ID_Antenne],_29_03_2026_Registre_Maintenance_V2[Equipementier],"Pas de correspondance")</f>
        <v>Huawei</v>
      </c>
    </row>
    <row r="541" spans="1:8" x14ac:dyDescent="0.25">
      <c r="A541" s="1">
        <v>45212.447222222225</v>
      </c>
      <c r="B541" s="4">
        <f>Log_Reseau_Master[[#This Row],[Duree_Panne_Min]]/1440</f>
        <v>6.1111111111111109E-2</v>
      </c>
      <c r="C541" t="s">
        <v>260</v>
      </c>
      <c r="D541">
        <v>88</v>
      </c>
      <c r="E541" t="s">
        <v>1312</v>
      </c>
      <c r="F541" t="str">
        <f>_xlfn.XLOOKUP(Log_Reseau_Master[[#This Row],[Cell_ID]],_29_03_2026_Registre_Maintenance_V2[ID_Antenne],_29_03_2026_Registre_Maintenance_V2[Province_RDC],"Pas de correspondance")</f>
        <v>Kwilu</v>
      </c>
      <c r="G541" t="str">
        <f>_xlfn.XLOOKUP(Log_Reseau_Master[[#This Row],[Cell_ID]],_29_03_2026_Registre_Maintenance_V2[ID_Antenne],_29_03_2026_Registre_Maintenance_V2[Technologie],"Pas de correspondance")</f>
        <v>4G</v>
      </c>
      <c r="H541" t="str">
        <f>_xlfn.XLOOKUP(Log_Reseau_Master[[#This Row],[Cell_ID]],_29_03_2026_Registre_Maintenance_V2[ID_Antenne],_29_03_2026_Registre_Maintenance_V2[Equipementier],"Pas de correspondance")</f>
        <v>Huawei</v>
      </c>
    </row>
    <row r="542" spans="1:8" x14ac:dyDescent="0.25">
      <c r="A542" s="1">
        <v>45220.15902777778</v>
      </c>
      <c r="B542" s="4">
        <f>Log_Reseau_Master[[#This Row],[Duree_Panne_Min]]/1440</f>
        <v>4.1666666666666664E-2</v>
      </c>
      <c r="C542" t="s">
        <v>467</v>
      </c>
      <c r="D542">
        <v>60</v>
      </c>
      <c r="E542" t="s">
        <v>1321</v>
      </c>
      <c r="F542" t="str">
        <f>_xlfn.XLOOKUP(Log_Reseau_Master[[#This Row],[Cell_ID]],_29_03_2026_Registre_Maintenance_V2[ID_Antenne],_29_03_2026_Registre_Maintenance_V2[Province_RDC],"Pas de correspondance")</f>
        <v>Tshopo</v>
      </c>
      <c r="G542" t="str">
        <f>_xlfn.XLOOKUP(Log_Reseau_Master[[#This Row],[Cell_ID]],_29_03_2026_Registre_Maintenance_V2[ID_Antenne],_29_03_2026_Registre_Maintenance_V2[Technologie],"Pas de correspondance")</f>
        <v>4G</v>
      </c>
      <c r="H542" t="str">
        <f>_xlfn.XLOOKUP(Log_Reseau_Master[[#This Row],[Cell_ID]],_29_03_2026_Registre_Maintenance_V2[ID_Antenne],_29_03_2026_Registre_Maintenance_V2[Equipementier],"Pas de correspondance")</f>
        <v>Huawei</v>
      </c>
    </row>
    <row r="543" spans="1:8" x14ac:dyDescent="0.25">
      <c r="A543" s="1">
        <v>45221.772222222222</v>
      </c>
      <c r="B543" s="4">
        <f>Log_Reseau_Master[[#This Row],[Duree_Panne_Min]]/1440</f>
        <v>7.4305555555555555E-2</v>
      </c>
      <c r="C543" t="s">
        <v>107</v>
      </c>
      <c r="D543">
        <v>107</v>
      </c>
      <c r="E543" t="s">
        <v>1314</v>
      </c>
      <c r="F543" t="str">
        <f>_xlfn.XLOOKUP(Log_Reseau_Master[[#This Row],[Cell_ID]],_29_03_2026_Registre_Maintenance_V2[ID_Antenne],_29_03_2026_Registre_Maintenance_V2[Province_RDC],"Pas de correspondance")</f>
        <v>Kasai-Central</v>
      </c>
      <c r="G543" t="str">
        <f>_xlfn.XLOOKUP(Log_Reseau_Master[[#This Row],[Cell_ID]],_29_03_2026_Registre_Maintenance_V2[ID_Antenne],_29_03_2026_Registre_Maintenance_V2[Technologie],"Pas de correspondance")</f>
        <v>4G</v>
      </c>
      <c r="H543" t="str">
        <f>_xlfn.XLOOKUP(Log_Reseau_Master[[#This Row],[Cell_ID]],_29_03_2026_Registre_Maintenance_V2[ID_Antenne],_29_03_2026_Registre_Maintenance_V2[Equipementier],"Pas de correspondance")</f>
        <v>Ericsson</v>
      </c>
    </row>
    <row r="544" spans="1:8" x14ac:dyDescent="0.25">
      <c r="A544" s="1">
        <v>45218.378472222219</v>
      </c>
      <c r="B544" s="4">
        <f>Log_Reseau_Master[[#This Row],[Duree_Panne_Min]]/1440</f>
        <v>7.0833333333333331E-2</v>
      </c>
      <c r="C544" t="s">
        <v>107</v>
      </c>
      <c r="D544">
        <v>102</v>
      </c>
      <c r="E544" t="s">
        <v>1314</v>
      </c>
      <c r="F544" t="str">
        <f>_xlfn.XLOOKUP(Log_Reseau_Master[[#This Row],[Cell_ID]],_29_03_2026_Registre_Maintenance_V2[ID_Antenne],_29_03_2026_Registre_Maintenance_V2[Province_RDC],"Pas de correspondance")</f>
        <v>Kasai-Central</v>
      </c>
      <c r="G544" t="str">
        <f>_xlfn.XLOOKUP(Log_Reseau_Master[[#This Row],[Cell_ID]],_29_03_2026_Registre_Maintenance_V2[ID_Antenne],_29_03_2026_Registre_Maintenance_V2[Technologie],"Pas de correspondance")</f>
        <v>4G</v>
      </c>
      <c r="H544" t="str">
        <f>_xlfn.XLOOKUP(Log_Reseau_Master[[#This Row],[Cell_ID]],_29_03_2026_Registre_Maintenance_V2[ID_Antenne],_29_03_2026_Registre_Maintenance_V2[Equipementier],"Pas de correspondance")</f>
        <v>Ericsson</v>
      </c>
    </row>
    <row r="545" spans="1:8" hidden="1" x14ac:dyDescent="0.25">
      <c r="A545" s="1">
        <v>45211.706250000003</v>
      </c>
      <c r="B545">
        <f>Log_Reseau_Master[[#This Row],[Duree_Panne_Min]]/1440</f>
        <v>7.9861111111111105E-2</v>
      </c>
      <c r="C545" t="s">
        <v>1514</v>
      </c>
      <c r="D545">
        <v>115</v>
      </c>
      <c r="E545" t="s">
        <v>1321</v>
      </c>
      <c r="F545" t="str">
        <f>_xlfn.XLOOKUP(Log_Reseau_Master[[#This Row],[Cell_ID]],_29_03_2026_Registre_Maintenance_V2[ID_Antenne],_29_03_2026_Registre_Maintenance_V2[Province_RDC],"Pas de correspondance")</f>
        <v>Pas de correspondance</v>
      </c>
      <c r="G545" t="str">
        <f>_xlfn.XLOOKUP(Log_Reseau_Master[[#This Row],[Cell_ID]],_29_03_2026_Registre_Maintenance_V2[ID_Antenne],_29_03_2026_Registre_Maintenance_V2[Technologie],"Pas de correspondance")</f>
        <v>Pas de correspondance</v>
      </c>
      <c r="H545" t="str">
        <f>_xlfn.XLOOKUP(Log_Reseau_Master[[#This Row],[Cell_ID]],_29_03_2026_Registre_Maintenance_V2[ID_Antenne],_29_03_2026_Registre_Maintenance_V2[Equipementier],"Pas de correspondance")</f>
        <v>Pas de correspondance</v>
      </c>
    </row>
    <row r="546" spans="1:8" x14ac:dyDescent="0.25">
      <c r="A546" s="1">
        <v>45230.26458333333</v>
      </c>
      <c r="B546" s="4">
        <f>Log_Reseau_Master[[#This Row],[Duree_Panne_Min]]/1440</f>
        <v>4.3055555555555555E-2</v>
      </c>
      <c r="C546" t="s">
        <v>171</v>
      </c>
      <c r="D546">
        <v>62</v>
      </c>
      <c r="E546" t="s">
        <v>1314</v>
      </c>
      <c r="F546" t="str">
        <f>_xlfn.XLOOKUP(Log_Reseau_Master[[#This Row],[Cell_ID]],_29_03_2026_Registre_Maintenance_V2[ID_Antenne],_29_03_2026_Registre_Maintenance_V2[Province_RDC],"Pas de correspondance")</f>
        <v>Mongala</v>
      </c>
      <c r="G546" t="str">
        <f>_xlfn.XLOOKUP(Log_Reseau_Master[[#This Row],[Cell_ID]],_29_03_2026_Registre_Maintenance_V2[ID_Antenne],_29_03_2026_Registre_Maintenance_V2[Technologie],"Pas de correspondance")</f>
        <v>5G</v>
      </c>
      <c r="H546" t="str">
        <f>_xlfn.XLOOKUP(Log_Reseau_Master[[#This Row],[Cell_ID]],_29_03_2026_Registre_Maintenance_V2[ID_Antenne],_29_03_2026_Registre_Maintenance_V2[Equipementier],"Pas de correspondance")</f>
        <v>Ericsson</v>
      </c>
    </row>
    <row r="547" spans="1:8" x14ac:dyDescent="0.25">
      <c r="A547" s="1">
        <v>45204.59097222222</v>
      </c>
      <c r="B547" s="4">
        <f>Log_Reseau_Master[[#This Row],[Duree_Panne_Min]]/1440</f>
        <v>7.4999999999999997E-2</v>
      </c>
      <c r="C547" t="s">
        <v>167</v>
      </c>
      <c r="D547">
        <v>108</v>
      </c>
      <c r="E547" t="s">
        <v>1312</v>
      </c>
      <c r="F547" t="str">
        <f>_xlfn.XLOOKUP(Log_Reseau_Master[[#This Row],[Cell_ID]],_29_03_2026_Registre_Maintenance_V2[ID_Antenne],_29_03_2026_Registre_Maintenance_V2[Province_RDC],"Pas de correspondance")</f>
        <v>Kwilu</v>
      </c>
      <c r="G547" t="str">
        <f>_xlfn.XLOOKUP(Log_Reseau_Master[[#This Row],[Cell_ID]],_29_03_2026_Registre_Maintenance_V2[ID_Antenne],_29_03_2026_Registre_Maintenance_V2[Technologie],"Pas de correspondance")</f>
        <v>3G</v>
      </c>
      <c r="H547" t="str">
        <f>_xlfn.XLOOKUP(Log_Reseau_Master[[#This Row],[Cell_ID]],_29_03_2026_Registre_Maintenance_V2[ID_Antenne],_29_03_2026_Registre_Maintenance_V2[Equipementier],"Pas de correspondance")</f>
        <v>Nokia</v>
      </c>
    </row>
    <row r="548" spans="1:8" x14ac:dyDescent="0.25">
      <c r="A548" s="1">
        <v>45217.473611111112</v>
      </c>
      <c r="B548" s="4">
        <f>Log_Reseau_Master[[#This Row],[Duree_Panne_Min]]/1440</f>
        <v>2.5694444444444443E-2</v>
      </c>
      <c r="C548" t="s">
        <v>167</v>
      </c>
      <c r="D548">
        <v>37</v>
      </c>
      <c r="E548" t="s">
        <v>1321</v>
      </c>
      <c r="F548" t="str">
        <f>_xlfn.XLOOKUP(Log_Reseau_Master[[#This Row],[Cell_ID]],_29_03_2026_Registre_Maintenance_V2[ID_Antenne],_29_03_2026_Registre_Maintenance_V2[Province_RDC],"Pas de correspondance")</f>
        <v>Kwilu</v>
      </c>
      <c r="G548" t="str">
        <f>_xlfn.XLOOKUP(Log_Reseau_Master[[#This Row],[Cell_ID]],_29_03_2026_Registre_Maintenance_V2[ID_Antenne],_29_03_2026_Registre_Maintenance_V2[Technologie],"Pas de correspondance")</f>
        <v>3G</v>
      </c>
      <c r="H548" t="str">
        <f>_xlfn.XLOOKUP(Log_Reseau_Master[[#This Row],[Cell_ID]],_29_03_2026_Registre_Maintenance_V2[ID_Antenne],_29_03_2026_Registre_Maintenance_V2[Equipementier],"Pas de correspondance")</f>
        <v>Nokia</v>
      </c>
    </row>
    <row r="549" spans="1:8" x14ac:dyDescent="0.25">
      <c r="A549" s="1">
        <v>45207.127083333333</v>
      </c>
      <c r="B549" s="4">
        <f>Log_Reseau_Master[[#This Row],[Duree_Panne_Min]]/1440</f>
        <v>2.6388888888888889E-2</v>
      </c>
      <c r="C549" t="s">
        <v>167</v>
      </c>
      <c r="D549">
        <v>38</v>
      </c>
      <c r="E549" t="s">
        <v>1314</v>
      </c>
      <c r="F549" t="str">
        <f>_xlfn.XLOOKUP(Log_Reseau_Master[[#This Row],[Cell_ID]],_29_03_2026_Registre_Maintenance_V2[ID_Antenne],_29_03_2026_Registre_Maintenance_V2[Province_RDC],"Pas de correspondance")</f>
        <v>Kwilu</v>
      </c>
      <c r="G549" t="str">
        <f>_xlfn.XLOOKUP(Log_Reseau_Master[[#This Row],[Cell_ID]],_29_03_2026_Registre_Maintenance_V2[ID_Antenne],_29_03_2026_Registre_Maintenance_V2[Technologie],"Pas de correspondance")</f>
        <v>3G</v>
      </c>
      <c r="H549" t="str">
        <f>_xlfn.XLOOKUP(Log_Reseau_Master[[#This Row],[Cell_ID]],_29_03_2026_Registre_Maintenance_V2[ID_Antenne],_29_03_2026_Registre_Maintenance_V2[Equipementier],"Pas de correspondance")</f>
        <v>Nokia</v>
      </c>
    </row>
    <row r="550" spans="1:8" x14ac:dyDescent="0.25">
      <c r="A550" s="1">
        <v>45206.362500000003</v>
      </c>
      <c r="B550" s="4">
        <f>Log_Reseau_Master[[#This Row],[Duree_Panne_Min]]/1440</f>
        <v>4.1666666666666664E-2</v>
      </c>
      <c r="C550" t="s">
        <v>134</v>
      </c>
      <c r="D550">
        <v>60</v>
      </c>
      <c r="E550" t="s">
        <v>1321</v>
      </c>
      <c r="F550" t="str">
        <f>_xlfn.XLOOKUP(Log_Reseau_Master[[#This Row],[Cell_ID]],_29_03_2026_Registre_Maintenance_V2[ID_Antenne],_29_03_2026_Registre_Maintenance_V2[Province_RDC],"Pas de correspondance")</f>
        <v>Maniema</v>
      </c>
      <c r="G550" t="str">
        <f>_xlfn.XLOOKUP(Log_Reseau_Master[[#This Row],[Cell_ID]],_29_03_2026_Registre_Maintenance_V2[ID_Antenne],_29_03_2026_Registre_Maintenance_V2[Technologie],"Pas de correspondance")</f>
        <v>4G</v>
      </c>
      <c r="H550" t="str">
        <f>_xlfn.XLOOKUP(Log_Reseau_Master[[#This Row],[Cell_ID]],_29_03_2026_Registre_Maintenance_V2[ID_Antenne],_29_03_2026_Registre_Maintenance_V2[Equipementier],"Pas de correspondance")</f>
        <v>Huawei</v>
      </c>
    </row>
    <row r="551" spans="1:8" x14ac:dyDescent="0.25">
      <c r="A551" s="1">
        <v>45210.38958333333</v>
      </c>
      <c r="B551" s="4">
        <f>Log_Reseau_Master[[#This Row],[Duree_Panne_Min]]/1440</f>
        <v>5.9027777777777776E-2</v>
      </c>
      <c r="C551" t="s">
        <v>134</v>
      </c>
      <c r="D551">
        <v>85</v>
      </c>
      <c r="E551" t="s">
        <v>1314</v>
      </c>
      <c r="F551" t="str">
        <f>_xlfn.XLOOKUP(Log_Reseau_Master[[#This Row],[Cell_ID]],_29_03_2026_Registre_Maintenance_V2[ID_Antenne],_29_03_2026_Registre_Maintenance_V2[Province_RDC],"Pas de correspondance")</f>
        <v>Maniema</v>
      </c>
      <c r="G551" t="str">
        <f>_xlfn.XLOOKUP(Log_Reseau_Master[[#This Row],[Cell_ID]],_29_03_2026_Registre_Maintenance_V2[ID_Antenne],_29_03_2026_Registre_Maintenance_V2[Technologie],"Pas de correspondance")</f>
        <v>4G</v>
      </c>
      <c r="H551" t="str">
        <f>_xlfn.XLOOKUP(Log_Reseau_Master[[#This Row],[Cell_ID]],_29_03_2026_Registre_Maintenance_V2[ID_Antenne],_29_03_2026_Registre_Maintenance_V2[Equipementier],"Pas de correspondance")</f>
        <v>Huawei</v>
      </c>
    </row>
    <row r="552" spans="1:8" x14ac:dyDescent="0.25">
      <c r="A552" s="1">
        <v>45213.518750000003</v>
      </c>
      <c r="B552" s="4">
        <f>Log_Reseau_Master[[#This Row],[Duree_Panne_Min]]/1440</f>
        <v>6.1111111111111109E-2</v>
      </c>
      <c r="C552" t="s">
        <v>334</v>
      </c>
      <c r="D552">
        <v>88</v>
      </c>
      <c r="E552" t="s">
        <v>1312</v>
      </c>
      <c r="F552" t="str">
        <f>_xlfn.XLOOKUP(Log_Reseau_Master[[#This Row],[Cell_ID]],_29_03_2026_Registre_Maintenance_V2[ID_Antenne],_29_03_2026_Registre_Maintenance_V2[Province_RDC],"Pas de correspondance")</f>
        <v>Lomami</v>
      </c>
      <c r="G552" t="str">
        <f>_xlfn.XLOOKUP(Log_Reseau_Master[[#This Row],[Cell_ID]],_29_03_2026_Registre_Maintenance_V2[ID_Antenne],_29_03_2026_Registre_Maintenance_V2[Technologie],"Pas de correspondance")</f>
        <v>3G</v>
      </c>
      <c r="H552" t="str">
        <f>_xlfn.XLOOKUP(Log_Reseau_Master[[#This Row],[Cell_ID]],_29_03_2026_Registre_Maintenance_V2[ID_Antenne],_29_03_2026_Registre_Maintenance_V2[Equipementier],"Pas de correspondance")</f>
        <v>Huawei</v>
      </c>
    </row>
    <row r="553" spans="1:8" x14ac:dyDescent="0.25">
      <c r="A553" s="1">
        <v>45216.094444444447</v>
      </c>
      <c r="B553" s="4">
        <f>Log_Reseau_Master[[#This Row],[Duree_Panne_Min]]/1440</f>
        <v>5.1388888888888887E-2</v>
      </c>
      <c r="C553" t="s">
        <v>334</v>
      </c>
      <c r="D553">
        <v>74</v>
      </c>
      <c r="E553" t="s">
        <v>1314</v>
      </c>
      <c r="F553" t="str">
        <f>_xlfn.XLOOKUP(Log_Reseau_Master[[#This Row],[Cell_ID]],_29_03_2026_Registre_Maintenance_V2[ID_Antenne],_29_03_2026_Registre_Maintenance_V2[Province_RDC],"Pas de correspondance")</f>
        <v>Lomami</v>
      </c>
      <c r="G553" t="str">
        <f>_xlfn.XLOOKUP(Log_Reseau_Master[[#This Row],[Cell_ID]],_29_03_2026_Registre_Maintenance_V2[ID_Antenne],_29_03_2026_Registre_Maintenance_V2[Technologie],"Pas de correspondance")</f>
        <v>3G</v>
      </c>
      <c r="H553" t="str">
        <f>_xlfn.XLOOKUP(Log_Reseau_Master[[#This Row],[Cell_ID]],_29_03_2026_Registre_Maintenance_V2[ID_Antenne],_29_03_2026_Registre_Maintenance_V2[Equipementier],"Pas de correspondance")</f>
        <v>Huawei</v>
      </c>
    </row>
    <row r="554" spans="1:8" x14ac:dyDescent="0.25">
      <c r="A554" s="1">
        <v>45225.965277777781</v>
      </c>
      <c r="B554" s="4">
        <f>Log_Reseau_Master[[#This Row],[Duree_Panne_Min]]/1440</f>
        <v>2.5000000000000001E-2</v>
      </c>
      <c r="C554" t="s">
        <v>148</v>
      </c>
      <c r="D554">
        <v>36</v>
      </c>
      <c r="E554" t="s">
        <v>1314</v>
      </c>
      <c r="F554" t="str">
        <f>_xlfn.XLOOKUP(Log_Reseau_Master[[#This Row],[Cell_ID]],_29_03_2026_Registre_Maintenance_V2[ID_Antenne],_29_03_2026_Registre_Maintenance_V2[Province_RDC],"Pas de correspondance")</f>
        <v>Tanganyika</v>
      </c>
      <c r="G554" t="str">
        <f>_xlfn.XLOOKUP(Log_Reseau_Master[[#This Row],[Cell_ID]],_29_03_2026_Registre_Maintenance_V2[ID_Antenne],_29_03_2026_Registre_Maintenance_V2[Technologie],"Pas de correspondance")</f>
        <v>5G</v>
      </c>
      <c r="H554" t="str">
        <f>_xlfn.XLOOKUP(Log_Reseau_Master[[#This Row],[Cell_ID]],_29_03_2026_Registre_Maintenance_V2[ID_Antenne],_29_03_2026_Registre_Maintenance_V2[Equipementier],"Pas de correspondance")</f>
        <v>Huawei</v>
      </c>
    </row>
    <row r="555" spans="1:8" x14ac:dyDescent="0.25">
      <c r="A555" s="1">
        <v>45220.724999999999</v>
      </c>
      <c r="B555" s="4">
        <f>Log_Reseau_Master[[#This Row],[Duree_Panne_Min]]/1440</f>
        <v>1.9444444444444445E-2</v>
      </c>
      <c r="C555" t="s">
        <v>148</v>
      </c>
      <c r="D555">
        <v>28</v>
      </c>
      <c r="E555" t="s">
        <v>1321</v>
      </c>
      <c r="F555" t="str">
        <f>_xlfn.XLOOKUP(Log_Reseau_Master[[#This Row],[Cell_ID]],_29_03_2026_Registre_Maintenance_V2[ID_Antenne],_29_03_2026_Registre_Maintenance_V2[Province_RDC],"Pas de correspondance")</f>
        <v>Tanganyika</v>
      </c>
      <c r="G555" t="str">
        <f>_xlfn.XLOOKUP(Log_Reseau_Master[[#This Row],[Cell_ID]],_29_03_2026_Registre_Maintenance_V2[ID_Antenne],_29_03_2026_Registre_Maintenance_V2[Technologie],"Pas de correspondance")</f>
        <v>5G</v>
      </c>
      <c r="H555" t="str">
        <f>_xlfn.XLOOKUP(Log_Reseau_Master[[#This Row],[Cell_ID]],_29_03_2026_Registre_Maintenance_V2[ID_Antenne],_29_03_2026_Registre_Maintenance_V2[Equipementier],"Pas de correspondance")</f>
        <v>Huawei</v>
      </c>
    </row>
    <row r="556" spans="1:8" x14ac:dyDescent="0.25">
      <c r="A556" s="1">
        <v>45228.515277777777</v>
      </c>
      <c r="B556" s="4">
        <f>Log_Reseau_Master[[#This Row],[Duree_Panne_Min]]/1440</f>
        <v>7.2916666666666671E-2</v>
      </c>
      <c r="C556" t="s">
        <v>277</v>
      </c>
      <c r="D556">
        <v>105</v>
      </c>
      <c r="E556" t="s">
        <v>1314</v>
      </c>
      <c r="F556" t="str">
        <f>_xlfn.XLOOKUP(Log_Reseau_Master[[#This Row],[Cell_ID]],_29_03_2026_Registre_Maintenance_V2[ID_Antenne],_29_03_2026_Registre_Maintenance_V2[Province_RDC],"Pas de correspondance")</f>
        <v>Tshopo</v>
      </c>
      <c r="G556" t="str">
        <f>_xlfn.XLOOKUP(Log_Reseau_Master[[#This Row],[Cell_ID]],_29_03_2026_Registre_Maintenance_V2[ID_Antenne],_29_03_2026_Registre_Maintenance_V2[Technologie],"Pas de correspondance")</f>
        <v>5G</v>
      </c>
      <c r="H556" t="str">
        <f>_xlfn.XLOOKUP(Log_Reseau_Master[[#This Row],[Cell_ID]],_29_03_2026_Registre_Maintenance_V2[ID_Antenne],_29_03_2026_Registre_Maintenance_V2[Equipementier],"Pas de correspondance")</f>
        <v>Ericsson</v>
      </c>
    </row>
    <row r="557" spans="1:8" hidden="1" x14ac:dyDescent="0.25">
      <c r="A557" s="1">
        <v>45230.776388888888</v>
      </c>
      <c r="B557">
        <f>Log_Reseau_Master[[#This Row],[Duree_Panne_Min]]/1440</f>
        <v>3.8194444444444448E-2</v>
      </c>
      <c r="C557" t="s">
        <v>1515</v>
      </c>
      <c r="D557">
        <v>55</v>
      </c>
      <c r="E557" t="s">
        <v>1312</v>
      </c>
      <c r="F557" t="str">
        <f>_xlfn.XLOOKUP(Log_Reseau_Master[[#This Row],[Cell_ID]],_29_03_2026_Registre_Maintenance_V2[ID_Antenne],_29_03_2026_Registre_Maintenance_V2[Province_RDC],"Pas de correspondance")</f>
        <v>Pas de correspondance</v>
      </c>
      <c r="G557" t="str">
        <f>_xlfn.XLOOKUP(Log_Reseau_Master[[#This Row],[Cell_ID]],_29_03_2026_Registre_Maintenance_V2[ID_Antenne],_29_03_2026_Registre_Maintenance_V2[Technologie],"Pas de correspondance")</f>
        <v>Pas de correspondance</v>
      </c>
      <c r="H557" t="str">
        <f>_xlfn.XLOOKUP(Log_Reseau_Master[[#This Row],[Cell_ID]],_29_03_2026_Registre_Maintenance_V2[ID_Antenne],_29_03_2026_Registre_Maintenance_V2[Equipementier],"Pas de correspondance")</f>
        <v>Pas de correspondance</v>
      </c>
    </row>
    <row r="558" spans="1:8" hidden="1" x14ac:dyDescent="0.25">
      <c r="A558" s="1">
        <v>45229.429861111108</v>
      </c>
      <c r="B558">
        <f>Log_Reseau_Master[[#This Row],[Duree_Panne_Min]]/1440</f>
        <v>6.25E-2</v>
      </c>
      <c r="C558" t="s">
        <v>1515</v>
      </c>
      <c r="D558">
        <v>90</v>
      </c>
      <c r="E558" t="s">
        <v>1314</v>
      </c>
      <c r="F558" t="str">
        <f>_xlfn.XLOOKUP(Log_Reseau_Master[[#This Row],[Cell_ID]],_29_03_2026_Registre_Maintenance_V2[ID_Antenne],_29_03_2026_Registre_Maintenance_V2[Province_RDC],"Pas de correspondance")</f>
        <v>Pas de correspondance</v>
      </c>
      <c r="G558" t="str">
        <f>_xlfn.XLOOKUP(Log_Reseau_Master[[#This Row],[Cell_ID]],_29_03_2026_Registre_Maintenance_V2[ID_Antenne],_29_03_2026_Registre_Maintenance_V2[Technologie],"Pas de correspondance")</f>
        <v>Pas de correspondance</v>
      </c>
      <c r="H558" t="str">
        <f>_xlfn.XLOOKUP(Log_Reseau_Master[[#This Row],[Cell_ID]],_29_03_2026_Registre_Maintenance_V2[ID_Antenne],_29_03_2026_Registre_Maintenance_V2[Equipementier],"Pas de correspondance")</f>
        <v>Pas de correspondance</v>
      </c>
    </row>
    <row r="559" spans="1:8" hidden="1" x14ac:dyDescent="0.25">
      <c r="A559" s="1">
        <v>45224.709722222222</v>
      </c>
      <c r="B559">
        <f>Log_Reseau_Master[[#This Row],[Duree_Panne_Min]]/1440</f>
        <v>4.3055555555555555E-2</v>
      </c>
      <c r="C559" t="s">
        <v>1516</v>
      </c>
      <c r="D559">
        <v>62</v>
      </c>
      <c r="E559" t="s">
        <v>1312</v>
      </c>
      <c r="F559" t="str">
        <f>_xlfn.XLOOKUP(Log_Reseau_Master[[#This Row],[Cell_ID]],_29_03_2026_Registre_Maintenance_V2[ID_Antenne],_29_03_2026_Registre_Maintenance_V2[Province_RDC],"Pas de correspondance")</f>
        <v>Pas de correspondance</v>
      </c>
      <c r="G559" t="str">
        <f>_xlfn.XLOOKUP(Log_Reseau_Master[[#This Row],[Cell_ID]],_29_03_2026_Registre_Maintenance_V2[ID_Antenne],_29_03_2026_Registre_Maintenance_V2[Technologie],"Pas de correspondance")</f>
        <v>Pas de correspondance</v>
      </c>
      <c r="H559" t="str">
        <f>_xlfn.XLOOKUP(Log_Reseau_Master[[#This Row],[Cell_ID]],_29_03_2026_Registre_Maintenance_V2[ID_Antenne],_29_03_2026_Registre_Maintenance_V2[Equipementier],"Pas de correspondance")</f>
        <v>Pas de correspondance</v>
      </c>
    </row>
    <row r="560" spans="1:8" hidden="1" x14ac:dyDescent="0.25">
      <c r="A560" s="1">
        <v>45219.925694444442</v>
      </c>
      <c r="B560">
        <f>Log_Reseau_Master[[#This Row],[Duree_Panne_Min]]/1440</f>
        <v>1.5277777777777777E-2</v>
      </c>
      <c r="C560" t="s">
        <v>1517</v>
      </c>
      <c r="D560">
        <v>22</v>
      </c>
      <c r="E560" t="s">
        <v>1314</v>
      </c>
      <c r="F560" t="str">
        <f>_xlfn.XLOOKUP(Log_Reseau_Master[[#This Row],[Cell_ID]],_29_03_2026_Registre_Maintenance_V2[ID_Antenne],_29_03_2026_Registre_Maintenance_V2[Province_RDC],"Pas de correspondance")</f>
        <v>Pas de correspondance</v>
      </c>
      <c r="G560" t="str">
        <f>_xlfn.XLOOKUP(Log_Reseau_Master[[#This Row],[Cell_ID]],_29_03_2026_Registre_Maintenance_V2[ID_Antenne],_29_03_2026_Registre_Maintenance_V2[Technologie],"Pas de correspondance")</f>
        <v>Pas de correspondance</v>
      </c>
      <c r="H560" t="str">
        <f>_xlfn.XLOOKUP(Log_Reseau_Master[[#This Row],[Cell_ID]],_29_03_2026_Registre_Maintenance_V2[ID_Antenne],_29_03_2026_Registre_Maintenance_V2[Equipementier],"Pas de correspondance")</f>
        <v>Pas de correspondance</v>
      </c>
    </row>
    <row r="561" spans="1:8" hidden="1" x14ac:dyDescent="0.25">
      <c r="A561" s="1">
        <v>45229.772222222222</v>
      </c>
      <c r="B561">
        <f>Log_Reseau_Master[[#This Row],[Duree_Panne_Min]]/1440</f>
        <v>1.8749999999999999E-2</v>
      </c>
      <c r="C561" t="s">
        <v>1517</v>
      </c>
      <c r="D561">
        <v>27</v>
      </c>
      <c r="E561" t="s">
        <v>1314</v>
      </c>
      <c r="F561" t="str">
        <f>_xlfn.XLOOKUP(Log_Reseau_Master[[#This Row],[Cell_ID]],_29_03_2026_Registre_Maintenance_V2[ID_Antenne],_29_03_2026_Registre_Maintenance_V2[Province_RDC],"Pas de correspondance")</f>
        <v>Pas de correspondance</v>
      </c>
      <c r="G561" t="str">
        <f>_xlfn.XLOOKUP(Log_Reseau_Master[[#This Row],[Cell_ID]],_29_03_2026_Registre_Maintenance_V2[ID_Antenne],_29_03_2026_Registre_Maintenance_V2[Technologie],"Pas de correspondance")</f>
        <v>Pas de correspondance</v>
      </c>
      <c r="H561" t="str">
        <f>_xlfn.XLOOKUP(Log_Reseau_Master[[#This Row],[Cell_ID]],_29_03_2026_Registre_Maintenance_V2[ID_Antenne],_29_03_2026_Registre_Maintenance_V2[Equipementier],"Pas de correspondance")</f>
        <v>Pas de correspondance</v>
      </c>
    </row>
    <row r="562" spans="1:8" hidden="1" x14ac:dyDescent="0.25">
      <c r="A562" s="1">
        <v>45200.931250000001</v>
      </c>
      <c r="B562">
        <f>Log_Reseau_Master[[#This Row],[Duree_Panne_Min]]/1440</f>
        <v>1.5277777777777777E-2</v>
      </c>
      <c r="C562" t="s">
        <v>1518</v>
      </c>
      <c r="D562">
        <v>22</v>
      </c>
      <c r="E562" t="s">
        <v>1314</v>
      </c>
      <c r="F562" t="str">
        <f>_xlfn.XLOOKUP(Log_Reseau_Master[[#This Row],[Cell_ID]],_29_03_2026_Registre_Maintenance_V2[ID_Antenne],_29_03_2026_Registre_Maintenance_V2[Province_RDC],"Pas de correspondance")</f>
        <v>Pas de correspondance</v>
      </c>
      <c r="G562" t="str">
        <f>_xlfn.XLOOKUP(Log_Reseau_Master[[#This Row],[Cell_ID]],_29_03_2026_Registre_Maintenance_V2[ID_Antenne],_29_03_2026_Registre_Maintenance_V2[Technologie],"Pas de correspondance")</f>
        <v>Pas de correspondance</v>
      </c>
      <c r="H562" t="str">
        <f>_xlfn.XLOOKUP(Log_Reseau_Master[[#This Row],[Cell_ID]],_29_03_2026_Registre_Maintenance_V2[ID_Antenne],_29_03_2026_Registre_Maintenance_V2[Equipementier],"Pas de correspondance")</f>
        <v>Pas de correspondance</v>
      </c>
    </row>
    <row r="563" spans="1:8" hidden="1" x14ac:dyDescent="0.25">
      <c r="A563" s="1">
        <v>45213.446527777778</v>
      </c>
      <c r="B563">
        <f>Log_Reseau_Master[[#This Row],[Duree_Panne_Min]]/1440</f>
        <v>7.7083333333333337E-2</v>
      </c>
      <c r="C563" t="s">
        <v>1518</v>
      </c>
      <c r="D563">
        <v>111</v>
      </c>
      <c r="E563" t="s">
        <v>1314</v>
      </c>
      <c r="F563" t="str">
        <f>_xlfn.XLOOKUP(Log_Reseau_Master[[#This Row],[Cell_ID]],_29_03_2026_Registre_Maintenance_V2[ID_Antenne],_29_03_2026_Registre_Maintenance_V2[Province_RDC],"Pas de correspondance")</f>
        <v>Pas de correspondance</v>
      </c>
      <c r="G563" t="str">
        <f>_xlfn.XLOOKUP(Log_Reseau_Master[[#This Row],[Cell_ID]],_29_03_2026_Registre_Maintenance_V2[ID_Antenne],_29_03_2026_Registre_Maintenance_V2[Technologie],"Pas de correspondance")</f>
        <v>Pas de correspondance</v>
      </c>
      <c r="H563" t="str">
        <f>_xlfn.XLOOKUP(Log_Reseau_Master[[#This Row],[Cell_ID]],_29_03_2026_Registre_Maintenance_V2[ID_Antenne],_29_03_2026_Registre_Maintenance_V2[Equipementier],"Pas de correspondance")</f>
        <v>Pas de correspondance</v>
      </c>
    </row>
    <row r="564" spans="1:8" hidden="1" x14ac:dyDescent="0.25">
      <c r="A564" s="1">
        <v>45218.011111111111</v>
      </c>
      <c r="B564">
        <f>Log_Reseau_Master[[#This Row],[Duree_Panne_Min]]/1440</f>
        <v>4.0972222222222222E-2</v>
      </c>
      <c r="C564" t="s">
        <v>1519</v>
      </c>
      <c r="D564">
        <v>59</v>
      </c>
      <c r="E564" t="s">
        <v>1314</v>
      </c>
      <c r="F564" t="str">
        <f>_xlfn.XLOOKUP(Log_Reseau_Master[[#This Row],[Cell_ID]],_29_03_2026_Registre_Maintenance_V2[ID_Antenne],_29_03_2026_Registre_Maintenance_V2[Province_RDC],"Pas de correspondance")</f>
        <v>Pas de correspondance</v>
      </c>
      <c r="G564" t="str">
        <f>_xlfn.XLOOKUP(Log_Reseau_Master[[#This Row],[Cell_ID]],_29_03_2026_Registre_Maintenance_V2[ID_Antenne],_29_03_2026_Registre_Maintenance_V2[Technologie],"Pas de correspondance")</f>
        <v>Pas de correspondance</v>
      </c>
      <c r="H564" t="str">
        <f>_xlfn.XLOOKUP(Log_Reseau_Master[[#This Row],[Cell_ID]],_29_03_2026_Registre_Maintenance_V2[ID_Antenne],_29_03_2026_Registre_Maintenance_V2[Equipementier],"Pas de correspondance")</f>
        <v>Pas de correspondance</v>
      </c>
    </row>
    <row r="565" spans="1:8" x14ac:dyDescent="0.25">
      <c r="A565" s="1">
        <v>45205.729166666664</v>
      </c>
      <c r="B565" s="4">
        <f>Log_Reseau_Master[[#This Row],[Duree_Panne_Min]]/1440</f>
        <v>7.3611111111111113E-2</v>
      </c>
      <c r="C565" t="s">
        <v>307</v>
      </c>
      <c r="D565">
        <v>106</v>
      </c>
      <c r="E565" t="s">
        <v>1321</v>
      </c>
      <c r="F565" t="str">
        <f>_xlfn.XLOOKUP(Log_Reseau_Master[[#This Row],[Cell_ID]],_29_03_2026_Registre_Maintenance_V2[ID_Antenne],_29_03_2026_Registre_Maintenance_V2[Province_RDC],"Pas de correspondance")</f>
        <v>Haut-Katanga</v>
      </c>
      <c r="G565" t="str">
        <f>_xlfn.XLOOKUP(Log_Reseau_Master[[#This Row],[Cell_ID]],_29_03_2026_Registre_Maintenance_V2[ID_Antenne],_29_03_2026_Registre_Maintenance_V2[Technologie],"Pas de correspondance")</f>
        <v>4G</v>
      </c>
      <c r="H565" t="str">
        <f>_xlfn.XLOOKUP(Log_Reseau_Master[[#This Row],[Cell_ID]],_29_03_2026_Registre_Maintenance_V2[ID_Antenne],_29_03_2026_Registre_Maintenance_V2[Equipementier],"Pas de correspondance")</f>
        <v>Nokia</v>
      </c>
    </row>
    <row r="566" spans="1:8" x14ac:dyDescent="0.25">
      <c r="A566" s="1">
        <v>45223.293749999997</v>
      </c>
      <c r="B566" s="4">
        <f>Log_Reseau_Master[[#This Row],[Duree_Panne_Min]]/1440</f>
        <v>2.9166666666666667E-2</v>
      </c>
      <c r="C566" t="s">
        <v>307</v>
      </c>
      <c r="D566">
        <v>42</v>
      </c>
      <c r="E566" t="s">
        <v>1321</v>
      </c>
      <c r="F566" t="str">
        <f>_xlfn.XLOOKUP(Log_Reseau_Master[[#This Row],[Cell_ID]],_29_03_2026_Registre_Maintenance_V2[ID_Antenne],_29_03_2026_Registre_Maintenance_V2[Province_RDC],"Pas de correspondance")</f>
        <v>Haut-Katanga</v>
      </c>
      <c r="G566" t="str">
        <f>_xlfn.XLOOKUP(Log_Reseau_Master[[#This Row],[Cell_ID]],_29_03_2026_Registre_Maintenance_V2[ID_Antenne],_29_03_2026_Registre_Maintenance_V2[Technologie],"Pas de correspondance")</f>
        <v>4G</v>
      </c>
      <c r="H566" t="str">
        <f>_xlfn.XLOOKUP(Log_Reseau_Master[[#This Row],[Cell_ID]],_29_03_2026_Registre_Maintenance_V2[ID_Antenne],_29_03_2026_Registre_Maintenance_V2[Equipementier],"Pas de correspondance")</f>
        <v>Nokia</v>
      </c>
    </row>
    <row r="567" spans="1:8" hidden="1" x14ac:dyDescent="0.25">
      <c r="A567" s="1">
        <v>45205.11041666667</v>
      </c>
      <c r="B567">
        <f>Log_Reseau_Master[[#This Row],[Duree_Panne_Min]]/1440</f>
        <v>7.2222222222222215E-2</v>
      </c>
      <c r="C567" t="s">
        <v>1520</v>
      </c>
      <c r="D567">
        <v>104</v>
      </c>
      <c r="E567" t="s">
        <v>1314</v>
      </c>
      <c r="F567" t="str">
        <f>_xlfn.XLOOKUP(Log_Reseau_Master[[#This Row],[Cell_ID]],_29_03_2026_Registre_Maintenance_V2[ID_Antenne],_29_03_2026_Registre_Maintenance_V2[Province_RDC],"Pas de correspondance")</f>
        <v>Pas de correspondance</v>
      </c>
      <c r="G567" t="str">
        <f>_xlfn.XLOOKUP(Log_Reseau_Master[[#This Row],[Cell_ID]],_29_03_2026_Registre_Maintenance_V2[ID_Antenne],_29_03_2026_Registre_Maintenance_V2[Technologie],"Pas de correspondance")</f>
        <v>Pas de correspondance</v>
      </c>
      <c r="H567" t="str">
        <f>_xlfn.XLOOKUP(Log_Reseau_Master[[#This Row],[Cell_ID]],_29_03_2026_Registre_Maintenance_V2[ID_Antenne],_29_03_2026_Registre_Maintenance_V2[Equipementier],"Pas de correspondance")</f>
        <v>Pas de correspondance</v>
      </c>
    </row>
    <row r="568" spans="1:8" hidden="1" x14ac:dyDescent="0.25">
      <c r="A568" s="1">
        <v>45227.306250000001</v>
      </c>
      <c r="B568">
        <f>Log_Reseau_Master[[#This Row],[Duree_Panne_Min]]/1440</f>
        <v>4.9305555555555554E-2</v>
      </c>
      <c r="C568" t="s">
        <v>1520</v>
      </c>
      <c r="D568">
        <v>71</v>
      </c>
      <c r="E568" t="s">
        <v>1312</v>
      </c>
      <c r="F568" t="str">
        <f>_xlfn.XLOOKUP(Log_Reseau_Master[[#This Row],[Cell_ID]],_29_03_2026_Registre_Maintenance_V2[ID_Antenne],_29_03_2026_Registre_Maintenance_V2[Province_RDC],"Pas de correspondance")</f>
        <v>Pas de correspondance</v>
      </c>
      <c r="G568" t="str">
        <f>_xlfn.XLOOKUP(Log_Reseau_Master[[#This Row],[Cell_ID]],_29_03_2026_Registre_Maintenance_V2[ID_Antenne],_29_03_2026_Registre_Maintenance_V2[Technologie],"Pas de correspondance")</f>
        <v>Pas de correspondance</v>
      </c>
      <c r="H568" t="str">
        <f>_xlfn.XLOOKUP(Log_Reseau_Master[[#This Row],[Cell_ID]],_29_03_2026_Registre_Maintenance_V2[ID_Antenne],_29_03_2026_Registre_Maintenance_V2[Equipementier],"Pas de correspondance")</f>
        <v>Pas de correspondance</v>
      </c>
    </row>
    <row r="569" spans="1:8" hidden="1" x14ac:dyDescent="0.25">
      <c r="A569" s="1">
        <v>45214.870138888888</v>
      </c>
      <c r="B569">
        <f>Log_Reseau_Master[[#This Row],[Duree_Panne_Min]]/1440</f>
        <v>0.05</v>
      </c>
      <c r="C569" t="s">
        <v>1520</v>
      </c>
      <c r="D569">
        <v>72</v>
      </c>
      <c r="E569" t="s">
        <v>1314</v>
      </c>
      <c r="F569" t="str">
        <f>_xlfn.XLOOKUP(Log_Reseau_Master[[#This Row],[Cell_ID]],_29_03_2026_Registre_Maintenance_V2[ID_Antenne],_29_03_2026_Registre_Maintenance_V2[Province_RDC],"Pas de correspondance")</f>
        <v>Pas de correspondance</v>
      </c>
      <c r="G569" t="str">
        <f>_xlfn.XLOOKUP(Log_Reseau_Master[[#This Row],[Cell_ID]],_29_03_2026_Registre_Maintenance_V2[ID_Antenne],_29_03_2026_Registre_Maintenance_V2[Technologie],"Pas de correspondance")</f>
        <v>Pas de correspondance</v>
      </c>
      <c r="H569" t="str">
        <f>_xlfn.XLOOKUP(Log_Reseau_Master[[#This Row],[Cell_ID]],_29_03_2026_Registre_Maintenance_V2[ID_Antenne],_29_03_2026_Registre_Maintenance_V2[Equipementier],"Pas de correspondance")</f>
        <v>Pas de correspondance</v>
      </c>
    </row>
    <row r="570" spans="1:8" hidden="1" x14ac:dyDescent="0.25">
      <c r="A570" s="1">
        <v>45211.105555555558</v>
      </c>
      <c r="B570">
        <f>Log_Reseau_Master[[#This Row],[Duree_Panne_Min]]/1440</f>
        <v>4.6527777777777779E-2</v>
      </c>
      <c r="C570" t="s">
        <v>1520</v>
      </c>
      <c r="D570">
        <v>67</v>
      </c>
      <c r="E570" t="s">
        <v>1314</v>
      </c>
      <c r="F570" t="str">
        <f>_xlfn.XLOOKUP(Log_Reseau_Master[[#This Row],[Cell_ID]],_29_03_2026_Registre_Maintenance_V2[ID_Antenne],_29_03_2026_Registre_Maintenance_V2[Province_RDC],"Pas de correspondance")</f>
        <v>Pas de correspondance</v>
      </c>
      <c r="G570" t="str">
        <f>_xlfn.XLOOKUP(Log_Reseau_Master[[#This Row],[Cell_ID]],_29_03_2026_Registre_Maintenance_V2[ID_Antenne],_29_03_2026_Registre_Maintenance_V2[Technologie],"Pas de correspondance")</f>
        <v>Pas de correspondance</v>
      </c>
      <c r="H570" t="str">
        <f>_xlfn.XLOOKUP(Log_Reseau_Master[[#This Row],[Cell_ID]],_29_03_2026_Registre_Maintenance_V2[ID_Antenne],_29_03_2026_Registre_Maintenance_V2[Equipementier],"Pas de correspondance")</f>
        <v>Pas de correspondance</v>
      </c>
    </row>
    <row r="571" spans="1:8" hidden="1" x14ac:dyDescent="0.25">
      <c r="A571" s="1">
        <v>45214.193055555559</v>
      </c>
      <c r="B571">
        <f>Log_Reseau_Master[[#This Row],[Duree_Panne_Min]]/1440</f>
        <v>5.2777777777777778E-2</v>
      </c>
      <c r="C571" t="s">
        <v>1520</v>
      </c>
      <c r="D571">
        <v>76</v>
      </c>
      <c r="E571" t="s">
        <v>1321</v>
      </c>
      <c r="F571" t="str">
        <f>_xlfn.XLOOKUP(Log_Reseau_Master[[#This Row],[Cell_ID]],_29_03_2026_Registre_Maintenance_V2[ID_Antenne],_29_03_2026_Registre_Maintenance_V2[Province_RDC],"Pas de correspondance")</f>
        <v>Pas de correspondance</v>
      </c>
      <c r="G571" t="str">
        <f>_xlfn.XLOOKUP(Log_Reseau_Master[[#This Row],[Cell_ID]],_29_03_2026_Registre_Maintenance_V2[ID_Antenne],_29_03_2026_Registre_Maintenance_V2[Technologie],"Pas de correspondance")</f>
        <v>Pas de correspondance</v>
      </c>
      <c r="H571" t="str">
        <f>_xlfn.XLOOKUP(Log_Reseau_Master[[#This Row],[Cell_ID]],_29_03_2026_Registre_Maintenance_V2[ID_Antenne],_29_03_2026_Registre_Maintenance_V2[Equipementier],"Pas de correspondance")</f>
        <v>Pas de correspondance</v>
      </c>
    </row>
    <row r="572" spans="1:8" x14ac:dyDescent="0.25">
      <c r="A572" s="1">
        <v>45215.056944444441</v>
      </c>
      <c r="B572" s="4">
        <f>Log_Reseau_Master[[#This Row],[Duree_Panne_Min]]/1440</f>
        <v>6.8750000000000006E-2</v>
      </c>
      <c r="C572" t="s">
        <v>288</v>
      </c>
      <c r="D572">
        <v>99</v>
      </c>
      <c r="E572" t="s">
        <v>1312</v>
      </c>
      <c r="F572" t="str">
        <f>_xlfn.XLOOKUP(Log_Reseau_Master[[#This Row],[Cell_ID]],_29_03_2026_Registre_Maintenance_V2[ID_Antenne],_29_03_2026_Registre_Maintenance_V2[Province_RDC],"Pas de correspondance")</f>
        <v>Kinshasa</v>
      </c>
      <c r="G572" t="str">
        <f>_xlfn.XLOOKUP(Log_Reseau_Master[[#This Row],[Cell_ID]],_29_03_2026_Registre_Maintenance_V2[ID_Antenne],_29_03_2026_Registre_Maintenance_V2[Technologie],"Pas de correspondance")</f>
        <v>3G</v>
      </c>
      <c r="H572" t="str">
        <f>_xlfn.XLOOKUP(Log_Reseau_Master[[#This Row],[Cell_ID]],_29_03_2026_Registre_Maintenance_V2[ID_Antenne],_29_03_2026_Registre_Maintenance_V2[Equipementier],"Pas de correspondance")</f>
        <v>ZTE</v>
      </c>
    </row>
    <row r="573" spans="1:8" x14ac:dyDescent="0.25">
      <c r="A573" s="1">
        <v>45221.283333333333</v>
      </c>
      <c r="B573" s="4">
        <f>Log_Reseau_Master[[#This Row],[Duree_Panne_Min]]/1440</f>
        <v>1.5277777777777777E-2</v>
      </c>
      <c r="C573" t="s">
        <v>288</v>
      </c>
      <c r="D573">
        <v>22</v>
      </c>
      <c r="E573" t="s">
        <v>1314</v>
      </c>
      <c r="F573" t="str">
        <f>_xlfn.XLOOKUP(Log_Reseau_Master[[#This Row],[Cell_ID]],_29_03_2026_Registre_Maintenance_V2[ID_Antenne],_29_03_2026_Registre_Maintenance_V2[Province_RDC],"Pas de correspondance")</f>
        <v>Kinshasa</v>
      </c>
      <c r="G573" t="str">
        <f>_xlfn.XLOOKUP(Log_Reseau_Master[[#This Row],[Cell_ID]],_29_03_2026_Registre_Maintenance_V2[ID_Antenne],_29_03_2026_Registre_Maintenance_V2[Technologie],"Pas de correspondance")</f>
        <v>3G</v>
      </c>
      <c r="H573" t="str">
        <f>_xlfn.XLOOKUP(Log_Reseau_Master[[#This Row],[Cell_ID]],_29_03_2026_Registre_Maintenance_V2[ID_Antenne],_29_03_2026_Registre_Maintenance_V2[Equipementier],"Pas de correspondance")</f>
        <v>ZTE</v>
      </c>
    </row>
    <row r="574" spans="1:8" hidden="1" x14ac:dyDescent="0.25">
      <c r="A574" s="1">
        <v>45209.925694444442</v>
      </c>
      <c r="B574">
        <f>Log_Reseau_Master[[#This Row],[Duree_Panne_Min]]/1440</f>
        <v>2.4305555555555556E-2</v>
      </c>
      <c r="C574" t="s">
        <v>1521</v>
      </c>
      <c r="D574">
        <v>35</v>
      </c>
      <c r="E574" t="s">
        <v>1314</v>
      </c>
      <c r="F574" t="str">
        <f>_xlfn.XLOOKUP(Log_Reseau_Master[[#This Row],[Cell_ID]],_29_03_2026_Registre_Maintenance_V2[ID_Antenne],_29_03_2026_Registre_Maintenance_V2[Province_RDC],"Pas de correspondance")</f>
        <v>Pas de correspondance</v>
      </c>
      <c r="G574" t="str">
        <f>_xlfn.XLOOKUP(Log_Reseau_Master[[#This Row],[Cell_ID]],_29_03_2026_Registre_Maintenance_V2[ID_Antenne],_29_03_2026_Registre_Maintenance_V2[Technologie],"Pas de correspondance")</f>
        <v>Pas de correspondance</v>
      </c>
      <c r="H574" t="str">
        <f>_xlfn.XLOOKUP(Log_Reseau_Master[[#This Row],[Cell_ID]],_29_03_2026_Registre_Maintenance_V2[ID_Antenne],_29_03_2026_Registre_Maintenance_V2[Equipementier],"Pas de correspondance")</f>
        <v>Pas de correspondance</v>
      </c>
    </row>
    <row r="575" spans="1:8" x14ac:dyDescent="0.25">
      <c r="A575" s="1">
        <v>45227.77847222222</v>
      </c>
      <c r="B575" s="4">
        <f>Log_Reseau_Master[[#This Row],[Duree_Panne_Min]]/1440</f>
        <v>4.6527777777777779E-2</v>
      </c>
      <c r="C575" t="s">
        <v>351</v>
      </c>
      <c r="D575">
        <v>67</v>
      </c>
      <c r="E575" t="s">
        <v>1321</v>
      </c>
      <c r="F575" t="str">
        <f>_xlfn.XLOOKUP(Log_Reseau_Master[[#This Row],[Cell_ID]],_29_03_2026_Registre_Maintenance_V2[ID_Antenne],_29_03_2026_Registre_Maintenance_V2[Province_RDC],"Pas de correspondance")</f>
        <v>Mai-Ndombe</v>
      </c>
      <c r="G575" t="str">
        <f>_xlfn.XLOOKUP(Log_Reseau_Master[[#This Row],[Cell_ID]],_29_03_2026_Registre_Maintenance_V2[ID_Antenne],_29_03_2026_Registre_Maintenance_V2[Technologie],"Pas de correspondance")</f>
        <v>5G</v>
      </c>
      <c r="H575" t="str">
        <f>_xlfn.XLOOKUP(Log_Reseau_Master[[#This Row],[Cell_ID]],_29_03_2026_Registre_Maintenance_V2[ID_Antenne],_29_03_2026_Registre_Maintenance_V2[Equipementier],"Pas de correspondance")</f>
        <v>ZTE</v>
      </c>
    </row>
    <row r="576" spans="1:8" x14ac:dyDescent="0.25">
      <c r="A576" s="1">
        <v>45225.623611111114</v>
      </c>
      <c r="B576" s="4">
        <f>Log_Reseau_Master[[#This Row],[Duree_Panne_Min]]/1440</f>
        <v>1.5277777777777777E-2</v>
      </c>
      <c r="C576" t="s">
        <v>351</v>
      </c>
      <c r="D576">
        <v>22</v>
      </c>
      <c r="E576" t="s">
        <v>1314</v>
      </c>
      <c r="F576" t="str">
        <f>_xlfn.XLOOKUP(Log_Reseau_Master[[#This Row],[Cell_ID]],_29_03_2026_Registre_Maintenance_V2[ID_Antenne],_29_03_2026_Registre_Maintenance_V2[Province_RDC],"Pas de correspondance")</f>
        <v>Mai-Ndombe</v>
      </c>
      <c r="G576" t="str">
        <f>_xlfn.XLOOKUP(Log_Reseau_Master[[#This Row],[Cell_ID]],_29_03_2026_Registre_Maintenance_V2[ID_Antenne],_29_03_2026_Registre_Maintenance_V2[Technologie],"Pas de correspondance")</f>
        <v>5G</v>
      </c>
      <c r="H576" t="str">
        <f>_xlfn.XLOOKUP(Log_Reseau_Master[[#This Row],[Cell_ID]],_29_03_2026_Registre_Maintenance_V2[ID_Antenne],_29_03_2026_Registre_Maintenance_V2[Equipementier],"Pas de correspondance")</f>
        <v>ZTE</v>
      </c>
    </row>
    <row r="577" spans="1:8" x14ac:dyDescent="0.25">
      <c r="A577" s="1">
        <v>45221.780555555553</v>
      </c>
      <c r="B577" s="4">
        <f>Log_Reseau_Master[[#This Row],[Duree_Panne_Min]]/1440</f>
        <v>4.6527777777777779E-2</v>
      </c>
      <c r="C577" t="s">
        <v>469</v>
      </c>
      <c r="D577">
        <v>67</v>
      </c>
      <c r="E577" t="s">
        <v>1314</v>
      </c>
      <c r="F577" t="str">
        <f>_xlfn.XLOOKUP(Log_Reseau_Master[[#This Row],[Cell_ID]],_29_03_2026_Registre_Maintenance_V2[ID_Antenne],_29_03_2026_Registre_Maintenance_V2[Province_RDC],"Pas de correspondance")</f>
        <v>Tshuapa</v>
      </c>
      <c r="G577" t="str">
        <f>_xlfn.XLOOKUP(Log_Reseau_Master[[#This Row],[Cell_ID]],_29_03_2026_Registre_Maintenance_V2[ID_Antenne],_29_03_2026_Registre_Maintenance_V2[Technologie],"Pas de correspondance")</f>
        <v>5G</v>
      </c>
      <c r="H577" t="str">
        <f>_xlfn.XLOOKUP(Log_Reseau_Master[[#This Row],[Cell_ID]],_29_03_2026_Registre_Maintenance_V2[ID_Antenne],_29_03_2026_Registre_Maintenance_V2[Equipementier],"Pas de correspondance")</f>
        <v>Nokia</v>
      </c>
    </row>
    <row r="578" spans="1:8" x14ac:dyDescent="0.25">
      <c r="A578" s="1">
        <v>45224.347916666666</v>
      </c>
      <c r="B578" s="4">
        <f>Log_Reseau_Master[[#This Row],[Duree_Panne_Min]]/1440</f>
        <v>9.7222222222222224E-3</v>
      </c>
      <c r="C578" t="s">
        <v>469</v>
      </c>
      <c r="D578">
        <v>14</v>
      </c>
      <c r="E578" t="s">
        <v>1314</v>
      </c>
      <c r="F578" t="str">
        <f>_xlfn.XLOOKUP(Log_Reseau_Master[[#This Row],[Cell_ID]],_29_03_2026_Registre_Maintenance_V2[ID_Antenne],_29_03_2026_Registre_Maintenance_V2[Province_RDC],"Pas de correspondance")</f>
        <v>Tshuapa</v>
      </c>
      <c r="G578" t="str">
        <f>_xlfn.XLOOKUP(Log_Reseau_Master[[#This Row],[Cell_ID]],_29_03_2026_Registre_Maintenance_V2[ID_Antenne],_29_03_2026_Registre_Maintenance_V2[Technologie],"Pas de correspondance")</f>
        <v>5G</v>
      </c>
      <c r="H578" t="str">
        <f>_xlfn.XLOOKUP(Log_Reseau_Master[[#This Row],[Cell_ID]],_29_03_2026_Registre_Maintenance_V2[ID_Antenne],_29_03_2026_Registre_Maintenance_V2[Equipementier],"Pas de correspondance")</f>
        <v>Nokia</v>
      </c>
    </row>
    <row r="579" spans="1:8" x14ac:dyDescent="0.25">
      <c r="A579" s="1">
        <v>45211.477083333331</v>
      </c>
      <c r="B579" s="4">
        <f>Log_Reseau_Master[[#This Row],[Duree_Panne_Min]]/1440</f>
        <v>7.7083333333333337E-2</v>
      </c>
      <c r="C579" t="s">
        <v>70</v>
      </c>
      <c r="D579">
        <v>111</v>
      </c>
      <c r="E579" t="s">
        <v>1314</v>
      </c>
      <c r="F579" t="str">
        <f>_xlfn.XLOOKUP(Log_Reseau_Master[[#This Row],[Cell_ID]],_29_03_2026_Registre_Maintenance_V2[ID_Antenne],_29_03_2026_Registre_Maintenance_V2[Province_RDC],"Pas de correspondance")</f>
        <v>Nord-Kivu</v>
      </c>
      <c r="G579" t="str">
        <f>_xlfn.XLOOKUP(Log_Reseau_Master[[#This Row],[Cell_ID]],_29_03_2026_Registre_Maintenance_V2[ID_Antenne],_29_03_2026_Registre_Maintenance_V2[Technologie],"Pas de correspondance")</f>
        <v>4G</v>
      </c>
      <c r="H579" t="str">
        <f>_xlfn.XLOOKUP(Log_Reseau_Master[[#This Row],[Cell_ID]],_29_03_2026_Registre_Maintenance_V2[ID_Antenne],_29_03_2026_Registre_Maintenance_V2[Equipementier],"Pas de correspondance")</f>
        <v>Ericsson</v>
      </c>
    </row>
    <row r="580" spans="1:8" x14ac:dyDescent="0.25">
      <c r="A580" s="1">
        <v>45201.884722222225</v>
      </c>
      <c r="B580" s="4">
        <f>Log_Reseau_Master[[#This Row],[Duree_Panne_Min]]/1440</f>
        <v>3.7499999999999999E-2</v>
      </c>
      <c r="C580" t="s">
        <v>70</v>
      </c>
      <c r="D580">
        <v>54</v>
      </c>
      <c r="E580" t="s">
        <v>1321</v>
      </c>
      <c r="F580" t="str">
        <f>_xlfn.XLOOKUP(Log_Reseau_Master[[#This Row],[Cell_ID]],_29_03_2026_Registre_Maintenance_V2[ID_Antenne],_29_03_2026_Registre_Maintenance_V2[Province_RDC],"Pas de correspondance")</f>
        <v>Nord-Kivu</v>
      </c>
      <c r="G580" t="str">
        <f>_xlfn.XLOOKUP(Log_Reseau_Master[[#This Row],[Cell_ID]],_29_03_2026_Registre_Maintenance_V2[ID_Antenne],_29_03_2026_Registre_Maintenance_V2[Technologie],"Pas de correspondance")</f>
        <v>4G</v>
      </c>
      <c r="H580" t="str">
        <f>_xlfn.XLOOKUP(Log_Reseau_Master[[#This Row],[Cell_ID]],_29_03_2026_Registre_Maintenance_V2[ID_Antenne],_29_03_2026_Registre_Maintenance_V2[Equipementier],"Pas de correspondance")</f>
        <v>Ericsson</v>
      </c>
    </row>
    <row r="581" spans="1:8" hidden="1" x14ac:dyDescent="0.25">
      <c r="A581" s="1">
        <v>45205.87222222222</v>
      </c>
      <c r="B581">
        <f>Log_Reseau_Master[[#This Row],[Duree_Panne_Min]]/1440</f>
        <v>1.1805555555555555E-2</v>
      </c>
      <c r="C581" t="s">
        <v>1522</v>
      </c>
      <c r="D581">
        <v>17</v>
      </c>
      <c r="E581" t="s">
        <v>1314</v>
      </c>
      <c r="F581" t="str">
        <f>_xlfn.XLOOKUP(Log_Reseau_Master[[#This Row],[Cell_ID]],_29_03_2026_Registre_Maintenance_V2[ID_Antenne],_29_03_2026_Registre_Maintenance_V2[Province_RDC],"Pas de correspondance")</f>
        <v>Pas de correspondance</v>
      </c>
      <c r="G581" t="str">
        <f>_xlfn.XLOOKUP(Log_Reseau_Master[[#This Row],[Cell_ID]],_29_03_2026_Registre_Maintenance_V2[ID_Antenne],_29_03_2026_Registre_Maintenance_V2[Technologie],"Pas de correspondance")</f>
        <v>Pas de correspondance</v>
      </c>
      <c r="H581" t="str">
        <f>_xlfn.XLOOKUP(Log_Reseau_Master[[#This Row],[Cell_ID]],_29_03_2026_Registre_Maintenance_V2[ID_Antenne],_29_03_2026_Registre_Maintenance_V2[Equipementier],"Pas de correspondance")</f>
        <v>Pas de correspondance</v>
      </c>
    </row>
    <row r="582" spans="1:8" hidden="1" x14ac:dyDescent="0.25">
      <c r="A582" s="1">
        <v>45205.236111111109</v>
      </c>
      <c r="B582">
        <f>Log_Reseau_Master[[#This Row],[Duree_Panne_Min]]/1440</f>
        <v>4.6527777777777779E-2</v>
      </c>
      <c r="C582" t="s">
        <v>1523</v>
      </c>
      <c r="D582">
        <v>67</v>
      </c>
      <c r="E582" t="s">
        <v>1312</v>
      </c>
      <c r="F582" t="str">
        <f>_xlfn.XLOOKUP(Log_Reseau_Master[[#This Row],[Cell_ID]],_29_03_2026_Registre_Maintenance_V2[ID_Antenne],_29_03_2026_Registre_Maintenance_V2[Province_RDC],"Pas de correspondance")</f>
        <v>Pas de correspondance</v>
      </c>
      <c r="G582" t="str">
        <f>_xlfn.XLOOKUP(Log_Reseau_Master[[#This Row],[Cell_ID]],_29_03_2026_Registre_Maintenance_V2[ID_Antenne],_29_03_2026_Registre_Maintenance_V2[Technologie],"Pas de correspondance")</f>
        <v>Pas de correspondance</v>
      </c>
      <c r="H582" t="str">
        <f>_xlfn.XLOOKUP(Log_Reseau_Master[[#This Row],[Cell_ID]],_29_03_2026_Registre_Maintenance_V2[ID_Antenne],_29_03_2026_Registre_Maintenance_V2[Equipementier],"Pas de correspondance")</f>
        <v>Pas de correspondance</v>
      </c>
    </row>
    <row r="583" spans="1:8" hidden="1" x14ac:dyDescent="0.25">
      <c r="A583" s="1">
        <v>45214.59652777778</v>
      </c>
      <c r="B583">
        <f>Log_Reseau_Master[[#This Row],[Duree_Panne_Min]]/1440</f>
        <v>6.1111111111111109E-2</v>
      </c>
      <c r="C583" t="s">
        <v>1523</v>
      </c>
      <c r="D583">
        <v>88</v>
      </c>
      <c r="E583" t="s">
        <v>1321</v>
      </c>
      <c r="F583" t="str">
        <f>_xlfn.XLOOKUP(Log_Reseau_Master[[#This Row],[Cell_ID]],_29_03_2026_Registre_Maintenance_V2[ID_Antenne],_29_03_2026_Registre_Maintenance_V2[Province_RDC],"Pas de correspondance")</f>
        <v>Pas de correspondance</v>
      </c>
      <c r="G583" t="str">
        <f>_xlfn.XLOOKUP(Log_Reseau_Master[[#This Row],[Cell_ID]],_29_03_2026_Registre_Maintenance_V2[ID_Antenne],_29_03_2026_Registre_Maintenance_V2[Technologie],"Pas de correspondance")</f>
        <v>Pas de correspondance</v>
      </c>
      <c r="H583" t="str">
        <f>_xlfn.XLOOKUP(Log_Reseau_Master[[#This Row],[Cell_ID]],_29_03_2026_Registre_Maintenance_V2[ID_Antenne],_29_03_2026_Registre_Maintenance_V2[Equipementier],"Pas de correspondance")</f>
        <v>Pas de correspondance</v>
      </c>
    </row>
    <row r="584" spans="1:8" hidden="1" x14ac:dyDescent="0.25">
      <c r="A584" s="1">
        <v>45219.818749999999</v>
      </c>
      <c r="B584">
        <f>Log_Reseau_Master[[#This Row],[Duree_Panne_Min]]/1440</f>
        <v>6.8750000000000006E-2</v>
      </c>
      <c r="C584" t="s">
        <v>1523</v>
      </c>
      <c r="D584">
        <v>99</v>
      </c>
      <c r="E584" t="s">
        <v>1321</v>
      </c>
      <c r="F584" t="str">
        <f>_xlfn.XLOOKUP(Log_Reseau_Master[[#This Row],[Cell_ID]],_29_03_2026_Registre_Maintenance_V2[ID_Antenne],_29_03_2026_Registre_Maintenance_V2[Province_RDC],"Pas de correspondance")</f>
        <v>Pas de correspondance</v>
      </c>
      <c r="G584" t="str">
        <f>_xlfn.XLOOKUP(Log_Reseau_Master[[#This Row],[Cell_ID]],_29_03_2026_Registre_Maintenance_V2[ID_Antenne],_29_03_2026_Registre_Maintenance_V2[Technologie],"Pas de correspondance")</f>
        <v>Pas de correspondance</v>
      </c>
      <c r="H584" t="str">
        <f>_xlfn.XLOOKUP(Log_Reseau_Master[[#This Row],[Cell_ID]],_29_03_2026_Registre_Maintenance_V2[ID_Antenne],_29_03_2026_Registre_Maintenance_V2[Equipementier],"Pas de correspondance")</f>
        <v>Pas de correspondance</v>
      </c>
    </row>
    <row r="585" spans="1:8" x14ac:dyDescent="0.25">
      <c r="A585" s="1">
        <v>45205.440972222219</v>
      </c>
      <c r="B585" s="4">
        <f>Log_Reseau_Master[[#This Row],[Duree_Panne_Min]]/1440</f>
        <v>7.9861111111111105E-2</v>
      </c>
      <c r="C585" t="s">
        <v>68</v>
      </c>
      <c r="D585">
        <v>115</v>
      </c>
      <c r="E585" t="s">
        <v>1312</v>
      </c>
      <c r="F585" t="str">
        <f>_xlfn.XLOOKUP(Log_Reseau_Master[[#This Row],[Cell_ID]],_29_03_2026_Registre_Maintenance_V2[ID_Antenne],_29_03_2026_Registre_Maintenance_V2[Province_RDC],"Pas de correspondance")</f>
        <v>Sud-Kivu</v>
      </c>
      <c r="G585" t="str">
        <f>_xlfn.XLOOKUP(Log_Reseau_Master[[#This Row],[Cell_ID]],_29_03_2026_Registre_Maintenance_V2[ID_Antenne],_29_03_2026_Registre_Maintenance_V2[Technologie],"Pas de correspondance")</f>
        <v>3G</v>
      </c>
      <c r="H585" t="str">
        <f>_xlfn.XLOOKUP(Log_Reseau_Master[[#This Row],[Cell_ID]],_29_03_2026_Registre_Maintenance_V2[ID_Antenne],_29_03_2026_Registre_Maintenance_V2[Equipementier],"Pas de correspondance")</f>
        <v>Huawei</v>
      </c>
    </row>
    <row r="586" spans="1:8" x14ac:dyDescent="0.25">
      <c r="A586" s="1">
        <v>45222.748611111114</v>
      </c>
      <c r="B586" s="4">
        <f>Log_Reseau_Master[[#This Row],[Duree_Panne_Min]]/1440</f>
        <v>1.9444444444444445E-2</v>
      </c>
      <c r="C586" t="s">
        <v>156</v>
      </c>
      <c r="D586">
        <v>28</v>
      </c>
      <c r="E586" t="s">
        <v>1312</v>
      </c>
      <c r="F586" t="str">
        <f>_xlfn.XLOOKUP(Log_Reseau_Master[[#This Row],[Cell_ID]],_29_03_2026_Registre_Maintenance_V2[ID_Antenne],_29_03_2026_Registre_Maintenance_V2[Province_RDC],"Pas de correspondance")</f>
        <v>Haut-Katanga</v>
      </c>
      <c r="G586" t="str">
        <f>_xlfn.XLOOKUP(Log_Reseau_Master[[#This Row],[Cell_ID]],_29_03_2026_Registre_Maintenance_V2[ID_Antenne],_29_03_2026_Registre_Maintenance_V2[Technologie],"Pas de correspondance")</f>
        <v>4G</v>
      </c>
      <c r="H586" t="str">
        <f>_xlfn.XLOOKUP(Log_Reseau_Master[[#This Row],[Cell_ID]],_29_03_2026_Registre_Maintenance_V2[ID_Antenne],_29_03_2026_Registre_Maintenance_V2[Equipementier],"Pas de correspondance")</f>
        <v>Ericsson</v>
      </c>
    </row>
    <row r="587" spans="1:8" hidden="1" x14ac:dyDescent="0.25">
      <c r="A587" s="1">
        <v>45218.793055555558</v>
      </c>
      <c r="B587">
        <f>Log_Reseau_Master[[#This Row],[Duree_Panne_Min]]/1440</f>
        <v>6.9444444444444448E-2</v>
      </c>
      <c r="C587" t="s">
        <v>1524</v>
      </c>
      <c r="D587">
        <v>100</v>
      </c>
      <c r="E587" t="s">
        <v>1321</v>
      </c>
      <c r="F587" t="str">
        <f>_xlfn.XLOOKUP(Log_Reseau_Master[[#This Row],[Cell_ID]],_29_03_2026_Registre_Maintenance_V2[ID_Antenne],_29_03_2026_Registre_Maintenance_V2[Province_RDC],"Pas de correspondance")</f>
        <v>Pas de correspondance</v>
      </c>
      <c r="G587" t="str">
        <f>_xlfn.XLOOKUP(Log_Reseau_Master[[#This Row],[Cell_ID]],_29_03_2026_Registre_Maintenance_V2[ID_Antenne],_29_03_2026_Registre_Maintenance_V2[Technologie],"Pas de correspondance")</f>
        <v>Pas de correspondance</v>
      </c>
      <c r="H587" t="str">
        <f>_xlfn.XLOOKUP(Log_Reseau_Master[[#This Row],[Cell_ID]],_29_03_2026_Registre_Maintenance_V2[ID_Antenne],_29_03_2026_Registre_Maintenance_V2[Equipementier],"Pas de correspondance")</f>
        <v>Pas de correspondance</v>
      </c>
    </row>
    <row r="588" spans="1:8" hidden="1" x14ac:dyDescent="0.25">
      <c r="A588" s="1">
        <v>45218.89166666667</v>
      </c>
      <c r="B588">
        <f>Log_Reseau_Master[[#This Row],[Duree_Panne_Min]]/1440</f>
        <v>7.4305555555555555E-2</v>
      </c>
      <c r="C588" t="s">
        <v>1524</v>
      </c>
      <c r="D588">
        <v>107</v>
      </c>
      <c r="E588" t="s">
        <v>1312</v>
      </c>
      <c r="F588" t="str">
        <f>_xlfn.XLOOKUP(Log_Reseau_Master[[#This Row],[Cell_ID]],_29_03_2026_Registre_Maintenance_V2[ID_Antenne],_29_03_2026_Registre_Maintenance_V2[Province_RDC],"Pas de correspondance")</f>
        <v>Pas de correspondance</v>
      </c>
      <c r="G588" t="str">
        <f>_xlfn.XLOOKUP(Log_Reseau_Master[[#This Row],[Cell_ID]],_29_03_2026_Registre_Maintenance_V2[ID_Antenne],_29_03_2026_Registre_Maintenance_V2[Technologie],"Pas de correspondance")</f>
        <v>Pas de correspondance</v>
      </c>
      <c r="H588" t="str">
        <f>_xlfn.XLOOKUP(Log_Reseau_Master[[#This Row],[Cell_ID]],_29_03_2026_Registre_Maintenance_V2[ID_Antenne],_29_03_2026_Registre_Maintenance_V2[Equipementier],"Pas de correspondance")</f>
        <v>Pas de correspondance</v>
      </c>
    </row>
    <row r="589" spans="1:8" hidden="1" x14ac:dyDescent="0.25">
      <c r="A589" s="1">
        <v>45222.10833333333</v>
      </c>
      <c r="B589">
        <f>Log_Reseau_Master[[#This Row],[Duree_Panne_Min]]/1440</f>
        <v>6.1111111111111109E-2</v>
      </c>
      <c r="C589" t="s">
        <v>1525</v>
      </c>
      <c r="D589">
        <v>88</v>
      </c>
      <c r="E589" t="s">
        <v>1321</v>
      </c>
      <c r="F589" t="str">
        <f>_xlfn.XLOOKUP(Log_Reseau_Master[[#This Row],[Cell_ID]],_29_03_2026_Registre_Maintenance_V2[ID_Antenne],_29_03_2026_Registre_Maintenance_V2[Province_RDC],"Pas de correspondance")</f>
        <v>Pas de correspondance</v>
      </c>
      <c r="G589" t="str">
        <f>_xlfn.XLOOKUP(Log_Reseau_Master[[#This Row],[Cell_ID]],_29_03_2026_Registre_Maintenance_V2[ID_Antenne],_29_03_2026_Registre_Maintenance_V2[Technologie],"Pas de correspondance")</f>
        <v>Pas de correspondance</v>
      </c>
      <c r="H589" t="str">
        <f>_xlfn.XLOOKUP(Log_Reseau_Master[[#This Row],[Cell_ID]],_29_03_2026_Registre_Maintenance_V2[ID_Antenne],_29_03_2026_Registre_Maintenance_V2[Equipementier],"Pas de correspondance")</f>
        <v>Pas de correspondance</v>
      </c>
    </row>
    <row r="590" spans="1:8" hidden="1" x14ac:dyDescent="0.25">
      <c r="A590" s="1">
        <v>45215.272222222222</v>
      </c>
      <c r="B590">
        <f>Log_Reseau_Master[[#This Row],[Duree_Panne_Min]]/1440</f>
        <v>3.888888888888889E-2</v>
      </c>
      <c r="C590" t="s">
        <v>1526</v>
      </c>
      <c r="D590">
        <v>56</v>
      </c>
      <c r="E590" t="s">
        <v>1321</v>
      </c>
      <c r="F590" t="str">
        <f>_xlfn.XLOOKUP(Log_Reseau_Master[[#This Row],[Cell_ID]],_29_03_2026_Registre_Maintenance_V2[ID_Antenne],_29_03_2026_Registre_Maintenance_V2[Province_RDC],"Pas de correspondance")</f>
        <v>Pas de correspondance</v>
      </c>
      <c r="G590" t="str">
        <f>_xlfn.XLOOKUP(Log_Reseau_Master[[#This Row],[Cell_ID]],_29_03_2026_Registre_Maintenance_V2[ID_Antenne],_29_03_2026_Registre_Maintenance_V2[Technologie],"Pas de correspondance")</f>
        <v>Pas de correspondance</v>
      </c>
      <c r="H590" t="str">
        <f>_xlfn.XLOOKUP(Log_Reseau_Master[[#This Row],[Cell_ID]],_29_03_2026_Registre_Maintenance_V2[ID_Antenne],_29_03_2026_Registre_Maintenance_V2[Equipementier],"Pas de correspondance")</f>
        <v>Pas de correspondance</v>
      </c>
    </row>
    <row r="591" spans="1:8" hidden="1" x14ac:dyDescent="0.25">
      <c r="A591" s="1">
        <v>45210.912499999999</v>
      </c>
      <c r="B591">
        <f>Log_Reseau_Master[[#This Row],[Duree_Panne_Min]]/1440</f>
        <v>8.2638888888888887E-2</v>
      </c>
      <c r="C591" t="s">
        <v>1527</v>
      </c>
      <c r="D591">
        <v>119</v>
      </c>
      <c r="E591" t="s">
        <v>1321</v>
      </c>
      <c r="F591" t="str">
        <f>_xlfn.XLOOKUP(Log_Reseau_Master[[#This Row],[Cell_ID]],_29_03_2026_Registre_Maintenance_V2[ID_Antenne],_29_03_2026_Registre_Maintenance_V2[Province_RDC],"Pas de correspondance")</f>
        <v>Pas de correspondance</v>
      </c>
      <c r="G591" t="str">
        <f>_xlfn.XLOOKUP(Log_Reseau_Master[[#This Row],[Cell_ID]],_29_03_2026_Registre_Maintenance_V2[ID_Antenne],_29_03_2026_Registre_Maintenance_V2[Technologie],"Pas de correspondance")</f>
        <v>Pas de correspondance</v>
      </c>
      <c r="H591" t="str">
        <f>_xlfn.XLOOKUP(Log_Reseau_Master[[#This Row],[Cell_ID]],_29_03_2026_Registre_Maintenance_V2[ID_Antenne],_29_03_2026_Registre_Maintenance_V2[Equipementier],"Pas de correspondance")</f>
        <v>Pas de correspondance</v>
      </c>
    </row>
    <row r="592" spans="1:8" hidden="1" x14ac:dyDescent="0.25">
      <c r="A592" s="1">
        <v>45220.792361111111</v>
      </c>
      <c r="B592">
        <f>Log_Reseau_Master[[#This Row],[Duree_Panne_Min]]/1440</f>
        <v>6.9444444444444441E-3</v>
      </c>
      <c r="C592" t="s">
        <v>1527</v>
      </c>
      <c r="D592">
        <v>10</v>
      </c>
      <c r="E592" t="s">
        <v>1321</v>
      </c>
      <c r="F592" t="str">
        <f>_xlfn.XLOOKUP(Log_Reseau_Master[[#This Row],[Cell_ID]],_29_03_2026_Registre_Maintenance_V2[ID_Antenne],_29_03_2026_Registre_Maintenance_V2[Province_RDC],"Pas de correspondance")</f>
        <v>Pas de correspondance</v>
      </c>
      <c r="G592" t="str">
        <f>_xlfn.XLOOKUP(Log_Reseau_Master[[#This Row],[Cell_ID]],_29_03_2026_Registre_Maintenance_V2[ID_Antenne],_29_03_2026_Registre_Maintenance_V2[Technologie],"Pas de correspondance")</f>
        <v>Pas de correspondance</v>
      </c>
      <c r="H592" t="str">
        <f>_xlfn.XLOOKUP(Log_Reseau_Master[[#This Row],[Cell_ID]],_29_03_2026_Registre_Maintenance_V2[ID_Antenne],_29_03_2026_Registre_Maintenance_V2[Equipementier],"Pas de correspondance")</f>
        <v>Pas de correspondance</v>
      </c>
    </row>
    <row r="593" spans="1:8" x14ac:dyDescent="0.25">
      <c r="A593" s="1">
        <v>45218.331944444442</v>
      </c>
      <c r="B593" s="4">
        <f>Log_Reseau_Master[[#This Row],[Duree_Panne_Min]]/1440</f>
        <v>1.0416666666666666E-2</v>
      </c>
      <c r="C593" t="s">
        <v>442</v>
      </c>
      <c r="D593">
        <v>15</v>
      </c>
      <c r="E593" t="s">
        <v>1321</v>
      </c>
      <c r="F593" t="str">
        <f>_xlfn.XLOOKUP(Log_Reseau_Master[[#This Row],[Cell_ID]],_29_03_2026_Registre_Maintenance_V2[ID_Antenne],_29_03_2026_Registre_Maintenance_V2[Province_RDC],"Pas de correspondance")</f>
        <v>Nord-Kivu</v>
      </c>
      <c r="G593" t="str">
        <f>_xlfn.XLOOKUP(Log_Reseau_Master[[#This Row],[Cell_ID]],_29_03_2026_Registre_Maintenance_V2[ID_Antenne],_29_03_2026_Registre_Maintenance_V2[Technologie],"Pas de correspondance")</f>
        <v>3G</v>
      </c>
      <c r="H593" t="str">
        <f>_xlfn.XLOOKUP(Log_Reseau_Master[[#This Row],[Cell_ID]],_29_03_2026_Registre_Maintenance_V2[ID_Antenne],_29_03_2026_Registre_Maintenance_V2[Equipementier],"Pas de correspondance")</f>
        <v>ZTE</v>
      </c>
    </row>
    <row r="594" spans="1:8" x14ac:dyDescent="0.25">
      <c r="A594" s="1">
        <v>45222.597222222219</v>
      </c>
      <c r="B594" s="4">
        <f>Log_Reseau_Master[[#This Row],[Duree_Panne_Min]]/1440</f>
        <v>1.5277777777777777E-2</v>
      </c>
      <c r="C594" t="s">
        <v>442</v>
      </c>
      <c r="D594">
        <v>22</v>
      </c>
      <c r="E594" t="s">
        <v>1312</v>
      </c>
      <c r="F594" t="str">
        <f>_xlfn.XLOOKUP(Log_Reseau_Master[[#This Row],[Cell_ID]],_29_03_2026_Registre_Maintenance_V2[ID_Antenne],_29_03_2026_Registre_Maintenance_V2[Province_RDC],"Pas de correspondance")</f>
        <v>Nord-Kivu</v>
      </c>
      <c r="G594" t="str">
        <f>_xlfn.XLOOKUP(Log_Reseau_Master[[#This Row],[Cell_ID]],_29_03_2026_Registre_Maintenance_V2[ID_Antenne],_29_03_2026_Registre_Maintenance_V2[Technologie],"Pas de correspondance")</f>
        <v>3G</v>
      </c>
      <c r="H594" t="str">
        <f>_xlfn.XLOOKUP(Log_Reseau_Master[[#This Row],[Cell_ID]],_29_03_2026_Registre_Maintenance_V2[ID_Antenne],_29_03_2026_Registre_Maintenance_V2[Equipementier],"Pas de correspondance")</f>
        <v>ZTE</v>
      </c>
    </row>
    <row r="595" spans="1:8" x14ac:dyDescent="0.25">
      <c r="A595" s="1">
        <v>45201.086111111108</v>
      </c>
      <c r="B595" s="4">
        <f>Log_Reseau_Master[[#This Row],[Duree_Panne_Min]]/1440</f>
        <v>3.8194444444444448E-2</v>
      </c>
      <c r="C595" t="s">
        <v>442</v>
      </c>
      <c r="D595">
        <v>55</v>
      </c>
      <c r="E595" t="s">
        <v>1314</v>
      </c>
      <c r="F595" t="str">
        <f>_xlfn.XLOOKUP(Log_Reseau_Master[[#This Row],[Cell_ID]],_29_03_2026_Registre_Maintenance_V2[ID_Antenne],_29_03_2026_Registre_Maintenance_V2[Province_RDC],"Pas de correspondance")</f>
        <v>Nord-Kivu</v>
      </c>
      <c r="G595" t="str">
        <f>_xlfn.XLOOKUP(Log_Reseau_Master[[#This Row],[Cell_ID]],_29_03_2026_Registre_Maintenance_V2[ID_Antenne],_29_03_2026_Registre_Maintenance_V2[Technologie],"Pas de correspondance")</f>
        <v>3G</v>
      </c>
      <c r="H595" t="str">
        <f>_xlfn.XLOOKUP(Log_Reseau_Master[[#This Row],[Cell_ID]],_29_03_2026_Registre_Maintenance_V2[ID_Antenne],_29_03_2026_Registre_Maintenance_V2[Equipementier],"Pas de correspondance")</f>
        <v>ZTE</v>
      </c>
    </row>
    <row r="596" spans="1:8" x14ac:dyDescent="0.25">
      <c r="A596" s="1">
        <v>45221.268750000003</v>
      </c>
      <c r="B596" s="4">
        <f>Log_Reseau_Master[[#This Row],[Duree_Panne_Min]]/1440</f>
        <v>1.2500000000000001E-2</v>
      </c>
      <c r="C596" t="s">
        <v>442</v>
      </c>
      <c r="D596">
        <v>18</v>
      </c>
      <c r="E596" t="s">
        <v>1312</v>
      </c>
      <c r="F596" t="str">
        <f>_xlfn.XLOOKUP(Log_Reseau_Master[[#This Row],[Cell_ID]],_29_03_2026_Registre_Maintenance_V2[ID_Antenne],_29_03_2026_Registre_Maintenance_V2[Province_RDC],"Pas de correspondance")</f>
        <v>Nord-Kivu</v>
      </c>
      <c r="G596" t="str">
        <f>_xlfn.XLOOKUP(Log_Reseau_Master[[#This Row],[Cell_ID]],_29_03_2026_Registre_Maintenance_V2[ID_Antenne],_29_03_2026_Registre_Maintenance_V2[Technologie],"Pas de correspondance")</f>
        <v>3G</v>
      </c>
      <c r="H596" t="str">
        <f>_xlfn.XLOOKUP(Log_Reseau_Master[[#This Row],[Cell_ID]],_29_03_2026_Registre_Maintenance_V2[ID_Antenne],_29_03_2026_Registre_Maintenance_V2[Equipementier],"Pas de correspondance")</f>
        <v>ZTE</v>
      </c>
    </row>
    <row r="597" spans="1:8" x14ac:dyDescent="0.25">
      <c r="A597" s="1">
        <v>45211.424305555556</v>
      </c>
      <c r="B597" s="4">
        <f>Log_Reseau_Master[[#This Row],[Duree_Panne_Min]]/1440</f>
        <v>8.0555555555555561E-2</v>
      </c>
      <c r="C597" t="s">
        <v>442</v>
      </c>
      <c r="D597">
        <v>116</v>
      </c>
      <c r="E597" t="s">
        <v>1312</v>
      </c>
      <c r="F597" t="str">
        <f>_xlfn.XLOOKUP(Log_Reseau_Master[[#This Row],[Cell_ID]],_29_03_2026_Registre_Maintenance_V2[ID_Antenne],_29_03_2026_Registre_Maintenance_V2[Province_RDC],"Pas de correspondance")</f>
        <v>Nord-Kivu</v>
      </c>
      <c r="G597" t="str">
        <f>_xlfn.XLOOKUP(Log_Reseau_Master[[#This Row],[Cell_ID]],_29_03_2026_Registre_Maintenance_V2[ID_Antenne],_29_03_2026_Registre_Maintenance_V2[Technologie],"Pas de correspondance")</f>
        <v>3G</v>
      </c>
      <c r="H597" t="str">
        <f>_xlfn.XLOOKUP(Log_Reseau_Master[[#This Row],[Cell_ID]],_29_03_2026_Registre_Maintenance_V2[ID_Antenne],_29_03_2026_Registre_Maintenance_V2[Equipementier],"Pas de correspondance")</f>
        <v>ZTE</v>
      </c>
    </row>
    <row r="598" spans="1:8" x14ac:dyDescent="0.25">
      <c r="A598" s="1">
        <v>45204.53125</v>
      </c>
      <c r="B598" s="4">
        <f>Log_Reseau_Master[[#This Row],[Duree_Panne_Min]]/1440</f>
        <v>3.2638888888888891E-2</v>
      </c>
      <c r="C598" t="s">
        <v>383</v>
      </c>
      <c r="D598">
        <v>47</v>
      </c>
      <c r="E598" t="s">
        <v>1314</v>
      </c>
      <c r="F598" t="str">
        <f>_xlfn.XLOOKUP(Log_Reseau_Master[[#This Row],[Cell_ID]],_29_03_2026_Registre_Maintenance_V2[ID_Antenne],_29_03_2026_Registre_Maintenance_V2[Province_RDC],"Pas de correspondance")</f>
        <v>Nord-Kivu</v>
      </c>
      <c r="G598" t="str">
        <f>_xlfn.XLOOKUP(Log_Reseau_Master[[#This Row],[Cell_ID]],_29_03_2026_Registre_Maintenance_V2[ID_Antenne],_29_03_2026_Registre_Maintenance_V2[Technologie],"Pas de correspondance")</f>
        <v>5G</v>
      </c>
      <c r="H598" t="str">
        <f>_xlfn.XLOOKUP(Log_Reseau_Master[[#This Row],[Cell_ID]],_29_03_2026_Registre_Maintenance_V2[ID_Antenne],_29_03_2026_Registre_Maintenance_V2[Equipementier],"Pas de correspondance")</f>
        <v>Huawei</v>
      </c>
    </row>
    <row r="599" spans="1:8" x14ac:dyDescent="0.25">
      <c r="A599" s="1">
        <v>45207.960416666669</v>
      </c>
      <c r="B599" s="4">
        <f>Log_Reseau_Master[[#This Row],[Duree_Panne_Min]]/1440</f>
        <v>1.5972222222222221E-2</v>
      </c>
      <c r="C599" t="s">
        <v>383</v>
      </c>
      <c r="D599">
        <v>23</v>
      </c>
      <c r="E599" t="s">
        <v>1321</v>
      </c>
      <c r="F599" t="str">
        <f>_xlfn.XLOOKUP(Log_Reseau_Master[[#This Row],[Cell_ID]],_29_03_2026_Registre_Maintenance_V2[ID_Antenne],_29_03_2026_Registre_Maintenance_V2[Province_RDC],"Pas de correspondance")</f>
        <v>Nord-Kivu</v>
      </c>
      <c r="G599" t="str">
        <f>_xlfn.XLOOKUP(Log_Reseau_Master[[#This Row],[Cell_ID]],_29_03_2026_Registre_Maintenance_V2[ID_Antenne],_29_03_2026_Registre_Maintenance_V2[Technologie],"Pas de correspondance")</f>
        <v>5G</v>
      </c>
      <c r="H599" t="str">
        <f>_xlfn.XLOOKUP(Log_Reseau_Master[[#This Row],[Cell_ID]],_29_03_2026_Registre_Maintenance_V2[ID_Antenne],_29_03_2026_Registre_Maintenance_V2[Equipementier],"Pas de correspondance")</f>
        <v>Huawei</v>
      </c>
    </row>
    <row r="600" spans="1:8" x14ac:dyDescent="0.25">
      <c r="A600" s="1">
        <v>45230.486111111109</v>
      </c>
      <c r="B600" s="4">
        <f>Log_Reseau_Master[[#This Row],[Duree_Panne_Min]]/1440</f>
        <v>2.6388888888888889E-2</v>
      </c>
      <c r="C600" t="s">
        <v>383</v>
      </c>
      <c r="D600">
        <v>38</v>
      </c>
      <c r="E600" t="s">
        <v>1314</v>
      </c>
      <c r="F600" t="str">
        <f>_xlfn.XLOOKUP(Log_Reseau_Master[[#This Row],[Cell_ID]],_29_03_2026_Registre_Maintenance_V2[ID_Antenne],_29_03_2026_Registre_Maintenance_V2[Province_RDC],"Pas de correspondance")</f>
        <v>Nord-Kivu</v>
      </c>
      <c r="G600" t="str">
        <f>_xlfn.XLOOKUP(Log_Reseau_Master[[#This Row],[Cell_ID]],_29_03_2026_Registre_Maintenance_V2[ID_Antenne],_29_03_2026_Registre_Maintenance_V2[Technologie],"Pas de correspondance")</f>
        <v>5G</v>
      </c>
      <c r="H600" t="str">
        <f>_xlfn.XLOOKUP(Log_Reseau_Master[[#This Row],[Cell_ID]],_29_03_2026_Registre_Maintenance_V2[ID_Antenne],_29_03_2026_Registre_Maintenance_V2[Equipementier],"Pas de correspondance")</f>
        <v>Huawei</v>
      </c>
    </row>
    <row r="601" spans="1:8" x14ac:dyDescent="0.25">
      <c r="A601" s="1">
        <v>45201.877083333333</v>
      </c>
      <c r="B601" s="4">
        <f>Log_Reseau_Master[[#This Row],[Duree_Panne_Min]]/1440</f>
        <v>5.6944444444444443E-2</v>
      </c>
      <c r="C601" t="s">
        <v>383</v>
      </c>
      <c r="D601">
        <v>82</v>
      </c>
      <c r="E601" t="s">
        <v>1321</v>
      </c>
      <c r="F601" t="str">
        <f>_xlfn.XLOOKUP(Log_Reseau_Master[[#This Row],[Cell_ID]],_29_03_2026_Registre_Maintenance_V2[ID_Antenne],_29_03_2026_Registre_Maintenance_V2[Province_RDC],"Pas de correspondance")</f>
        <v>Nord-Kivu</v>
      </c>
      <c r="G601" t="str">
        <f>_xlfn.XLOOKUP(Log_Reseau_Master[[#This Row],[Cell_ID]],_29_03_2026_Registre_Maintenance_V2[ID_Antenne],_29_03_2026_Registre_Maintenance_V2[Technologie],"Pas de correspondance")</f>
        <v>5G</v>
      </c>
      <c r="H601" t="str">
        <f>_xlfn.XLOOKUP(Log_Reseau_Master[[#This Row],[Cell_ID]],_29_03_2026_Registre_Maintenance_V2[ID_Antenne],_29_03_2026_Registre_Maintenance_V2[Equipementier],"Pas de correspondance")</f>
        <v>Huawei</v>
      </c>
    </row>
    <row r="602" spans="1:8" x14ac:dyDescent="0.25">
      <c r="A602" s="1">
        <v>45230.862500000003</v>
      </c>
      <c r="B602" s="4">
        <f>Log_Reseau_Master[[#This Row],[Duree_Panne_Min]]/1440</f>
        <v>4.6527777777777779E-2</v>
      </c>
      <c r="C602" t="s">
        <v>65</v>
      </c>
      <c r="D602">
        <v>67</v>
      </c>
      <c r="E602" t="s">
        <v>1314</v>
      </c>
      <c r="F602" t="str">
        <f>_xlfn.XLOOKUP(Log_Reseau_Master[[#This Row],[Cell_ID]],_29_03_2026_Registre_Maintenance_V2[ID_Antenne],_29_03_2026_Registre_Maintenance_V2[Province_RDC],"Pas de correspondance")</f>
        <v>Tanganyika</v>
      </c>
      <c r="G602" t="str">
        <f>_xlfn.XLOOKUP(Log_Reseau_Master[[#This Row],[Cell_ID]],_29_03_2026_Registre_Maintenance_V2[ID_Antenne],_29_03_2026_Registre_Maintenance_V2[Technologie],"Pas de correspondance")</f>
        <v>3G</v>
      </c>
      <c r="H602" t="str">
        <f>_xlfn.XLOOKUP(Log_Reseau_Master[[#This Row],[Cell_ID]],_29_03_2026_Registre_Maintenance_V2[ID_Antenne],_29_03_2026_Registre_Maintenance_V2[Equipementier],"Pas de correspondance")</f>
        <v>Nokia</v>
      </c>
    </row>
    <row r="603" spans="1:8" x14ac:dyDescent="0.25">
      <c r="A603" s="1">
        <v>45222.631249999999</v>
      </c>
      <c r="B603" s="4">
        <f>Log_Reseau_Master[[#This Row],[Duree_Panne_Min]]/1440</f>
        <v>6.25E-2</v>
      </c>
      <c r="C603" t="s">
        <v>65</v>
      </c>
      <c r="D603">
        <v>90</v>
      </c>
      <c r="E603" t="s">
        <v>1314</v>
      </c>
      <c r="F603" t="str">
        <f>_xlfn.XLOOKUP(Log_Reseau_Master[[#This Row],[Cell_ID]],_29_03_2026_Registre_Maintenance_V2[ID_Antenne],_29_03_2026_Registre_Maintenance_V2[Province_RDC],"Pas de correspondance")</f>
        <v>Tanganyika</v>
      </c>
      <c r="G603" t="str">
        <f>_xlfn.XLOOKUP(Log_Reseau_Master[[#This Row],[Cell_ID]],_29_03_2026_Registre_Maintenance_V2[ID_Antenne],_29_03_2026_Registre_Maintenance_V2[Technologie],"Pas de correspondance")</f>
        <v>3G</v>
      </c>
      <c r="H603" t="str">
        <f>_xlfn.XLOOKUP(Log_Reseau_Master[[#This Row],[Cell_ID]],_29_03_2026_Registre_Maintenance_V2[ID_Antenne],_29_03_2026_Registre_Maintenance_V2[Equipementier],"Pas de correspondance")</f>
        <v>Nokia</v>
      </c>
    </row>
    <row r="604" spans="1:8" x14ac:dyDescent="0.25">
      <c r="A604" s="1">
        <v>45222.427083333336</v>
      </c>
      <c r="B604" s="4">
        <f>Log_Reseau_Master[[#This Row],[Duree_Panne_Min]]/1440</f>
        <v>5.6944444444444443E-2</v>
      </c>
      <c r="C604" t="s">
        <v>360</v>
      </c>
      <c r="D604">
        <v>82</v>
      </c>
      <c r="E604" t="s">
        <v>1314</v>
      </c>
      <c r="F604" t="str">
        <f>_xlfn.XLOOKUP(Log_Reseau_Master[[#This Row],[Cell_ID]],_29_03_2026_Registre_Maintenance_V2[ID_Antenne],_29_03_2026_Registre_Maintenance_V2[Province_RDC],"Pas de correspondance")</f>
        <v>Bas-Uele</v>
      </c>
      <c r="G604" t="str">
        <f>_xlfn.XLOOKUP(Log_Reseau_Master[[#This Row],[Cell_ID]],_29_03_2026_Registre_Maintenance_V2[ID_Antenne],_29_03_2026_Registre_Maintenance_V2[Technologie],"Pas de correspondance")</f>
        <v>3G</v>
      </c>
      <c r="H604" t="str">
        <f>_xlfn.XLOOKUP(Log_Reseau_Master[[#This Row],[Cell_ID]],_29_03_2026_Registre_Maintenance_V2[ID_Antenne],_29_03_2026_Registre_Maintenance_V2[Equipementier],"Pas de correspondance")</f>
        <v>Huawei</v>
      </c>
    </row>
    <row r="605" spans="1:8" hidden="1" x14ac:dyDescent="0.25">
      <c r="A605" s="1">
        <v>45211.368055555555</v>
      </c>
      <c r="B605">
        <f>Log_Reseau_Master[[#This Row],[Duree_Panne_Min]]/1440</f>
        <v>1.0416666666666666E-2</v>
      </c>
      <c r="C605" t="s">
        <v>1528</v>
      </c>
      <c r="D605">
        <v>15</v>
      </c>
      <c r="E605" t="s">
        <v>1312</v>
      </c>
      <c r="F605" t="str">
        <f>_xlfn.XLOOKUP(Log_Reseau_Master[[#This Row],[Cell_ID]],_29_03_2026_Registre_Maintenance_V2[ID_Antenne],_29_03_2026_Registre_Maintenance_V2[Province_RDC],"Pas de correspondance")</f>
        <v>Pas de correspondance</v>
      </c>
      <c r="G605" t="str">
        <f>_xlfn.XLOOKUP(Log_Reseau_Master[[#This Row],[Cell_ID]],_29_03_2026_Registre_Maintenance_V2[ID_Antenne],_29_03_2026_Registre_Maintenance_V2[Technologie],"Pas de correspondance")</f>
        <v>Pas de correspondance</v>
      </c>
      <c r="H605" t="str">
        <f>_xlfn.XLOOKUP(Log_Reseau_Master[[#This Row],[Cell_ID]],_29_03_2026_Registre_Maintenance_V2[ID_Antenne],_29_03_2026_Registre_Maintenance_V2[Equipementier],"Pas de correspondance")</f>
        <v>Pas de correspondance</v>
      </c>
    </row>
    <row r="606" spans="1:8" hidden="1" x14ac:dyDescent="0.25">
      <c r="A606" s="1">
        <v>45217.570833333331</v>
      </c>
      <c r="B606">
        <f>Log_Reseau_Master[[#This Row],[Duree_Panne_Min]]/1440</f>
        <v>1.9444444444444445E-2</v>
      </c>
      <c r="C606" t="s">
        <v>1528</v>
      </c>
      <c r="D606">
        <v>28</v>
      </c>
      <c r="E606" t="s">
        <v>1314</v>
      </c>
      <c r="F606" t="str">
        <f>_xlfn.XLOOKUP(Log_Reseau_Master[[#This Row],[Cell_ID]],_29_03_2026_Registre_Maintenance_V2[ID_Antenne],_29_03_2026_Registre_Maintenance_V2[Province_RDC],"Pas de correspondance")</f>
        <v>Pas de correspondance</v>
      </c>
      <c r="G606" t="str">
        <f>_xlfn.XLOOKUP(Log_Reseau_Master[[#This Row],[Cell_ID]],_29_03_2026_Registre_Maintenance_V2[ID_Antenne],_29_03_2026_Registre_Maintenance_V2[Technologie],"Pas de correspondance")</f>
        <v>Pas de correspondance</v>
      </c>
      <c r="H606" t="str">
        <f>_xlfn.XLOOKUP(Log_Reseau_Master[[#This Row],[Cell_ID]],_29_03_2026_Registre_Maintenance_V2[ID_Antenne],_29_03_2026_Registre_Maintenance_V2[Equipementier],"Pas de correspondance")</f>
        <v>Pas de correspondance</v>
      </c>
    </row>
    <row r="607" spans="1:8" hidden="1" x14ac:dyDescent="0.25">
      <c r="A607" s="1">
        <v>45226.988194444442</v>
      </c>
      <c r="B607">
        <f>Log_Reseau_Master[[#This Row],[Duree_Panne_Min]]/1440</f>
        <v>5.7638888888888892E-2</v>
      </c>
      <c r="C607" t="s">
        <v>1529</v>
      </c>
      <c r="D607">
        <v>83</v>
      </c>
      <c r="E607" t="s">
        <v>1312</v>
      </c>
      <c r="F607" t="str">
        <f>_xlfn.XLOOKUP(Log_Reseau_Master[[#This Row],[Cell_ID]],_29_03_2026_Registre_Maintenance_V2[ID_Antenne],_29_03_2026_Registre_Maintenance_V2[Province_RDC],"Pas de correspondance")</f>
        <v>Pas de correspondance</v>
      </c>
      <c r="G607" t="str">
        <f>_xlfn.XLOOKUP(Log_Reseau_Master[[#This Row],[Cell_ID]],_29_03_2026_Registre_Maintenance_V2[ID_Antenne],_29_03_2026_Registre_Maintenance_V2[Technologie],"Pas de correspondance")</f>
        <v>Pas de correspondance</v>
      </c>
      <c r="H607" t="str">
        <f>_xlfn.XLOOKUP(Log_Reseau_Master[[#This Row],[Cell_ID]],_29_03_2026_Registre_Maintenance_V2[ID_Antenne],_29_03_2026_Registre_Maintenance_V2[Equipementier],"Pas de correspondance")</f>
        <v>Pas de correspondance</v>
      </c>
    </row>
    <row r="608" spans="1:8" x14ac:dyDescent="0.25">
      <c r="A608" s="1">
        <v>45201.468055555553</v>
      </c>
      <c r="B608" s="4">
        <f>Log_Reseau_Master[[#This Row],[Duree_Panne_Min]]/1440</f>
        <v>5.5555555555555552E-2</v>
      </c>
      <c r="C608" t="s">
        <v>366</v>
      </c>
      <c r="D608">
        <v>80</v>
      </c>
      <c r="E608" t="s">
        <v>1314</v>
      </c>
      <c r="F608" t="str">
        <f>_xlfn.XLOOKUP(Log_Reseau_Master[[#This Row],[Cell_ID]],_29_03_2026_Registre_Maintenance_V2[ID_Antenne],_29_03_2026_Registre_Maintenance_V2[Province_RDC],"Pas de correspondance")</f>
        <v>Haut-Katanga</v>
      </c>
      <c r="G608" t="str">
        <f>_xlfn.XLOOKUP(Log_Reseau_Master[[#This Row],[Cell_ID]],_29_03_2026_Registre_Maintenance_V2[ID_Antenne],_29_03_2026_Registre_Maintenance_V2[Technologie],"Pas de correspondance")</f>
        <v>5G</v>
      </c>
      <c r="H608" t="str">
        <f>_xlfn.XLOOKUP(Log_Reseau_Master[[#This Row],[Cell_ID]],_29_03_2026_Registre_Maintenance_V2[ID_Antenne],_29_03_2026_Registre_Maintenance_V2[Equipementier],"Pas de correspondance")</f>
        <v>ZTE</v>
      </c>
    </row>
    <row r="609" spans="1:8" hidden="1" x14ac:dyDescent="0.25">
      <c r="A609" s="1">
        <v>45218.875694444447</v>
      </c>
      <c r="B609">
        <f>Log_Reseau_Master[[#This Row],[Duree_Panne_Min]]/1440</f>
        <v>2.7083333333333334E-2</v>
      </c>
      <c r="C609" t="s">
        <v>1530</v>
      </c>
      <c r="D609">
        <v>39</v>
      </c>
      <c r="E609" t="s">
        <v>1314</v>
      </c>
      <c r="F609" t="str">
        <f>_xlfn.XLOOKUP(Log_Reseau_Master[[#This Row],[Cell_ID]],_29_03_2026_Registre_Maintenance_V2[ID_Antenne],_29_03_2026_Registre_Maintenance_V2[Province_RDC],"Pas de correspondance")</f>
        <v>Pas de correspondance</v>
      </c>
      <c r="G609" t="str">
        <f>_xlfn.XLOOKUP(Log_Reseau_Master[[#This Row],[Cell_ID]],_29_03_2026_Registre_Maintenance_V2[ID_Antenne],_29_03_2026_Registre_Maintenance_V2[Technologie],"Pas de correspondance")</f>
        <v>Pas de correspondance</v>
      </c>
      <c r="H609" t="str">
        <f>_xlfn.XLOOKUP(Log_Reseau_Master[[#This Row],[Cell_ID]],_29_03_2026_Registre_Maintenance_V2[ID_Antenne],_29_03_2026_Registre_Maintenance_V2[Equipementier],"Pas de correspondance")</f>
        <v>Pas de correspondance</v>
      </c>
    </row>
    <row r="610" spans="1:8" hidden="1" x14ac:dyDescent="0.25">
      <c r="A610" s="1">
        <v>45218.240277777775</v>
      </c>
      <c r="B610">
        <f>Log_Reseau_Master[[#This Row],[Duree_Panne_Min]]/1440</f>
        <v>3.6805555555555557E-2</v>
      </c>
      <c r="C610" t="s">
        <v>1530</v>
      </c>
      <c r="D610">
        <v>53</v>
      </c>
      <c r="E610" t="s">
        <v>1321</v>
      </c>
      <c r="F610" t="str">
        <f>_xlfn.XLOOKUP(Log_Reseau_Master[[#This Row],[Cell_ID]],_29_03_2026_Registre_Maintenance_V2[ID_Antenne],_29_03_2026_Registre_Maintenance_V2[Province_RDC],"Pas de correspondance")</f>
        <v>Pas de correspondance</v>
      </c>
      <c r="G610" t="str">
        <f>_xlfn.XLOOKUP(Log_Reseau_Master[[#This Row],[Cell_ID]],_29_03_2026_Registre_Maintenance_V2[ID_Antenne],_29_03_2026_Registre_Maintenance_V2[Technologie],"Pas de correspondance")</f>
        <v>Pas de correspondance</v>
      </c>
      <c r="H610" t="str">
        <f>_xlfn.XLOOKUP(Log_Reseau_Master[[#This Row],[Cell_ID]],_29_03_2026_Registre_Maintenance_V2[ID_Antenne],_29_03_2026_Registre_Maintenance_V2[Equipementier],"Pas de correspondance")</f>
        <v>Pas de correspondance</v>
      </c>
    </row>
    <row r="611" spans="1:8" x14ac:dyDescent="0.25">
      <c r="A611" s="1">
        <v>45208.961805555555</v>
      </c>
      <c r="B611" s="4">
        <f>Log_Reseau_Master[[#This Row],[Duree_Panne_Min]]/1440</f>
        <v>4.7222222222222221E-2</v>
      </c>
      <c r="C611" t="s">
        <v>361</v>
      </c>
      <c r="D611">
        <v>68</v>
      </c>
      <c r="E611" t="s">
        <v>1314</v>
      </c>
      <c r="F611" t="str">
        <f>_xlfn.XLOOKUP(Log_Reseau_Master[[#This Row],[Cell_ID]],_29_03_2026_Registre_Maintenance_V2[ID_Antenne],_29_03_2026_Registre_Maintenance_V2[Province_RDC],"Pas de correspondance")</f>
        <v>Bas-Uele</v>
      </c>
      <c r="G611" t="str">
        <f>_xlfn.XLOOKUP(Log_Reseau_Master[[#This Row],[Cell_ID]],_29_03_2026_Registre_Maintenance_V2[ID_Antenne],_29_03_2026_Registre_Maintenance_V2[Technologie],"Pas de correspondance")</f>
        <v>3G</v>
      </c>
      <c r="H611" t="str">
        <f>_xlfn.XLOOKUP(Log_Reseau_Master[[#This Row],[Cell_ID]],_29_03_2026_Registre_Maintenance_V2[ID_Antenne],_29_03_2026_Registre_Maintenance_V2[Equipementier],"Pas de correspondance")</f>
        <v>Nokia</v>
      </c>
    </row>
    <row r="612" spans="1:8" x14ac:dyDescent="0.25">
      <c r="A612" s="1">
        <v>45230.004861111112</v>
      </c>
      <c r="B612" s="4">
        <f>Log_Reseau_Master[[#This Row],[Duree_Panne_Min]]/1440</f>
        <v>4.027777777777778E-2</v>
      </c>
      <c r="C612" t="s">
        <v>365</v>
      </c>
      <c r="D612">
        <v>58</v>
      </c>
      <c r="E612" t="s">
        <v>1314</v>
      </c>
      <c r="F612" t="str">
        <f>_xlfn.XLOOKUP(Log_Reseau_Master[[#This Row],[Cell_ID]],_29_03_2026_Registre_Maintenance_V2[ID_Antenne],_29_03_2026_Registre_Maintenance_V2[Province_RDC],"Pas de correspondance")</f>
        <v>Lualaba</v>
      </c>
      <c r="G612" t="str">
        <f>_xlfn.XLOOKUP(Log_Reseau_Master[[#This Row],[Cell_ID]],_29_03_2026_Registre_Maintenance_V2[ID_Antenne],_29_03_2026_Registre_Maintenance_V2[Technologie],"Pas de correspondance")</f>
        <v>4G</v>
      </c>
      <c r="H612" t="str">
        <f>_xlfn.XLOOKUP(Log_Reseau_Master[[#This Row],[Cell_ID]],_29_03_2026_Registre_Maintenance_V2[ID_Antenne],_29_03_2026_Registre_Maintenance_V2[Equipementier],"Pas de correspondance")</f>
        <v>Huawei</v>
      </c>
    </row>
    <row r="613" spans="1:8" hidden="1" x14ac:dyDescent="0.25">
      <c r="A613" s="1">
        <v>45223.3125</v>
      </c>
      <c r="B613">
        <f>Log_Reseau_Master[[#This Row],[Duree_Panne_Min]]/1440</f>
        <v>4.3055555555555555E-2</v>
      </c>
      <c r="C613" t="s">
        <v>1531</v>
      </c>
      <c r="D613">
        <v>62</v>
      </c>
      <c r="E613" t="s">
        <v>1314</v>
      </c>
      <c r="F613" t="str">
        <f>_xlfn.XLOOKUP(Log_Reseau_Master[[#This Row],[Cell_ID]],_29_03_2026_Registre_Maintenance_V2[ID_Antenne],_29_03_2026_Registre_Maintenance_V2[Province_RDC],"Pas de correspondance")</f>
        <v>Pas de correspondance</v>
      </c>
      <c r="G613" t="str">
        <f>_xlfn.XLOOKUP(Log_Reseau_Master[[#This Row],[Cell_ID]],_29_03_2026_Registre_Maintenance_V2[ID_Antenne],_29_03_2026_Registre_Maintenance_V2[Technologie],"Pas de correspondance")</f>
        <v>Pas de correspondance</v>
      </c>
      <c r="H613" t="str">
        <f>_xlfn.XLOOKUP(Log_Reseau_Master[[#This Row],[Cell_ID]],_29_03_2026_Registre_Maintenance_V2[ID_Antenne],_29_03_2026_Registre_Maintenance_V2[Equipementier],"Pas de correspondance")</f>
        <v>Pas de correspondance</v>
      </c>
    </row>
    <row r="614" spans="1:8" hidden="1" x14ac:dyDescent="0.25">
      <c r="A614" s="1">
        <v>45222.879166666666</v>
      </c>
      <c r="B614">
        <f>Log_Reseau_Master[[#This Row],[Duree_Panne_Min]]/1440</f>
        <v>7.1527777777777773E-2</v>
      </c>
      <c r="C614" t="s">
        <v>1532</v>
      </c>
      <c r="D614">
        <v>103</v>
      </c>
      <c r="E614" t="s">
        <v>1321</v>
      </c>
      <c r="F614" t="str">
        <f>_xlfn.XLOOKUP(Log_Reseau_Master[[#This Row],[Cell_ID]],_29_03_2026_Registre_Maintenance_V2[ID_Antenne],_29_03_2026_Registre_Maintenance_V2[Province_RDC],"Pas de correspondance")</f>
        <v>Pas de correspondance</v>
      </c>
      <c r="G614" t="str">
        <f>_xlfn.XLOOKUP(Log_Reseau_Master[[#This Row],[Cell_ID]],_29_03_2026_Registre_Maintenance_V2[ID_Antenne],_29_03_2026_Registre_Maintenance_V2[Technologie],"Pas de correspondance")</f>
        <v>Pas de correspondance</v>
      </c>
      <c r="H614" t="str">
        <f>_xlfn.XLOOKUP(Log_Reseau_Master[[#This Row],[Cell_ID]],_29_03_2026_Registre_Maintenance_V2[ID_Antenne],_29_03_2026_Registre_Maintenance_V2[Equipementier],"Pas de correspondance")</f>
        <v>Pas de correspondance</v>
      </c>
    </row>
    <row r="615" spans="1:8" hidden="1" x14ac:dyDescent="0.25">
      <c r="A615" s="1">
        <v>45223.710416666669</v>
      </c>
      <c r="B615">
        <f>Log_Reseau_Master[[#This Row],[Duree_Panne_Min]]/1440</f>
        <v>2.9861111111111113E-2</v>
      </c>
      <c r="C615" t="s">
        <v>1532</v>
      </c>
      <c r="D615">
        <v>43</v>
      </c>
      <c r="E615" t="s">
        <v>1312</v>
      </c>
      <c r="F615" t="str">
        <f>_xlfn.XLOOKUP(Log_Reseau_Master[[#This Row],[Cell_ID]],_29_03_2026_Registre_Maintenance_V2[ID_Antenne],_29_03_2026_Registre_Maintenance_V2[Province_RDC],"Pas de correspondance")</f>
        <v>Pas de correspondance</v>
      </c>
      <c r="G615" t="str">
        <f>_xlfn.XLOOKUP(Log_Reseau_Master[[#This Row],[Cell_ID]],_29_03_2026_Registre_Maintenance_V2[ID_Antenne],_29_03_2026_Registre_Maintenance_V2[Technologie],"Pas de correspondance")</f>
        <v>Pas de correspondance</v>
      </c>
      <c r="H615" t="str">
        <f>_xlfn.XLOOKUP(Log_Reseau_Master[[#This Row],[Cell_ID]],_29_03_2026_Registre_Maintenance_V2[ID_Antenne],_29_03_2026_Registre_Maintenance_V2[Equipementier],"Pas de correspondance")</f>
        <v>Pas de correspondance</v>
      </c>
    </row>
    <row r="616" spans="1:8" hidden="1" x14ac:dyDescent="0.25">
      <c r="A616" s="1">
        <v>45212.48541666667</v>
      </c>
      <c r="B616">
        <f>Log_Reseau_Master[[#This Row],[Duree_Panne_Min]]/1440</f>
        <v>5.2083333333333336E-2</v>
      </c>
      <c r="C616" t="s">
        <v>1533</v>
      </c>
      <c r="D616">
        <v>75</v>
      </c>
      <c r="E616" t="s">
        <v>1314</v>
      </c>
      <c r="F616" t="str">
        <f>_xlfn.XLOOKUP(Log_Reseau_Master[[#This Row],[Cell_ID]],_29_03_2026_Registre_Maintenance_V2[ID_Antenne],_29_03_2026_Registre_Maintenance_V2[Province_RDC],"Pas de correspondance")</f>
        <v>Pas de correspondance</v>
      </c>
      <c r="G616" t="str">
        <f>_xlfn.XLOOKUP(Log_Reseau_Master[[#This Row],[Cell_ID]],_29_03_2026_Registre_Maintenance_V2[ID_Antenne],_29_03_2026_Registre_Maintenance_V2[Technologie],"Pas de correspondance")</f>
        <v>Pas de correspondance</v>
      </c>
      <c r="H616" t="str">
        <f>_xlfn.XLOOKUP(Log_Reseau_Master[[#This Row],[Cell_ID]],_29_03_2026_Registre_Maintenance_V2[ID_Antenne],_29_03_2026_Registre_Maintenance_V2[Equipementier],"Pas de correspondance")</f>
        <v>Pas de correspondance</v>
      </c>
    </row>
    <row r="617" spans="1:8" hidden="1" x14ac:dyDescent="0.25">
      <c r="A617" s="1">
        <v>45201.585416666669</v>
      </c>
      <c r="B617">
        <f>Log_Reseau_Master[[#This Row],[Duree_Panne_Min]]/1440</f>
        <v>1.1805555555555555E-2</v>
      </c>
      <c r="C617" t="s">
        <v>1534</v>
      </c>
      <c r="D617">
        <v>17</v>
      </c>
      <c r="E617" t="s">
        <v>1321</v>
      </c>
      <c r="F617" t="str">
        <f>_xlfn.XLOOKUP(Log_Reseau_Master[[#This Row],[Cell_ID]],_29_03_2026_Registre_Maintenance_V2[ID_Antenne],_29_03_2026_Registre_Maintenance_V2[Province_RDC],"Pas de correspondance")</f>
        <v>Pas de correspondance</v>
      </c>
      <c r="G617" t="str">
        <f>_xlfn.XLOOKUP(Log_Reseau_Master[[#This Row],[Cell_ID]],_29_03_2026_Registre_Maintenance_V2[ID_Antenne],_29_03_2026_Registre_Maintenance_V2[Technologie],"Pas de correspondance")</f>
        <v>Pas de correspondance</v>
      </c>
      <c r="H617" t="str">
        <f>_xlfn.XLOOKUP(Log_Reseau_Master[[#This Row],[Cell_ID]],_29_03_2026_Registre_Maintenance_V2[ID_Antenne],_29_03_2026_Registre_Maintenance_V2[Equipementier],"Pas de correspondance")</f>
        <v>Pas de correspondance</v>
      </c>
    </row>
    <row r="618" spans="1:8" x14ac:dyDescent="0.25">
      <c r="A618" s="1">
        <v>45204.122916666667</v>
      </c>
      <c r="B618" s="4">
        <f>Log_Reseau_Master[[#This Row],[Duree_Panne_Min]]/1440</f>
        <v>2.361111111111111E-2</v>
      </c>
      <c r="C618" t="s">
        <v>236</v>
      </c>
      <c r="D618">
        <v>34</v>
      </c>
      <c r="E618" t="s">
        <v>1314</v>
      </c>
      <c r="F618" t="str">
        <f>_xlfn.XLOOKUP(Log_Reseau_Master[[#This Row],[Cell_ID]],_29_03_2026_Registre_Maintenance_V2[ID_Antenne],_29_03_2026_Registre_Maintenance_V2[Province_RDC],"Pas de correspondance")</f>
        <v>Equateur</v>
      </c>
      <c r="G618" t="str">
        <f>_xlfn.XLOOKUP(Log_Reseau_Master[[#This Row],[Cell_ID]],_29_03_2026_Registre_Maintenance_V2[ID_Antenne],_29_03_2026_Registre_Maintenance_V2[Technologie],"Pas de correspondance")</f>
        <v>5G</v>
      </c>
      <c r="H618" t="str">
        <f>_xlfn.XLOOKUP(Log_Reseau_Master[[#This Row],[Cell_ID]],_29_03_2026_Registre_Maintenance_V2[ID_Antenne],_29_03_2026_Registre_Maintenance_V2[Equipementier],"Pas de correspondance")</f>
        <v>ZTE</v>
      </c>
    </row>
    <row r="619" spans="1:8" x14ac:dyDescent="0.25">
      <c r="A619" s="1">
        <v>45209.988888888889</v>
      </c>
      <c r="B619" s="4">
        <f>Log_Reseau_Master[[#This Row],[Duree_Panne_Min]]/1440</f>
        <v>3.5416666666666666E-2</v>
      </c>
      <c r="C619" t="s">
        <v>236</v>
      </c>
      <c r="D619">
        <v>51</v>
      </c>
      <c r="E619" t="s">
        <v>1312</v>
      </c>
      <c r="F619" t="str">
        <f>_xlfn.XLOOKUP(Log_Reseau_Master[[#This Row],[Cell_ID]],_29_03_2026_Registre_Maintenance_V2[ID_Antenne],_29_03_2026_Registre_Maintenance_V2[Province_RDC],"Pas de correspondance")</f>
        <v>Equateur</v>
      </c>
      <c r="G619" t="str">
        <f>_xlfn.XLOOKUP(Log_Reseau_Master[[#This Row],[Cell_ID]],_29_03_2026_Registre_Maintenance_V2[ID_Antenne],_29_03_2026_Registre_Maintenance_V2[Technologie],"Pas de correspondance")</f>
        <v>5G</v>
      </c>
      <c r="H619" t="str">
        <f>_xlfn.XLOOKUP(Log_Reseau_Master[[#This Row],[Cell_ID]],_29_03_2026_Registre_Maintenance_V2[ID_Antenne],_29_03_2026_Registre_Maintenance_V2[Equipementier],"Pas de correspondance")</f>
        <v>ZTE</v>
      </c>
    </row>
    <row r="620" spans="1:8" x14ac:dyDescent="0.25">
      <c r="A620" s="1">
        <v>45214.634722222225</v>
      </c>
      <c r="B620" s="4">
        <f>Log_Reseau_Master[[#This Row],[Duree_Panne_Min]]/1440</f>
        <v>7.7777777777777779E-2</v>
      </c>
      <c r="C620" t="s">
        <v>236</v>
      </c>
      <c r="D620">
        <v>112</v>
      </c>
      <c r="E620" t="s">
        <v>1312</v>
      </c>
      <c r="F620" t="str">
        <f>_xlfn.XLOOKUP(Log_Reseau_Master[[#This Row],[Cell_ID]],_29_03_2026_Registre_Maintenance_V2[ID_Antenne],_29_03_2026_Registre_Maintenance_V2[Province_RDC],"Pas de correspondance")</f>
        <v>Equateur</v>
      </c>
      <c r="G620" t="str">
        <f>_xlfn.XLOOKUP(Log_Reseau_Master[[#This Row],[Cell_ID]],_29_03_2026_Registre_Maintenance_V2[ID_Antenne],_29_03_2026_Registre_Maintenance_V2[Technologie],"Pas de correspondance")</f>
        <v>5G</v>
      </c>
      <c r="H620" t="str">
        <f>_xlfn.XLOOKUP(Log_Reseau_Master[[#This Row],[Cell_ID]],_29_03_2026_Registre_Maintenance_V2[ID_Antenne],_29_03_2026_Registre_Maintenance_V2[Equipementier],"Pas de correspondance")</f>
        <v>ZTE</v>
      </c>
    </row>
    <row r="621" spans="1:8" x14ac:dyDescent="0.25">
      <c r="A621" s="1">
        <v>45204.011111111111</v>
      </c>
      <c r="B621" s="4">
        <f>Log_Reseau_Master[[#This Row],[Duree_Panne_Min]]/1440</f>
        <v>8.3333333333333332E-3</v>
      </c>
      <c r="C621" t="s">
        <v>353</v>
      </c>
      <c r="D621">
        <v>12</v>
      </c>
      <c r="E621" t="s">
        <v>1312</v>
      </c>
      <c r="F621" t="str">
        <f>_xlfn.XLOOKUP(Log_Reseau_Master[[#This Row],[Cell_ID]],_29_03_2026_Registre_Maintenance_V2[ID_Antenne],_29_03_2026_Registre_Maintenance_V2[Province_RDC],"Pas de correspondance")</f>
        <v>Maniema</v>
      </c>
      <c r="G621" t="str">
        <f>_xlfn.XLOOKUP(Log_Reseau_Master[[#This Row],[Cell_ID]],_29_03_2026_Registre_Maintenance_V2[ID_Antenne],_29_03_2026_Registre_Maintenance_V2[Technologie],"Pas de correspondance")</f>
        <v>5G</v>
      </c>
      <c r="H621" t="str">
        <f>_xlfn.XLOOKUP(Log_Reseau_Master[[#This Row],[Cell_ID]],_29_03_2026_Registre_Maintenance_V2[ID_Antenne],_29_03_2026_Registre_Maintenance_V2[Equipementier],"Pas de correspondance")</f>
        <v>Nokia</v>
      </c>
    </row>
    <row r="622" spans="1:8" x14ac:dyDescent="0.25">
      <c r="A622" s="1">
        <v>45226.964583333334</v>
      </c>
      <c r="B622" s="4">
        <f>Log_Reseau_Master[[#This Row],[Duree_Panne_Min]]/1440</f>
        <v>1.8749999999999999E-2</v>
      </c>
      <c r="C622" t="s">
        <v>112</v>
      </c>
      <c r="D622">
        <v>27</v>
      </c>
      <c r="E622" t="s">
        <v>1312</v>
      </c>
      <c r="F622" t="str">
        <f>_xlfn.XLOOKUP(Log_Reseau_Master[[#This Row],[Cell_ID]],_29_03_2026_Registre_Maintenance_V2[ID_Antenne],_29_03_2026_Registre_Maintenance_V2[Province_RDC],"Pas de correspondance")</f>
        <v>Lualaba</v>
      </c>
      <c r="G622" t="str">
        <f>_xlfn.XLOOKUP(Log_Reseau_Master[[#This Row],[Cell_ID]],_29_03_2026_Registre_Maintenance_V2[ID_Antenne],_29_03_2026_Registre_Maintenance_V2[Technologie],"Pas de correspondance")</f>
        <v>3G</v>
      </c>
      <c r="H622" t="str">
        <f>_xlfn.XLOOKUP(Log_Reseau_Master[[#This Row],[Cell_ID]],_29_03_2026_Registre_Maintenance_V2[ID_Antenne],_29_03_2026_Registre_Maintenance_V2[Equipementier],"Pas de correspondance")</f>
        <v>Nokia</v>
      </c>
    </row>
    <row r="623" spans="1:8" hidden="1" x14ac:dyDescent="0.25">
      <c r="A623" s="1">
        <v>45203.273611111108</v>
      </c>
      <c r="B623">
        <f>Log_Reseau_Master[[#This Row],[Duree_Panne_Min]]/1440</f>
        <v>1.5972222222222221E-2</v>
      </c>
      <c r="C623" t="s">
        <v>1535</v>
      </c>
      <c r="D623">
        <v>23</v>
      </c>
      <c r="E623" t="s">
        <v>1321</v>
      </c>
      <c r="F623" t="str">
        <f>_xlfn.XLOOKUP(Log_Reseau_Master[[#This Row],[Cell_ID]],_29_03_2026_Registre_Maintenance_V2[ID_Antenne],_29_03_2026_Registre_Maintenance_V2[Province_RDC],"Pas de correspondance")</f>
        <v>Pas de correspondance</v>
      </c>
      <c r="G623" t="str">
        <f>_xlfn.XLOOKUP(Log_Reseau_Master[[#This Row],[Cell_ID]],_29_03_2026_Registre_Maintenance_V2[ID_Antenne],_29_03_2026_Registre_Maintenance_V2[Technologie],"Pas de correspondance")</f>
        <v>Pas de correspondance</v>
      </c>
      <c r="H623" t="str">
        <f>_xlfn.XLOOKUP(Log_Reseau_Master[[#This Row],[Cell_ID]],_29_03_2026_Registre_Maintenance_V2[ID_Antenne],_29_03_2026_Registre_Maintenance_V2[Equipementier],"Pas de correspondance")</f>
        <v>Pas de correspondance</v>
      </c>
    </row>
    <row r="624" spans="1:8" hidden="1" x14ac:dyDescent="0.25">
      <c r="A624" s="1">
        <v>45204.338888888888</v>
      </c>
      <c r="B624">
        <f>Log_Reseau_Master[[#This Row],[Duree_Panne_Min]]/1440</f>
        <v>4.1666666666666664E-2</v>
      </c>
      <c r="C624" t="s">
        <v>1535</v>
      </c>
      <c r="D624">
        <v>60</v>
      </c>
      <c r="E624" t="s">
        <v>1314</v>
      </c>
      <c r="F624" t="str">
        <f>_xlfn.XLOOKUP(Log_Reseau_Master[[#This Row],[Cell_ID]],_29_03_2026_Registre_Maintenance_V2[ID_Antenne],_29_03_2026_Registre_Maintenance_V2[Province_RDC],"Pas de correspondance")</f>
        <v>Pas de correspondance</v>
      </c>
      <c r="G624" t="str">
        <f>_xlfn.XLOOKUP(Log_Reseau_Master[[#This Row],[Cell_ID]],_29_03_2026_Registre_Maintenance_V2[ID_Antenne],_29_03_2026_Registre_Maintenance_V2[Technologie],"Pas de correspondance")</f>
        <v>Pas de correspondance</v>
      </c>
      <c r="H624" t="str">
        <f>_xlfn.XLOOKUP(Log_Reseau_Master[[#This Row],[Cell_ID]],_29_03_2026_Registre_Maintenance_V2[ID_Antenne],_29_03_2026_Registre_Maintenance_V2[Equipementier],"Pas de correspondance")</f>
        <v>Pas de correspondance</v>
      </c>
    </row>
    <row r="625" spans="1:8" x14ac:dyDescent="0.25">
      <c r="A625" s="1">
        <v>45220.618750000001</v>
      </c>
      <c r="B625" s="4">
        <f>Log_Reseau_Master[[#This Row],[Duree_Panne_Min]]/1440</f>
        <v>5.486111111111111E-2</v>
      </c>
      <c r="C625" t="s">
        <v>480</v>
      </c>
      <c r="D625">
        <v>79</v>
      </c>
      <c r="E625" t="s">
        <v>1314</v>
      </c>
      <c r="F625" t="str">
        <f>_xlfn.XLOOKUP(Log_Reseau_Master[[#This Row],[Cell_ID]],_29_03_2026_Registre_Maintenance_V2[ID_Antenne],_29_03_2026_Registre_Maintenance_V2[Province_RDC],"Pas de correspondance")</f>
        <v>Sud-Kivu</v>
      </c>
      <c r="G625" t="str">
        <f>_xlfn.XLOOKUP(Log_Reseau_Master[[#This Row],[Cell_ID]],_29_03_2026_Registre_Maintenance_V2[ID_Antenne],_29_03_2026_Registre_Maintenance_V2[Technologie],"Pas de correspondance")</f>
        <v>3G</v>
      </c>
      <c r="H625" t="str">
        <f>_xlfn.XLOOKUP(Log_Reseau_Master[[#This Row],[Cell_ID]],_29_03_2026_Registre_Maintenance_V2[ID_Antenne],_29_03_2026_Registre_Maintenance_V2[Equipementier],"Pas de correspondance")</f>
        <v>Huawei</v>
      </c>
    </row>
    <row r="626" spans="1:8" x14ac:dyDescent="0.25">
      <c r="A626" s="1">
        <v>45208.10833333333</v>
      </c>
      <c r="B626" s="4">
        <f>Log_Reseau_Master[[#This Row],[Duree_Panne_Min]]/1440</f>
        <v>7.0833333333333331E-2</v>
      </c>
      <c r="C626" t="s">
        <v>480</v>
      </c>
      <c r="D626">
        <v>102</v>
      </c>
      <c r="E626" t="s">
        <v>1312</v>
      </c>
      <c r="F626" t="str">
        <f>_xlfn.XLOOKUP(Log_Reseau_Master[[#This Row],[Cell_ID]],_29_03_2026_Registre_Maintenance_V2[ID_Antenne],_29_03_2026_Registre_Maintenance_V2[Province_RDC],"Pas de correspondance")</f>
        <v>Sud-Kivu</v>
      </c>
      <c r="G626" t="str">
        <f>_xlfn.XLOOKUP(Log_Reseau_Master[[#This Row],[Cell_ID]],_29_03_2026_Registre_Maintenance_V2[ID_Antenne],_29_03_2026_Registre_Maintenance_V2[Technologie],"Pas de correspondance")</f>
        <v>3G</v>
      </c>
      <c r="H626" t="str">
        <f>_xlfn.XLOOKUP(Log_Reseau_Master[[#This Row],[Cell_ID]],_29_03_2026_Registre_Maintenance_V2[ID_Antenne],_29_03_2026_Registre_Maintenance_V2[Equipementier],"Pas de correspondance")</f>
        <v>Huawei</v>
      </c>
    </row>
    <row r="627" spans="1:8" hidden="1" x14ac:dyDescent="0.25">
      <c r="A627" s="1">
        <v>45230.061111111114</v>
      </c>
      <c r="B627">
        <f>Log_Reseau_Master[[#This Row],[Duree_Panne_Min]]/1440</f>
        <v>7.1527777777777773E-2</v>
      </c>
      <c r="C627" t="s">
        <v>1536</v>
      </c>
      <c r="D627">
        <v>103</v>
      </c>
      <c r="E627" t="s">
        <v>1314</v>
      </c>
      <c r="F627" t="str">
        <f>_xlfn.XLOOKUP(Log_Reseau_Master[[#This Row],[Cell_ID]],_29_03_2026_Registre_Maintenance_V2[ID_Antenne],_29_03_2026_Registre_Maintenance_V2[Province_RDC],"Pas de correspondance")</f>
        <v>Pas de correspondance</v>
      </c>
      <c r="G627" t="str">
        <f>_xlfn.XLOOKUP(Log_Reseau_Master[[#This Row],[Cell_ID]],_29_03_2026_Registre_Maintenance_V2[ID_Antenne],_29_03_2026_Registre_Maintenance_V2[Technologie],"Pas de correspondance")</f>
        <v>Pas de correspondance</v>
      </c>
      <c r="H627" t="str">
        <f>_xlfn.XLOOKUP(Log_Reseau_Master[[#This Row],[Cell_ID]],_29_03_2026_Registre_Maintenance_V2[ID_Antenne],_29_03_2026_Registre_Maintenance_V2[Equipementier],"Pas de correspondance")</f>
        <v>Pas de correspondance</v>
      </c>
    </row>
    <row r="628" spans="1:8" hidden="1" x14ac:dyDescent="0.25">
      <c r="A628" s="1">
        <v>45223.719444444447</v>
      </c>
      <c r="B628">
        <f>Log_Reseau_Master[[#This Row],[Duree_Panne_Min]]/1440</f>
        <v>4.2361111111111113E-2</v>
      </c>
      <c r="C628" t="s">
        <v>1536</v>
      </c>
      <c r="D628">
        <v>61</v>
      </c>
      <c r="E628" t="s">
        <v>1312</v>
      </c>
      <c r="F628" t="str">
        <f>_xlfn.XLOOKUP(Log_Reseau_Master[[#This Row],[Cell_ID]],_29_03_2026_Registre_Maintenance_V2[ID_Antenne],_29_03_2026_Registre_Maintenance_V2[Province_RDC],"Pas de correspondance")</f>
        <v>Pas de correspondance</v>
      </c>
      <c r="G628" t="str">
        <f>_xlfn.XLOOKUP(Log_Reseau_Master[[#This Row],[Cell_ID]],_29_03_2026_Registre_Maintenance_V2[ID_Antenne],_29_03_2026_Registre_Maintenance_V2[Technologie],"Pas de correspondance")</f>
        <v>Pas de correspondance</v>
      </c>
      <c r="H628" t="str">
        <f>_xlfn.XLOOKUP(Log_Reseau_Master[[#This Row],[Cell_ID]],_29_03_2026_Registre_Maintenance_V2[ID_Antenne],_29_03_2026_Registre_Maintenance_V2[Equipementier],"Pas de correspondance")</f>
        <v>Pas de correspondance</v>
      </c>
    </row>
    <row r="629" spans="1:8" hidden="1" x14ac:dyDescent="0.25">
      <c r="A629" s="1">
        <v>45226.631249999999</v>
      </c>
      <c r="B629">
        <f>Log_Reseau_Master[[#This Row],[Duree_Panne_Min]]/1440</f>
        <v>7.7777777777777779E-2</v>
      </c>
      <c r="C629" t="s">
        <v>1537</v>
      </c>
      <c r="D629">
        <v>112</v>
      </c>
      <c r="E629" t="s">
        <v>1312</v>
      </c>
      <c r="F629" t="str">
        <f>_xlfn.XLOOKUP(Log_Reseau_Master[[#This Row],[Cell_ID]],_29_03_2026_Registre_Maintenance_V2[ID_Antenne],_29_03_2026_Registre_Maintenance_V2[Province_RDC],"Pas de correspondance")</f>
        <v>Pas de correspondance</v>
      </c>
      <c r="G629" t="str">
        <f>_xlfn.XLOOKUP(Log_Reseau_Master[[#This Row],[Cell_ID]],_29_03_2026_Registre_Maintenance_V2[ID_Antenne],_29_03_2026_Registre_Maintenance_V2[Technologie],"Pas de correspondance")</f>
        <v>Pas de correspondance</v>
      </c>
      <c r="H629" t="str">
        <f>_xlfn.XLOOKUP(Log_Reseau_Master[[#This Row],[Cell_ID]],_29_03_2026_Registre_Maintenance_V2[ID_Antenne],_29_03_2026_Registre_Maintenance_V2[Equipementier],"Pas de correspondance")</f>
        <v>Pas de correspondance</v>
      </c>
    </row>
    <row r="630" spans="1:8" x14ac:dyDescent="0.25">
      <c r="A630" s="1">
        <v>45200.506249999999</v>
      </c>
      <c r="B630" s="4">
        <f>Log_Reseau_Master[[#This Row],[Duree_Panne_Min]]/1440</f>
        <v>6.8750000000000006E-2</v>
      </c>
      <c r="C630" t="s">
        <v>227</v>
      </c>
      <c r="D630">
        <v>99</v>
      </c>
      <c r="E630" t="s">
        <v>1314</v>
      </c>
      <c r="F630" t="str">
        <f>_xlfn.XLOOKUP(Log_Reseau_Master[[#This Row],[Cell_ID]],_29_03_2026_Registre_Maintenance_V2[ID_Antenne],_29_03_2026_Registre_Maintenance_V2[Province_RDC],"Pas de correspondance")</f>
        <v>Haut-Katanga</v>
      </c>
      <c r="G630" t="str">
        <f>_xlfn.XLOOKUP(Log_Reseau_Master[[#This Row],[Cell_ID]],_29_03_2026_Registre_Maintenance_V2[ID_Antenne],_29_03_2026_Registre_Maintenance_V2[Technologie],"Pas de correspondance")</f>
        <v>4G</v>
      </c>
      <c r="H630" t="str">
        <f>_xlfn.XLOOKUP(Log_Reseau_Master[[#This Row],[Cell_ID]],_29_03_2026_Registre_Maintenance_V2[ID_Antenne],_29_03_2026_Registre_Maintenance_V2[Equipementier],"Pas de correspondance")</f>
        <v>Ericsson</v>
      </c>
    </row>
    <row r="631" spans="1:8" x14ac:dyDescent="0.25">
      <c r="A631" s="1">
        <v>45230.12777777778</v>
      </c>
      <c r="B631" s="4">
        <f>Log_Reseau_Master[[#This Row],[Duree_Panne_Min]]/1440</f>
        <v>6.0416666666666667E-2</v>
      </c>
      <c r="C631" t="s">
        <v>227</v>
      </c>
      <c r="D631">
        <v>87</v>
      </c>
      <c r="E631" t="s">
        <v>1321</v>
      </c>
      <c r="F631" t="str">
        <f>_xlfn.XLOOKUP(Log_Reseau_Master[[#This Row],[Cell_ID]],_29_03_2026_Registre_Maintenance_V2[ID_Antenne],_29_03_2026_Registre_Maintenance_V2[Province_RDC],"Pas de correspondance")</f>
        <v>Haut-Katanga</v>
      </c>
      <c r="G631" t="str">
        <f>_xlfn.XLOOKUP(Log_Reseau_Master[[#This Row],[Cell_ID]],_29_03_2026_Registre_Maintenance_V2[ID_Antenne],_29_03_2026_Registre_Maintenance_V2[Technologie],"Pas de correspondance")</f>
        <v>4G</v>
      </c>
      <c r="H631" t="str">
        <f>_xlfn.XLOOKUP(Log_Reseau_Master[[#This Row],[Cell_ID]],_29_03_2026_Registre_Maintenance_V2[ID_Antenne],_29_03_2026_Registre_Maintenance_V2[Equipementier],"Pas de correspondance")</f>
        <v>Ericsson</v>
      </c>
    </row>
    <row r="632" spans="1:8" x14ac:dyDescent="0.25">
      <c r="A632" s="1">
        <v>45200.445138888892</v>
      </c>
      <c r="B632" s="4">
        <f>Log_Reseau_Master[[#This Row],[Duree_Panne_Min]]/1440</f>
        <v>7.7777777777777779E-2</v>
      </c>
      <c r="C632" t="s">
        <v>227</v>
      </c>
      <c r="D632">
        <v>112</v>
      </c>
      <c r="E632" t="s">
        <v>1314</v>
      </c>
      <c r="F632" t="str">
        <f>_xlfn.XLOOKUP(Log_Reseau_Master[[#This Row],[Cell_ID]],_29_03_2026_Registre_Maintenance_V2[ID_Antenne],_29_03_2026_Registre_Maintenance_V2[Province_RDC],"Pas de correspondance")</f>
        <v>Haut-Katanga</v>
      </c>
      <c r="G632" t="str">
        <f>_xlfn.XLOOKUP(Log_Reseau_Master[[#This Row],[Cell_ID]],_29_03_2026_Registre_Maintenance_V2[ID_Antenne],_29_03_2026_Registre_Maintenance_V2[Technologie],"Pas de correspondance")</f>
        <v>4G</v>
      </c>
      <c r="H632" t="str">
        <f>_xlfn.XLOOKUP(Log_Reseau_Master[[#This Row],[Cell_ID]],_29_03_2026_Registre_Maintenance_V2[ID_Antenne],_29_03_2026_Registre_Maintenance_V2[Equipementier],"Pas de correspondance")</f>
        <v>Ericsson</v>
      </c>
    </row>
    <row r="633" spans="1:8" x14ac:dyDescent="0.25">
      <c r="A633" s="1">
        <v>45217.384722222225</v>
      </c>
      <c r="B633" s="4">
        <f>Log_Reseau_Master[[#This Row],[Duree_Panne_Min]]/1440</f>
        <v>6.8750000000000006E-2</v>
      </c>
      <c r="C633" t="s">
        <v>220</v>
      </c>
      <c r="D633">
        <v>99</v>
      </c>
      <c r="E633" t="s">
        <v>1312</v>
      </c>
      <c r="F633" t="str">
        <f>_xlfn.XLOOKUP(Log_Reseau_Master[[#This Row],[Cell_ID]],_29_03_2026_Registre_Maintenance_V2[ID_Antenne],_29_03_2026_Registre_Maintenance_V2[Province_RDC],"Pas de correspondance")</f>
        <v>Haut-Lomami</v>
      </c>
      <c r="G633" t="str">
        <f>_xlfn.XLOOKUP(Log_Reseau_Master[[#This Row],[Cell_ID]],_29_03_2026_Registre_Maintenance_V2[ID_Antenne],_29_03_2026_Registre_Maintenance_V2[Technologie],"Pas de correspondance")</f>
        <v>3G</v>
      </c>
      <c r="H633" t="str">
        <f>_xlfn.XLOOKUP(Log_Reseau_Master[[#This Row],[Cell_ID]],_29_03_2026_Registre_Maintenance_V2[ID_Antenne],_29_03_2026_Registre_Maintenance_V2[Equipementier],"Pas de correspondance")</f>
        <v>Ericsson</v>
      </c>
    </row>
    <row r="634" spans="1:8" x14ac:dyDescent="0.25">
      <c r="A634" s="1">
        <v>45228.736111111109</v>
      </c>
      <c r="B634" s="4">
        <f>Log_Reseau_Master[[#This Row],[Duree_Panne_Min]]/1440</f>
        <v>4.583333333333333E-2</v>
      </c>
      <c r="C634" t="s">
        <v>331</v>
      </c>
      <c r="D634">
        <v>66</v>
      </c>
      <c r="E634" t="s">
        <v>1321</v>
      </c>
      <c r="F634" t="str">
        <f>_xlfn.XLOOKUP(Log_Reseau_Master[[#This Row],[Cell_ID]],_29_03_2026_Registre_Maintenance_V2[ID_Antenne],_29_03_2026_Registre_Maintenance_V2[Province_RDC],"Pas de correspondance")</f>
        <v>Kasai-Oriental</v>
      </c>
      <c r="G634" t="str">
        <f>_xlfn.XLOOKUP(Log_Reseau_Master[[#This Row],[Cell_ID]],_29_03_2026_Registre_Maintenance_V2[ID_Antenne],_29_03_2026_Registre_Maintenance_V2[Technologie],"Pas de correspondance")</f>
        <v>5G</v>
      </c>
      <c r="H634" t="str">
        <f>_xlfn.XLOOKUP(Log_Reseau_Master[[#This Row],[Cell_ID]],_29_03_2026_Registre_Maintenance_V2[ID_Antenne],_29_03_2026_Registre_Maintenance_V2[Equipementier],"Pas de correspondance")</f>
        <v>Nokia</v>
      </c>
    </row>
    <row r="635" spans="1:8" hidden="1" x14ac:dyDescent="0.25">
      <c r="A635" s="1">
        <v>45222.52847222222</v>
      </c>
      <c r="B635">
        <f>Log_Reseau_Master[[#This Row],[Duree_Panne_Min]]/1440</f>
        <v>7.7083333333333337E-2</v>
      </c>
      <c r="C635" t="s">
        <v>1538</v>
      </c>
      <c r="D635">
        <v>111</v>
      </c>
      <c r="E635" t="s">
        <v>1314</v>
      </c>
      <c r="F635" t="str">
        <f>_xlfn.XLOOKUP(Log_Reseau_Master[[#This Row],[Cell_ID]],_29_03_2026_Registre_Maintenance_V2[ID_Antenne],_29_03_2026_Registre_Maintenance_V2[Province_RDC],"Pas de correspondance")</f>
        <v>Pas de correspondance</v>
      </c>
      <c r="G635" t="str">
        <f>_xlfn.XLOOKUP(Log_Reseau_Master[[#This Row],[Cell_ID]],_29_03_2026_Registre_Maintenance_V2[ID_Antenne],_29_03_2026_Registre_Maintenance_V2[Technologie],"Pas de correspondance")</f>
        <v>Pas de correspondance</v>
      </c>
      <c r="H635" t="str">
        <f>_xlfn.XLOOKUP(Log_Reseau_Master[[#This Row],[Cell_ID]],_29_03_2026_Registre_Maintenance_V2[ID_Antenne],_29_03_2026_Registre_Maintenance_V2[Equipementier],"Pas de correspondance")</f>
        <v>Pas de correspondance</v>
      </c>
    </row>
    <row r="636" spans="1:8" hidden="1" x14ac:dyDescent="0.25">
      <c r="A636" s="1">
        <v>45216.001388888886</v>
      </c>
      <c r="B636">
        <f>Log_Reseau_Master[[#This Row],[Duree_Panne_Min]]/1440</f>
        <v>5.1388888888888887E-2</v>
      </c>
      <c r="C636" t="s">
        <v>1539</v>
      </c>
      <c r="D636">
        <v>74</v>
      </c>
      <c r="E636" t="s">
        <v>1321</v>
      </c>
      <c r="F636" t="str">
        <f>_xlfn.XLOOKUP(Log_Reseau_Master[[#This Row],[Cell_ID]],_29_03_2026_Registre_Maintenance_V2[ID_Antenne],_29_03_2026_Registre_Maintenance_V2[Province_RDC],"Pas de correspondance")</f>
        <v>Pas de correspondance</v>
      </c>
      <c r="G636" t="str">
        <f>_xlfn.XLOOKUP(Log_Reseau_Master[[#This Row],[Cell_ID]],_29_03_2026_Registre_Maintenance_V2[ID_Antenne],_29_03_2026_Registre_Maintenance_V2[Technologie],"Pas de correspondance")</f>
        <v>Pas de correspondance</v>
      </c>
      <c r="H636" t="str">
        <f>_xlfn.XLOOKUP(Log_Reseau_Master[[#This Row],[Cell_ID]],_29_03_2026_Registre_Maintenance_V2[ID_Antenne],_29_03_2026_Registre_Maintenance_V2[Equipementier],"Pas de correspondance")</f>
        <v>Pas de correspondance</v>
      </c>
    </row>
    <row r="637" spans="1:8" hidden="1" x14ac:dyDescent="0.25">
      <c r="A637" s="1">
        <v>45202.499305555553</v>
      </c>
      <c r="B637">
        <f>Log_Reseau_Master[[#This Row],[Duree_Panne_Min]]/1440</f>
        <v>3.9583333333333331E-2</v>
      </c>
      <c r="C637" t="s">
        <v>1539</v>
      </c>
      <c r="D637">
        <v>57</v>
      </c>
      <c r="E637" t="s">
        <v>1312</v>
      </c>
      <c r="F637" t="str">
        <f>_xlfn.XLOOKUP(Log_Reseau_Master[[#This Row],[Cell_ID]],_29_03_2026_Registre_Maintenance_V2[ID_Antenne],_29_03_2026_Registre_Maintenance_V2[Province_RDC],"Pas de correspondance")</f>
        <v>Pas de correspondance</v>
      </c>
      <c r="G637" t="str">
        <f>_xlfn.XLOOKUP(Log_Reseau_Master[[#This Row],[Cell_ID]],_29_03_2026_Registre_Maintenance_V2[ID_Antenne],_29_03_2026_Registre_Maintenance_V2[Technologie],"Pas de correspondance")</f>
        <v>Pas de correspondance</v>
      </c>
      <c r="H637" t="str">
        <f>_xlfn.XLOOKUP(Log_Reseau_Master[[#This Row],[Cell_ID]],_29_03_2026_Registre_Maintenance_V2[ID_Antenne],_29_03_2026_Registre_Maintenance_V2[Equipementier],"Pas de correspondance")</f>
        <v>Pas de correspondance</v>
      </c>
    </row>
    <row r="638" spans="1:8" x14ac:dyDescent="0.25">
      <c r="A638" s="1">
        <v>45209.901388888888</v>
      </c>
      <c r="B638" s="4">
        <f>Log_Reseau_Master[[#This Row],[Duree_Panne_Min]]/1440</f>
        <v>4.7222222222222221E-2</v>
      </c>
      <c r="C638" t="s">
        <v>56</v>
      </c>
      <c r="D638">
        <v>68</v>
      </c>
      <c r="E638" t="s">
        <v>1312</v>
      </c>
      <c r="F638" t="str">
        <f>_xlfn.XLOOKUP(Log_Reseau_Master[[#This Row],[Cell_ID]],_29_03_2026_Registre_Maintenance_V2[ID_Antenne],_29_03_2026_Registre_Maintenance_V2[Province_RDC],"Pas de correspondance")</f>
        <v>Sud-Ubangi</v>
      </c>
      <c r="G638" t="str">
        <f>_xlfn.XLOOKUP(Log_Reseau_Master[[#This Row],[Cell_ID]],_29_03_2026_Registre_Maintenance_V2[ID_Antenne],_29_03_2026_Registre_Maintenance_V2[Technologie],"Pas de correspondance")</f>
        <v>4G</v>
      </c>
      <c r="H638" t="str">
        <f>_xlfn.XLOOKUP(Log_Reseau_Master[[#This Row],[Cell_ID]],_29_03_2026_Registre_Maintenance_V2[ID_Antenne],_29_03_2026_Registre_Maintenance_V2[Equipementier],"Pas de correspondance")</f>
        <v>ZTE</v>
      </c>
    </row>
    <row r="639" spans="1:8" x14ac:dyDescent="0.25">
      <c r="A639" s="1">
        <v>45208.279166666667</v>
      </c>
      <c r="B639" s="4">
        <f>Log_Reseau_Master[[#This Row],[Duree_Panne_Min]]/1440</f>
        <v>2.8472222222222222E-2</v>
      </c>
      <c r="C639" t="s">
        <v>255</v>
      </c>
      <c r="D639">
        <v>41</v>
      </c>
      <c r="E639" t="s">
        <v>1312</v>
      </c>
      <c r="F639" t="str">
        <f>_xlfn.XLOOKUP(Log_Reseau_Master[[#This Row],[Cell_ID]],_29_03_2026_Registre_Maintenance_V2[ID_Antenne],_29_03_2026_Registre_Maintenance_V2[Province_RDC],"Pas de correspondance")</f>
        <v>Nord-Ubangi</v>
      </c>
      <c r="G639" t="str">
        <f>_xlfn.XLOOKUP(Log_Reseau_Master[[#This Row],[Cell_ID]],_29_03_2026_Registre_Maintenance_V2[ID_Antenne],_29_03_2026_Registre_Maintenance_V2[Technologie],"Pas de correspondance")</f>
        <v>5G</v>
      </c>
      <c r="H639" t="str">
        <f>_xlfn.XLOOKUP(Log_Reseau_Master[[#This Row],[Cell_ID]],_29_03_2026_Registre_Maintenance_V2[ID_Antenne],_29_03_2026_Registre_Maintenance_V2[Equipementier],"Pas de correspondance")</f>
        <v>ZTE</v>
      </c>
    </row>
    <row r="640" spans="1:8" hidden="1" x14ac:dyDescent="0.25">
      <c r="A640" s="1">
        <v>45219.834027777775</v>
      </c>
      <c r="B640">
        <f>Log_Reseau_Master[[#This Row],[Duree_Panne_Min]]/1440</f>
        <v>4.4444444444444446E-2</v>
      </c>
      <c r="C640" t="s">
        <v>1540</v>
      </c>
      <c r="D640">
        <v>64</v>
      </c>
      <c r="E640" t="s">
        <v>1321</v>
      </c>
      <c r="F640" t="str">
        <f>_xlfn.XLOOKUP(Log_Reseau_Master[[#This Row],[Cell_ID]],_29_03_2026_Registre_Maintenance_V2[ID_Antenne],_29_03_2026_Registre_Maintenance_V2[Province_RDC],"Pas de correspondance")</f>
        <v>Pas de correspondance</v>
      </c>
      <c r="G640" t="str">
        <f>_xlfn.XLOOKUP(Log_Reseau_Master[[#This Row],[Cell_ID]],_29_03_2026_Registre_Maintenance_V2[ID_Antenne],_29_03_2026_Registre_Maintenance_V2[Technologie],"Pas de correspondance")</f>
        <v>Pas de correspondance</v>
      </c>
      <c r="H640" t="str">
        <f>_xlfn.XLOOKUP(Log_Reseau_Master[[#This Row],[Cell_ID]],_29_03_2026_Registre_Maintenance_V2[ID_Antenne],_29_03_2026_Registre_Maintenance_V2[Equipementier],"Pas de correspondance")</f>
        <v>Pas de correspondance</v>
      </c>
    </row>
    <row r="641" spans="1:8" hidden="1" x14ac:dyDescent="0.25">
      <c r="A641" s="1">
        <v>45208.506249999999</v>
      </c>
      <c r="B641">
        <f>Log_Reseau_Master[[#This Row],[Duree_Panne_Min]]/1440</f>
        <v>6.3194444444444442E-2</v>
      </c>
      <c r="C641" t="s">
        <v>1541</v>
      </c>
      <c r="D641">
        <v>91</v>
      </c>
      <c r="E641" t="s">
        <v>1321</v>
      </c>
      <c r="F641" t="str">
        <f>_xlfn.XLOOKUP(Log_Reseau_Master[[#This Row],[Cell_ID]],_29_03_2026_Registre_Maintenance_V2[ID_Antenne],_29_03_2026_Registre_Maintenance_V2[Province_RDC],"Pas de correspondance")</f>
        <v>Pas de correspondance</v>
      </c>
      <c r="G641" t="str">
        <f>_xlfn.XLOOKUP(Log_Reseau_Master[[#This Row],[Cell_ID]],_29_03_2026_Registre_Maintenance_V2[ID_Antenne],_29_03_2026_Registre_Maintenance_V2[Technologie],"Pas de correspondance")</f>
        <v>Pas de correspondance</v>
      </c>
      <c r="H641" t="str">
        <f>_xlfn.XLOOKUP(Log_Reseau_Master[[#This Row],[Cell_ID]],_29_03_2026_Registre_Maintenance_V2[ID_Antenne],_29_03_2026_Registre_Maintenance_V2[Equipementier],"Pas de correspondance")</f>
        <v>Pas de correspondance</v>
      </c>
    </row>
    <row r="642" spans="1:8" hidden="1" x14ac:dyDescent="0.25">
      <c r="A642" s="1">
        <v>45228.518055555556</v>
      </c>
      <c r="B642">
        <f>Log_Reseau_Master[[#This Row],[Duree_Panne_Min]]/1440</f>
        <v>6.3888888888888884E-2</v>
      </c>
      <c r="C642" t="s">
        <v>1541</v>
      </c>
      <c r="D642">
        <v>92</v>
      </c>
      <c r="E642" t="s">
        <v>1321</v>
      </c>
      <c r="F642" t="str">
        <f>_xlfn.XLOOKUP(Log_Reseau_Master[[#This Row],[Cell_ID]],_29_03_2026_Registre_Maintenance_V2[ID_Antenne],_29_03_2026_Registre_Maintenance_V2[Province_RDC],"Pas de correspondance")</f>
        <v>Pas de correspondance</v>
      </c>
      <c r="G642" t="str">
        <f>_xlfn.XLOOKUP(Log_Reseau_Master[[#This Row],[Cell_ID]],_29_03_2026_Registre_Maintenance_V2[ID_Antenne],_29_03_2026_Registre_Maintenance_V2[Technologie],"Pas de correspondance")</f>
        <v>Pas de correspondance</v>
      </c>
      <c r="H642" t="str">
        <f>_xlfn.XLOOKUP(Log_Reseau_Master[[#This Row],[Cell_ID]],_29_03_2026_Registre_Maintenance_V2[ID_Antenne],_29_03_2026_Registre_Maintenance_V2[Equipementier],"Pas de correspondance")</f>
        <v>Pas de correspondance</v>
      </c>
    </row>
    <row r="643" spans="1:8" x14ac:dyDescent="0.25">
      <c r="A643" s="1">
        <v>45221.27847222222</v>
      </c>
      <c r="B643" s="4">
        <f>Log_Reseau_Master[[#This Row],[Duree_Panne_Min]]/1440</f>
        <v>5.7638888888888892E-2</v>
      </c>
      <c r="C643" t="s">
        <v>348</v>
      </c>
      <c r="D643">
        <v>83</v>
      </c>
      <c r="E643" t="s">
        <v>1321</v>
      </c>
      <c r="F643" t="str">
        <f>_xlfn.XLOOKUP(Log_Reseau_Master[[#This Row],[Cell_ID]],_29_03_2026_Registre_Maintenance_V2[ID_Antenne],_29_03_2026_Registre_Maintenance_V2[Province_RDC],"Pas de correspondance")</f>
        <v>Tshuapa</v>
      </c>
      <c r="G643" t="str">
        <f>_xlfn.XLOOKUP(Log_Reseau_Master[[#This Row],[Cell_ID]],_29_03_2026_Registre_Maintenance_V2[ID_Antenne],_29_03_2026_Registre_Maintenance_V2[Technologie],"Pas de correspondance")</f>
        <v>3G</v>
      </c>
      <c r="H643" t="str">
        <f>_xlfn.XLOOKUP(Log_Reseau_Master[[#This Row],[Cell_ID]],_29_03_2026_Registre_Maintenance_V2[ID_Antenne],_29_03_2026_Registre_Maintenance_V2[Equipementier],"Pas de correspondance")</f>
        <v>Huawei</v>
      </c>
    </row>
    <row r="644" spans="1:8" x14ac:dyDescent="0.25">
      <c r="A644" s="1">
        <v>45205.47152777778</v>
      </c>
      <c r="B644" s="4">
        <f>Log_Reseau_Master[[#This Row],[Duree_Panne_Min]]/1440</f>
        <v>3.4722222222222224E-2</v>
      </c>
      <c r="C644" t="s">
        <v>81</v>
      </c>
      <c r="D644">
        <v>50</v>
      </c>
      <c r="E644" t="s">
        <v>1312</v>
      </c>
      <c r="F644" t="str">
        <f>_xlfn.XLOOKUP(Log_Reseau_Master[[#This Row],[Cell_ID]],_29_03_2026_Registre_Maintenance_V2[ID_Antenne],_29_03_2026_Registre_Maintenance_V2[Province_RDC],"Pas de correspondance")</f>
        <v>Haut-Lomami</v>
      </c>
      <c r="G644" t="str">
        <f>_xlfn.XLOOKUP(Log_Reseau_Master[[#This Row],[Cell_ID]],_29_03_2026_Registre_Maintenance_V2[ID_Antenne],_29_03_2026_Registre_Maintenance_V2[Technologie],"Pas de correspondance")</f>
        <v>4G</v>
      </c>
      <c r="H644" t="str">
        <f>_xlfn.XLOOKUP(Log_Reseau_Master[[#This Row],[Cell_ID]],_29_03_2026_Registre_Maintenance_V2[ID_Antenne],_29_03_2026_Registre_Maintenance_V2[Equipementier],"Pas de correspondance")</f>
        <v>Huawei</v>
      </c>
    </row>
    <row r="645" spans="1:8" x14ac:dyDescent="0.25">
      <c r="A645" s="1">
        <v>45200.342361111114</v>
      </c>
      <c r="B645" s="4">
        <f>Log_Reseau_Master[[#This Row],[Duree_Panne_Min]]/1440</f>
        <v>5.9722222222222225E-2</v>
      </c>
      <c r="C645" t="s">
        <v>81</v>
      </c>
      <c r="D645">
        <v>86</v>
      </c>
      <c r="E645" t="s">
        <v>1312</v>
      </c>
      <c r="F645" t="str">
        <f>_xlfn.XLOOKUP(Log_Reseau_Master[[#This Row],[Cell_ID]],_29_03_2026_Registre_Maintenance_V2[ID_Antenne],_29_03_2026_Registre_Maintenance_V2[Province_RDC],"Pas de correspondance")</f>
        <v>Haut-Lomami</v>
      </c>
      <c r="G645" t="str">
        <f>_xlfn.XLOOKUP(Log_Reseau_Master[[#This Row],[Cell_ID]],_29_03_2026_Registre_Maintenance_V2[ID_Antenne],_29_03_2026_Registre_Maintenance_V2[Technologie],"Pas de correspondance")</f>
        <v>4G</v>
      </c>
      <c r="H645" t="str">
        <f>_xlfn.XLOOKUP(Log_Reseau_Master[[#This Row],[Cell_ID]],_29_03_2026_Registre_Maintenance_V2[ID_Antenne],_29_03_2026_Registre_Maintenance_V2[Equipementier],"Pas de correspondance")</f>
        <v>Huawei</v>
      </c>
    </row>
    <row r="646" spans="1:8" hidden="1" x14ac:dyDescent="0.25">
      <c r="A646" s="1">
        <v>45224.297222222223</v>
      </c>
      <c r="B646">
        <f>Log_Reseau_Master[[#This Row],[Duree_Panne_Min]]/1440</f>
        <v>8.3333333333333332E-3</v>
      </c>
      <c r="C646" t="s">
        <v>1542</v>
      </c>
      <c r="D646">
        <v>12</v>
      </c>
      <c r="E646" t="s">
        <v>1321</v>
      </c>
      <c r="F646" t="str">
        <f>_xlfn.XLOOKUP(Log_Reseau_Master[[#This Row],[Cell_ID]],_29_03_2026_Registre_Maintenance_V2[ID_Antenne],_29_03_2026_Registre_Maintenance_V2[Province_RDC],"Pas de correspondance")</f>
        <v>Pas de correspondance</v>
      </c>
      <c r="G646" t="str">
        <f>_xlfn.XLOOKUP(Log_Reseau_Master[[#This Row],[Cell_ID]],_29_03_2026_Registre_Maintenance_V2[ID_Antenne],_29_03_2026_Registre_Maintenance_V2[Technologie],"Pas de correspondance")</f>
        <v>Pas de correspondance</v>
      </c>
      <c r="H646" t="str">
        <f>_xlfn.XLOOKUP(Log_Reseau_Master[[#This Row],[Cell_ID]],_29_03_2026_Registre_Maintenance_V2[ID_Antenne],_29_03_2026_Registre_Maintenance_V2[Equipementier],"Pas de correspondance")</f>
        <v>Pas de correspondance</v>
      </c>
    </row>
    <row r="647" spans="1:8" x14ac:dyDescent="0.25">
      <c r="A647" s="1">
        <v>45229.972222222219</v>
      </c>
      <c r="B647" s="4">
        <f>Log_Reseau_Master[[#This Row],[Duree_Panne_Min]]/1440</f>
        <v>3.472222222222222E-3</v>
      </c>
      <c r="C647" t="s">
        <v>221</v>
      </c>
      <c r="D647">
        <v>5</v>
      </c>
      <c r="E647" t="s">
        <v>1321</v>
      </c>
      <c r="F647" t="str">
        <f>_xlfn.XLOOKUP(Log_Reseau_Master[[#This Row],[Cell_ID]],_29_03_2026_Registre_Maintenance_V2[ID_Antenne],_29_03_2026_Registre_Maintenance_V2[Province_RDC],"Pas de correspondance")</f>
        <v>Nord-Ubangi</v>
      </c>
      <c r="G647" t="str">
        <f>_xlfn.XLOOKUP(Log_Reseau_Master[[#This Row],[Cell_ID]],_29_03_2026_Registre_Maintenance_V2[ID_Antenne],_29_03_2026_Registre_Maintenance_V2[Technologie],"Pas de correspondance")</f>
        <v>4G</v>
      </c>
      <c r="H647" t="str">
        <f>_xlfn.XLOOKUP(Log_Reseau_Master[[#This Row],[Cell_ID]],_29_03_2026_Registre_Maintenance_V2[ID_Antenne],_29_03_2026_Registre_Maintenance_V2[Equipementier],"Pas de correspondance")</f>
        <v>Ericsson</v>
      </c>
    </row>
    <row r="648" spans="1:8" x14ac:dyDescent="0.25">
      <c r="A648" s="1">
        <v>45226.209027777775</v>
      </c>
      <c r="B648" s="4">
        <f>Log_Reseau_Master[[#This Row],[Duree_Panne_Min]]/1440</f>
        <v>5.6250000000000001E-2</v>
      </c>
      <c r="C648" t="s">
        <v>221</v>
      </c>
      <c r="D648">
        <v>81</v>
      </c>
      <c r="E648" t="s">
        <v>1321</v>
      </c>
      <c r="F648" t="str">
        <f>_xlfn.XLOOKUP(Log_Reseau_Master[[#This Row],[Cell_ID]],_29_03_2026_Registre_Maintenance_V2[ID_Antenne],_29_03_2026_Registre_Maintenance_V2[Province_RDC],"Pas de correspondance")</f>
        <v>Nord-Ubangi</v>
      </c>
      <c r="G648" t="str">
        <f>_xlfn.XLOOKUP(Log_Reseau_Master[[#This Row],[Cell_ID]],_29_03_2026_Registre_Maintenance_V2[ID_Antenne],_29_03_2026_Registre_Maintenance_V2[Technologie],"Pas de correspondance")</f>
        <v>4G</v>
      </c>
      <c r="H648" t="str">
        <f>_xlfn.XLOOKUP(Log_Reseau_Master[[#This Row],[Cell_ID]],_29_03_2026_Registre_Maintenance_V2[ID_Antenne],_29_03_2026_Registre_Maintenance_V2[Equipementier],"Pas de correspondance")</f>
        <v>Ericsson</v>
      </c>
    </row>
    <row r="649" spans="1:8" x14ac:dyDescent="0.25">
      <c r="A649" s="1">
        <v>45213.238194444442</v>
      </c>
      <c r="B649" s="4">
        <f>Log_Reseau_Master[[#This Row],[Duree_Panne_Min]]/1440</f>
        <v>3.6805555555555557E-2</v>
      </c>
      <c r="C649" t="s">
        <v>221</v>
      </c>
      <c r="D649">
        <v>53</v>
      </c>
      <c r="E649" t="s">
        <v>1312</v>
      </c>
      <c r="F649" t="str">
        <f>_xlfn.XLOOKUP(Log_Reseau_Master[[#This Row],[Cell_ID]],_29_03_2026_Registre_Maintenance_V2[ID_Antenne],_29_03_2026_Registre_Maintenance_V2[Province_RDC],"Pas de correspondance")</f>
        <v>Nord-Ubangi</v>
      </c>
      <c r="G649" t="str">
        <f>_xlfn.XLOOKUP(Log_Reseau_Master[[#This Row],[Cell_ID]],_29_03_2026_Registre_Maintenance_V2[ID_Antenne],_29_03_2026_Registre_Maintenance_V2[Technologie],"Pas de correspondance")</f>
        <v>4G</v>
      </c>
      <c r="H649" t="str">
        <f>_xlfn.XLOOKUP(Log_Reseau_Master[[#This Row],[Cell_ID]],_29_03_2026_Registre_Maintenance_V2[ID_Antenne],_29_03_2026_Registre_Maintenance_V2[Equipementier],"Pas de correspondance")</f>
        <v>Ericsson</v>
      </c>
    </row>
    <row r="650" spans="1:8" hidden="1" x14ac:dyDescent="0.25">
      <c r="A650" s="1">
        <v>45209.977777777778</v>
      </c>
      <c r="B650">
        <f>Log_Reseau_Master[[#This Row],[Duree_Panne_Min]]/1440</f>
        <v>4.1666666666666666E-3</v>
      </c>
      <c r="C650" t="s">
        <v>1543</v>
      </c>
      <c r="D650">
        <v>6</v>
      </c>
      <c r="E650" t="s">
        <v>1321</v>
      </c>
      <c r="F650" t="str">
        <f>_xlfn.XLOOKUP(Log_Reseau_Master[[#This Row],[Cell_ID]],_29_03_2026_Registre_Maintenance_V2[ID_Antenne],_29_03_2026_Registre_Maintenance_V2[Province_RDC],"Pas de correspondance")</f>
        <v>Pas de correspondance</v>
      </c>
      <c r="G650" t="str">
        <f>_xlfn.XLOOKUP(Log_Reseau_Master[[#This Row],[Cell_ID]],_29_03_2026_Registre_Maintenance_V2[ID_Antenne],_29_03_2026_Registre_Maintenance_V2[Technologie],"Pas de correspondance")</f>
        <v>Pas de correspondance</v>
      </c>
      <c r="H650" t="str">
        <f>_xlfn.XLOOKUP(Log_Reseau_Master[[#This Row],[Cell_ID]],_29_03_2026_Registre_Maintenance_V2[ID_Antenne],_29_03_2026_Registre_Maintenance_V2[Equipementier],"Pas de correspondance")</f>
        <v>Pas de correspondance</v>
      </c>
    </row>
    <row r="651" spans="1:8" hidden="1" x14ac:dyDescent="0.25">
      <c r="A651" s="1">
        <v>45218.314583333333</v>
      </c>
      <c r="B651">
        <f>Log_Reseau_Master[[#This Row],[Duree_Panne_Min]]/1440</f>
        <v>3.125E-2</v>
      </c>
      <c r="C651" t="s">
        <v>1543</v>
      </c>
      <c r="D651">
        <v>45</v>
      </c>
      <c r="E651" t="s">
        <v>1314</v>
      </c>
      <c r="F651" t="str">
        <f>_xlfn.XLOOKUP(Log_Reseau_Master[[#This Row],[Cell_ID]],_29_03_2026_Registre_Maintenance_V2[ID_Antenne],_29_03_2026_Registre_Maintenance_V2[Province_RDC],"Pas de correspondance")</f>
        <v>Pas de correspondance</v>
      </c>
      <c r="G651" t="str">
        <f>_xlfn.XLOOKUP(Log_Reseau_Master[[#This Row],[Cell_ID]],_29_03_2026_Registre_Maintenance_V2[ID_Antenne],_29_03_2026_Registre_Maintenance_V2[Technologie],"Pas de correspondance")</f>
        <v>Pas de correspondance</v>
      </c>
      <c r="H651" t="str">
        <f>_xlfn.XLOOKUP(Log_Reseau_Master[[#This Row],[Cell_ID]],_29_03_2026_Registre_Maintenance_V2[ID_Antenne],_29_03_2026_Registre_Maintenance_V2[Equipementier],"Pas de correspondance")</f>
        <v>Pas de correspondance</v>
      </c>
    </row>
    <row r="652" spans="1:8" hidden="1" x14ac:dyDescent="0.25">
      <c r="A652" s="1">
        <v>45228.34097222222</v>
      </c>
      <c r="B652">
        <f>Log_Reseau_Master[[#This Row],[Duree_Panne_Min]]/1440</f>
        <v>8.1944444444444445E-2</v>
      </c>
      <c r="C652" t="s">
        <v>1544</v>
      </c>
      <c r="D652">
        <v>118</v>
      </c>
      <c r="E652" t="s">
        <v>1321</v>
      </c>
      <c r="F652" t="str">
        <f>_xlfn.XLOOKUP(Log_Reseau_Master[[#This Row],[Cell_ID]],_29_03_2026_Registre_Maintenance_V2[ID_Antenne],_29_03_2026_Registre_Maintenance_V2[Province_RDC],"Pas de correspondance")</f>
        <v>Pas de correspondance</v>
      </c>
      <c r="G652" t="str">
        <f>_xlfn.XLOOKUP(Log_Reseau_Master[[#This Row],[Cell_ID]],_29_03_2026_Registre_Maintenance_V2[ID_Antenne],_29_03_2026_Registre_Maintenance_V2[Technologie],"Pas de correspondance")</f>
        <v>Pas de correspondance</v>
      </c>
      <c r="H652" t="str">
        <f>_xlfn.XLOOKUP(Log_Reseau_Master[[#This Row],[Cell_ID]],_29_03_2026_Registre_Maintenance_V2[ID_Antenne],_29_03_2026_Registre_Maintenance_V2[Equipementier],"Pas de correspondance")</f>
        <v>Pas de correspondance</v>
      </c>
    </row>
    <row r="653" spans="1:8" x14ac:dyDescent="0.25">
      <c r="A653" s="1">
        <v>45212.965277777781</v>
      </c>
      <c r="B653" s="4">
        <f>Log_Reseau_Master[[#This Row],[Duree_Panne_Min]]/1440</f>
        <v>1.8749999999999999E-2</v>
      </c>
      <c r="C653" t="s">
        <v>267</v>
      </c>
      <c r="D653">
        <v>27</v>
      </c>
      <c r="E653" t="s">
        <v>1321</v>
      </c>
      <c r="F653" t="str">
        <f>_xlfn.XLOOKUP(Log_Reseau_Master[[#This Row],[Cell_ID]],_29_03_2026_Registre_Maintenance_V2[ID_Antenne],_29_03_2026_Registre_Maintenance_V2[Province_RDC],"Pas de correspondance")</f>
        <v>Kongo-Central</v>
      </c>
      <c r="G653" t="str">
        <f>_xlfn.XLOOKUP(Log_Reseau_Master[[#This Row],[Cell_ID]],_29_03_2026_Registre_Maintenance_V2[ID_Antenne],_29_03_2026_Registre_Maintenance_V2[Technologie],"Pas de correspondance")</f>
        <v>4G</v>
      </c>
      <c r="H653" t="str">
        <f>_xlfn.XLOOKUP(Log_Reseau_Master[[#This Row],[Cell_ID]],_29_03_2026_Registre_Maintenance_V2[ID_Antenne],_29_03_2026_Registre_Maintenance_V2[Equipementier],"Pas de correspondance")</f>
        <v>Nokia</v>
      </c>
    </row>
    <row r="654" spans="1:8" x14ac:dyDescent="0.25">
      <c r="A654" s="1">
        <v>45221.197916666664</v>
      </c>
      <c r="B654" s="4">
        <f>Log_Reseau_Master[[#This Row],[Duree_Panne_Min]]/1440</f>
        <v>4.2361111111111113E-2</v>
      </c>
      <c r="C654" t="s">
        <v>409</v>
      </c>
      <c r="D654">
        <v>61</v>
      </c>
      <c r="E654" t="s">
        <v>1321</v>
      </c>
      <c r="F654" t="str">
        <f>_xlfn.XLOOKUP(Log_Reseau_Master[[#This Row],[Cell_ID]],_29_03_2026_Registre_Maintenance_V2[ID_Antenne],_29_03_2026_Registre_Maintenance_V2[Province_RDC],"Pas de correspondance")</f>
        <v>Kwango</v>
      </c>
      <c r="G654" t="str">
        <f>_xlfn.XLOOKUP(Log_Reseau_Master[[#This Row],[Cell_ID]],_29_03_2026_Registre_Maintenance_V2[ID_Antenne],_29_03_2026_Registre_Maintenance_V2[Technologie],"Pas de correspondance")</f>
        <v>4G</v>
      </c>
      <c r="H654" t="str">
        <f>_xlfn.XLOOKUP(Log_Reseau_Master[[#This Row],[Cell_ID]],_29_03_2026_Registre_Maintenance_V2[ID_Antenne],_29_03_2026_Registre_Maintenance_V2[Equipementier],"Pas de correspondance")</f>
        <v>Nokia</v>
      </c>
    </row>
    <row r="655" spans="1:8" x14ac:dyDescent="0.25">
      <c r="A655" s="1">
        <v>45218.286111111112</v>
      </c>
      <c r="B655" s="4">
        <f>Log_Reseau_Master[[#This Row],[Duree_Panne_Min]]/1440</f>
        <v>6.1805555555555558E-2</v>
      </c>
      <c r="C655" t="s">
        <v>409</v>
      </c>
      <c r="D655">
        <v>89</v>
      </c>
      <c r="E655" t="s">
        <v>1314</v>
      </c>
      <c r="F655" t="str">
        <f>_xlfn.XLOOKUP(Log_Reseau_Master[[#This Row],[Cell_ID]],_29_03_2026_Registre_Maintenance_V2[ID_Antenne],_29_03_2026_Registre_Maintenance_V2[Province_RDC],"Pas de correspondance")</f>
        <v>Kwango</v>
      </c>
      <c r="G655" t="str">
        <f>_xlfn.XLOOKUP(Log_Reseau_Master[[#This Row],[Cell_ID]],_29_03_2026_Registre_Maintenance_V2[ID_Antenne],_29_03_2026_Registre_Maintenance_V2[Technologie],"Pas de correspondance")</f>
        <v>4G</v>
      </c>
      <c r="H655" t="str">
        <f>_xlfn.XLOOKUP(Log_Reseau_Master[[#This Row],[Cell_ID]],_29_03_2026_Registre_Maintenance_V2[ID_Antenne],_29_03_2026_Registre_Maintenance_V2[Equipementier],"Pas de correspondance")</f>
        <v>Nokia</v>
      </c>
    </row>
    <row r="656" spans="1:8" x14ac:dyDescent="0.25">
      <c r="A656" s="1">
        <v>45208.957638888889</v>
      </c>
      <c r="B656" s="4">
        <f>Log_Reseau_Master[[#This Row],[Duree_Panne_Min]]/1440</f>
        <v>7.9861111111111105E-2</v>
      </c>
      <c r="C656" t="s">
        <v>235</v>
      </c>
      <c r="D656">
        <v>115</v>
      </c>
      <c r="E656" t="s">
        <v>1314</v>
      </c>
      <c r="F656" t="str">
        <f>_xlfn.XLOOKUP(Log_Reseau_Master[[#This Row],[Cell_ID]],_29_03_2026_Registre_Maintenance_V2[ID_Antenne],_29_03_2026_Registre_Maintenance_V2[Province_RDC],"Pas de correspondance")</f>
        <v>Tshopo</v>
      </c>
      <c r="G656" t="str">
        <f>_xlfn.XLOOKUP(Log_Reseau_Master[[#This Row],[Cell_ID]],_29_03_2026_Registre_Maintenance_V2[ID_Antenne],_29_03_2026_Registre_Maintenance_V2[Technologie],"Pas de correspondance")</f>
        <v>3G</v>
      </c>
      <c r="H656" t="str">
        <f>_xlfn.XLOOKUP(Log_Reseau_Master[[#This Row],[Cell_ID]],_29_03_2026_Registre_Maintenance_V2[ID_Antenne],_29_03_2026_Registre_Maintenance_V2[Equipementier],"Pas de correspondance")</f>
        <v>Ericsson</v>
      </c>
    </row>
    <row r="657" spans="1:8" hidden="1" x14ac:dyDescent="0.25">
      <c r="A657" s="1">
        <v>45226.747916666667</v>
      </c>
      <c r="B657">
        <f>Log_Reseau_Master[[#This Row],[Duree_Panne_Min]]/1440</f>
        <v>4.7222222222222221E-2</v>
      </c>
      <c r="C657" t="s">
        <v>1545</v>
      </c>
      <c r="D657">
        <v>68</v>
      </c>
      <c r="E657" t="s">
        <v>1312</v>
      </c>
      <c r="F657" t="str">
        <f>_xlfn.XLOOKUP(Log_Reseau_Master[[#This Row],[Cell_ID]],_29_03_2026_Registre_Maintenance_V2[ID_Antenne],_29_03_2026_Registre_Maintenance_V2[Province_RDC],"Pas de correspondance")</f>
        <v>Pas de correspondance</v>
      </c>
      <c r="G657" t="str">
        <f>_xlfn.XLOOKUP(Log_Reseau_Master[[#This Row],[Cell_ID]],_29_03_2026_Registre_Maintenance_V2[ID_Antenne],_29_03_2026_Registre_Maintenance_V2[Technologie],"Pas de correspondance")</f>
        <v>Pas de correspondance</v>
      </c>
      <c r="H657" t="str">
        <f>_xlfn.XLOOKUP(Log_Reseau_Master[[#This Row],[Cell_ID]],_29_03_2026_Registre_Maintenance_V2[ID_Antenne],_29_03_2026_Registre_Maintenance_V2[Equipementier],"Pas de correspondance")</f>
        <v>Pas de correspondance</v>
      </c>
    </row>
    <row r="658" spans="1:8" x14ac:dyDescent="0.25">
      <c r="A658" s="1">
        <v>45200.534722222219</v>
      </c>
      <c r="B658" s="4">
        <f>Log_Reseau_Master[[#This Row],[Duree_Panne_Min]]/1440</f>
        <v>3.4722222222222224E-2</v>
      </c>
      <c r="C658" t="s">
        <v>196</v>
      </c>
      <c r="D658">
        <v>50</v>
      </c>
      <c r="E658" t="s">
        <v>1321</v>
      </c>
      <c r="F658" t="str">
        <f>_xlfn.XLOOKUP(Log_Reseau_Master[[#This Row],[Cell_ID]],_29_03_2026_Registre_Maintenance_V2[ID_Antenne],_29_03_2026_Registre_Maintenance_V2[Province_RDC],"Pas de correspondance")</f>
        <v>Tshuapa</v>
      </c>
      <c r="G658" t="str">
        <f>_xlfn.XLOOKUP(Log_Reseau_Master[[#This Row],[Cell_ID]],_29_03_2026_Registre_Maintenance_V2[ID_Antenne],_29_03_2026_Registre_Maintenance_V2[Technologie],"Pas de correspondance")</f>
        <v>3G</v>
      </c>
      <c r="H658" t="str">
        <f>_xlfn.XLOOKUP(Log_Reseau_Master[[#This Row],[Cell_ID]],_29_03_2026_Registre_Maintenance_V2[ID_Antenne],_29_03_2026_Registre_Maintenance_V2[Equipementier],"Pas de correspondance")</f>
        <v>Ericsson</v>
      </c>
    </row>
    <row r="659" spans="1:8" x14ac:dyDescent="0.25">
      <c r="A659" s="1">
        <v>45213.87222222222</v>
      </c>
      <c r="B659" s="4">
        <f>Log_Reseau_Master[[#This Row],[Duree_Panne_Min]]/1440</f>
        <v>3.1944444444444442E-2</v>
      </c>
      <c r="C659" t="s">
        <v>179</v>
      </c>
      <c r="D659">
        <v>46</v>
      </c>
      <c r="E659" t="s">
        <v>1312</v>
      </c>
      <c r="F659" t="str">
        <f>_xlfn.XLOOKUP(Log_Reseau_Master[[#This Row],[Cell_ID]],_29_03_2026_Registre_Maintenance_V2[ID_Antenne],_29_03_2026_Registre_Maintenance_V2[Province_RDC],"Pas de correspondance")</f>
        <v>Sankuru</v>
      </c>
      <c r="G659" t="str">
        <f>_xlfn.XLOOKUP(Log_Reseau_Master[[#This Row],[Cell_ID]],_29_03_2026_Registre_Maintenance_V2[ID_Antenne],_29_03_2026_Registre_Maintenance_V2[Technologie],"Pas de correspondance")</f>
        <v>5G</v>
      </c>
      <c r="H659" t="str">
        <f>_xlfn.XLOOKUP(Log_Reseau_Master[[#This Row],[Cell_ID]],_29_03_2026_Registre_Maintenance_V2[ID_Antenne],_29_03_2026_Registre_Maintenance_V2[Equipementier],"Pas de correspondance")</f>
        <v>Huawei</v>
      </c>
    </row>
    <row r="660" spans="1:8" x14ac:dyDescent="0.25">
      <c r="A660" s="1">
        <v>45219.181250000001</v>
      </c>
      <c r="B660" s="4">
        <f>Log_Reseau_Master[[#This Row],[Duree_Panne_Min]]/1440</f>
        <v>6.7361111111111108E-2</v>
      </c>
      <c r="C660" t="s">
        <v>537</v>
      </c>
      <c r="D660">
        <v>97</v>
      </c>
      <c r="E660" t="s">
        <v>1312</v>
      </c>
      <c r="F660" t="str">
        <f>_xlfn.XLOOKUP(Log_Reseau_Master[[#This Row],[Cell_ID]],_29_03_2026_Registre_Maintenance_V2[ID_Antenne],_29_03_2026_Registre_Maintenance_V2[Province_RDC],"Pas de correspondance")</f>
        <v>Nord-Kivu</v>
      </c>
      <c r="G660" t="str">
        <f>_xlfn.XLOOKUP(Log_Reseau_Master[[#This Row],[Cell_ID]],_29_03_2026_Registre_Maintenance_V2[ID_Antenne],_29_03_2026_Registre_Maintenance_V2[Technologie],"Pas de correspondance")</f>
        <v>3G</v>
      </c>
      <c r="H660" t="str">
        <f>_xlfn.XLOOKUP(Log_Reseau_Master[[#This Row],[Cell_ID]],_29_03_2026_Registre_Maintenance_V2[ID_Antenne],_29_03_2026_Registre_Maintenance_V2[Equipementier],"Pas de correspondance")</f>
        <v>Ericsson</v>
      </c>
    </row>
    <row r="661" spans="1:8" x14ac:dyDescent="0.25">
      <c r="A661" s="1">
        <v>45217.368750000001</v>
      </c>
      <c r="B661" s="4">
        <f>Log_Reseau_Master[[#This Row],[Duree_Panne_Min]]/1440</f>
        <v>5.5555555555555558E-3</v>
      </c>
      <c r="C661" t="s">
        <v>537</v>
      </c>
      <c r="D661">
        <v>8</v>
      </c>
      <c r="E661" t="s">
        <v>1314</v>
      </c>
      <c r="F661" t="str">
        <f>_xlfn.XLOOKUP(Log_Reseau_Master[[#This Row],[Cell_ID]],_29_03_2026_Registre_Maintenance_V2[ID_Antenne],_29_03_2026_Registre_Maintenance_V2[Province_RDC],"Pas de correspondance")</f>
        <v>Nord-Kivu</v>
      </c>
      <c r="G661" t="str">
        <f>_xlfn.XLOOKUP(Log_Reseau_Master[[#This Row],[Cell_ID]],_29_03_2026_Registre_Maintenance_V2[ID_Antenne],_29_03_2026_Registre_Maintenance_V2[Technologie],"Pas de correspondance")</f>
        <v>3G</v>
      </c>
      <c r="H661" t="str">
        <f>_xlfn.XLOOKUP(Log_Reseau_Master[[#This Row],[Cell_ID]],_29_03_2026_Registre_Maintenance_V2[ID_Antenne],_29_03_2026_Registre_Maintenance_V2[Equipementier],"Pas de correspondance")</f>
        <v>Ericsson</v>
      </c>
    </row>
    <row r="662" spans="1:8" x14ac:dyDescent="0.25">
      <c r="A662" s="1">
        <v>45206.974305555559</v>
      </c>
      <c r="B662" s="4">
        <f>Log_Reseau_Master[[#This Row],[Duree_Panne_Min]]/1440</f>
        <v>3.6805555555555557E-2</v>
      </c>
      <c r="C662" t="s">
        <v>282</v>
      </c>
      <c r="D662">
        <v>53</v>
      </c>
      <c r="E662" t="s">
        <v>1312</v>
      </c>
      <c r="F662" t="str">
        <f>_xlfn.XLOOKUP(Log_Reseau_Master[[#This Row],[Cell_ID]],_29_03_2026_Registre_Maintenance_V2[ID_Antenne],_29_03_2026_Registre_Maintenance_V2[Province_RDC],"Pas de correspondance")</f>
        <v>Haut-Katanga</v>
      </c>
      <c r="G662" t="str">
        <f>_xlfn.XLOOKUP(Log_Reseau_Master[[#This Row],[Cell_ID]],_29_03_2026_Registre_Maintenance_V2[ID_Antenne],_29_03_2026_Registre_Maintenance_V2[Technologie],"Pas de correspondance")</f>
        <v>5G</v>
      </c>
      <c r="H662" t="str">
        <f>_xlfn.XLOOKUP(Log_Reseau_Master[[#This Row],[Cell_ID]],_29_03_2026_Registre_Maintenance_V2[ID_Antenne],_29_03_2026_Registre_Maintenance_V2[Equipementier],"Pas de correspondance")</f>
        <v>Ericsson</v>
      </c>
    </row>
    <row r="663" spans="1:8" x14ac:dyDescent="0.25">
      <c r="A663" s="1">
        <v>45217.755555555559</v>
      </c>
      <c r="B663" s="4">
        <f>Log_Reseau_Master[[#This Row],[Duree_Panne_Min]]/1440</f>
        <v>6.9444444444444448E-2</v>
      </c>
      <c r="C663" t="s">
        <v>8</v>
      </c>
      <c r="D663">
        <v>100</v>
      </c>
      <c r="E663" t="s">
        <v>1314</v>
      </c>
      <c r="F663" t="str">
        <f>_xlfn.XLOOKUP(Log_Reseau_Master[[#This Row],[Cell_ID]],_29_03_2026_Registre_Maintenance_V2[ID_Antenne],_29_03_2026_Registre_Maintenance_V2[Province_RDC],"Pas de correspondance")</f>
        <v>Haut-Uele</v>
      </c>
      <c r="G663" t="str">
        <f>_xlfn.XLOOKUP(Log_Reseau_Master[[#This Row],[Cell_ID]],_29_03_2026_Registre_Maintenance_V2[ID_Antenne],_29_03_2026_Registre_Maintenance_V2[Technologie],"Pas de correspondance")</f>
        <v>5G</v>
      </c>
      <c r="H663" t="str">
        <f>_xlfn.XLOOKUP(Log_Reseau_Master[[#This Row],[Cell_ID]],_29_03_2026_Registre_Maintenance_V2[ID_Antenne],_29_03_2026_Registre_Maintenance_V2[Equipementier],"Pas de correspondance")</f>
        <v>Ericsson</v>
      </c>
    </row>
    <row r="664" spans="1:8" hidden="1" x14ac:dyDescent="0.25">
      <c r="A664" s="1">
        <v>45214.59375</v>
      </c>
      <c r="B664">
        <f>Log_Reseau_Master[[#This Row],[Duree_Panne_Min]]/1440</f>
        <v>3.5416666666666666E-2</v>
      </c>
      <c r="C664" t="s">
        <v>1546</v>
      </c>
      <c r="D664">
        <v>51</v>
      </c>
      <c r="E664" t="s">
        <v>1321</v>
      </c>
      <c r="F664" t="str">
        <f>_xlfn.XLOOKUP(Log_Reseau_Master[[#This Row],[Cell_ID]],_29_03_2026_Registre_Maintenance_V2[ID_Antenne],_29_03_2026_Registre_Maintenance_V2[Province_RDC],"Pas de correspondance")</f>
        <v>Pas de correspondance</v>
      </c>
      <c r="G664" t="str">
        <f>_xlfn.XLOOKUP(Log_Reseau_Master[[#This Row],[Cell_ID]],_29_03_2026_Registre_Maintenance_V2[ID_Antenne],_29_03_2026_Registre_Maintenance_V2[Technologie],"Pas de correspondance")</f>
        <v>Pas de correspondance</v>
      </c>
      <c r="H664" t="str">
        <f>_xlfn.XLOOKUP(Log_Reseau_Master[[#This Row],[Cell_ID]],_29_03_2026_Registre_Maintenance_V2[ID_Antenne],_29_03_2026_Registre_Maintenance_V2[Equipementier],"Pas de correspondance")</f>
        <v>Pas de correspondance</v>
      </c>
    </row>
    <row r="665" spans="1:8" hidden="1" x14ac:dyDescent="0.25">
      <c r="A665" s="1">
        <v>45209.251388888886</v>
      </c>
      <c r="B665">
        <f>Log_Reseau_Master[[#This Row],[Duree_Panne_Min]]/1440</f>
        <v>3.1944444444444442E-2</v>
      </c>
      <c r="C665" t="s">
        <v>1546</v>
      </c>
      <c r="D665">
        <v>46</v>
      </c>
      <c r="E665" t="s">
        <v>1312</v>
      </c>
      <c r="F665" t="str">
        <f>_xlfn.XLOOKUP(Log_Reseau_Master[[#This Row],[Cell_ID]],_29_03_2026_Registre_Maintenance_V2[ID_Antenne],_29_03_2026_Registre_Maintenance_V2[Province_RDC],"Pas de correspondance")</f>
        <v>Pas de correspondance</v>
      </c>
      <c r="G665" t="str">
        <f>_xlfn.XLOOKUP(Log_Reseau_Master[[#This Row],[Cell_ID]],_29_03_2026_Registre_Maintenance_V2[ID_Antenne],_29_03_2026_Registre_Maintenance_V2[Technologie],"Pas de correspondance")</f>
        <v>Pas de correspondance</v>
      </c>
      <c r="H665" t="str">
        <f>_xlfn.XLOOKUP(Log_Reseau_Master[[#This Row],[Cell_ID]],_29_03_2026_Registre_Maintenance_V2[ID_Antenne],_29_03_2026_Registre_Maintenance_V2[Equipementier],"Pas de correspondance")</f>
        <v>Pas de correspondance</v>
      </c>
    </row>
    <row r="666" spans="1:8" hidden="1" x14ac:dyDescent="0.25">
      <c r="A666" s="1">
        <v>45228.100694444445</v>
      </c>
      <c r="B666">
        <f>Log_Reseau_Master[[#This Row],[Duree_Panne_Min]]/1440</f>
        <v>1.5972222222222221E-2</v>
      </c>
      <c r="C666" t="s">
        <v>1546</v>
      </c>
      <c r="D666">
        <v>23</v>
      </c>
      <c r="E666" t="s">
        <v>1321</v>
      </c>
      <c r="F666" t="str">
        <f>_xlfn.XLOOKUP(Log_Reseau_Master[[#This Row],[Cell_ID]],_29_03_2026_Registre_Maintenance_V2[ID_Antenne],_29_03_2026_Registre_Maintenance_V2[Province_RDC],"Pas de correspondance")</f>
        <v>Pas de correspondance</v>
      </c>
      <c r="G666" t="str">
        <f>_xlfn.XLOOKUP(Log_Reseau_Master[[#This Row],[Cell_ID]],_29_03_2026_Registre_Maintenance_V2[ID_Antenne],_29_03_2026_Registre_Maintenance_V2[Technologie],"Pas de correspondance")</f>
        <v>Pas de correspondance</v>
      </c>
      <c r="H666" t="str">
        <f>_xlfn.XLOOKUP(Log_Reseau_Master[[#This Row],[Cell_ID]],_29_03_2026_Registre_Maintenance_V2[ID_Antenne],_29_03_2026_Registre_Maintenance_V2[Equipementier],"Pas de correspondance")</f>
        <v>Pas de correspondance</v>
      </c>
    </row>
    <row r="667" spans="1:8" x14ac:dyDescent="0.25">
      <c r="A667" s="1">
        <v>45201.574305555558</v>
      </c>
      <c r="B667" s="4">
        <f>Log_Reseau_Master[[#This Row],[Duree_Panne_Min]]/1440</f>
        <v>5.2083333333333336E-2</v>
      </c>
      <c r="C667" t="s">
        <v>402</v>
      </c>
      <c r="D667">
        <v>75</v>
      </c>
      <c r="E667" t="s">
        <v>1321</v>
      </c>
      <c r="F667" t="str">
        <f>_xlfn.XLOOKUP(Log_Reseau_Master[[#This Row],[Cell_ID]],_29_03_2026_Registre_Maintenance_V2[ID_Antenne],_29_03_2026_Registre_Maintenance_V2[Province_RDC],"Pas de correspondance")</f>
        <v>Haut-Katanga</v>
      </c>
      <c r="G667" t="str">
        <f>_xlfn.XLOOKUP(Log_Reseau_Master[[#This Row],[Cell_ID]],_29_03_2026_Registre_Maintenance_V2[ID_Antenne],_29_03_2026_Registre_Maintenance_V2[Technologie],"Pas de correspondance")</f>
        <v>3G</v>
      </c>
      <c r="H667" t="str">
        <f>_xlfn.XLOOKUP(Log_Reseau_Master[[#This Row],[Cell_ID]],_29_03_2026_Registre_Maintenance_V2[ID_Antenne],_29_03_2026_Registre_Maintenance_V2[Equipementier],"Pas de correspondance")</f>
        <v>Ericsson</v>
      </c>
    </row>
    <row r="668" spans="1:8" x14ac:dyDescent="0.25">
      <c r="A668" s="1">
        <v>45224.428472222222</v>
      </c>
      <c r="B668" s="4">
        <f>Log_Reseau_Master[[#This Row],[Duree_Panne_Min]]/1440</f>
        <v>4.5138888888888888E-2</v>
      </c>
      <c r="C668" t="s">
        <v>402</v>
      </c>
      <c r="D668">
        <v>65</v>
      </c>
      <c r="E668" t="s">
        <v>1312</v>
      </c>
      <c r="F668" t="str">
        <f>_xlfn.XLOOKUP(Log_Reseau_Master[[#This Row],[Cell_ID]],_29_03_2026_Registre_Maintenance_V2[ID_Antenne],_29_03_2026_Registre_Maintenance_V2[Province_RDC],"Pas de correspondance")</f>
        <v>Haut-Katanga</v>
      </c>
      <c r="G668" t="str">
        <f>_xlfn.XLOOKUP(Log_Reseau_Master[[#This Row],[Cell_ID]],_29_03_2026_Registre_Maintenance_V2[ID_Antenne],_29_03_2026_Registre_Maintenance_V2[Technologie],"Pas de correspondance")</f>
        <v>3G</v>
      </c>
      <c r="H668" t="str">
        <f>_xlfn.XLOOKUP(Log_Reseau_Master[[#This Row],[Cell_ID]],_29_03_2026_Registre_Maintenance_V2[ID_Antenne],_29_03_2026_Registre_Maintenance_V2[Equipementier],"Pas de correspondance")</f>
        <v>Ericsson</v>
      </c>
    </row>
    <row r="669" spans="1:8" x14ac:dyDescent="0.25">
      <c r="A669" s="1">
        <v>45214.713194444441</v>
      </c>
      <c r="B669" s="4">
        <f>Log_Reseau_Master[[#This Row],[Duree_Panne_Min]]/1440</f>
        <v>1.7361111111111112E-2</v>
      </c>
      <c r="C669" t="s">
        <v>402</v>
      </c>
      <c r="D669">
        <v>25</v>
      </c>
      <c r="E669" t="s">
        <v>1314</v>
      </c>
      <c r="F669" t="str">
        <f>_xlfn.XLOOKUP(Log_Reseau_Master[[#This Row],[Cell_ID]],_29_03_2026_Registre_Maintenance_V2[ID_Antenne],_29_03_2026_Registre_Maintenance_V2[Province_RDC],"Pas de correspondance")</f>
        <v>Haut-Katanga</v>
      </c>
      <c r="G669" t="str">
        <f>_xlfn.XLOOKUP(Log_Reseau_Master[[#This Row],[Cell_ID]],_29_03_2026_Registre_Maintenance_V2[ID_Antenne],_29_03_2026_Registre_Maintenance_V2[Technologie],"Pas de correspondance")</f>
        <v>3G</v>
      </c>
      <c r="H669" t="str">
        <f>_xlfn.XLOOKUP(Log_Reseau_Master[[#This Row],[Cell_ID]],_29_03_2026_Registre_Maintenance_V2[ID_Antenne],_29_03_2026_Registre_Maintenance_V2[Equipementier],"Pas de correspondance")</f>
        <v>Ericsson</v>
      </c>
    </row>
    <row r="670" spans="1:8" hidden="1" x14ac:dyDescent="0.25">
      <c r="A670" s="1">
        <v>45228.758333333331</v>
      </c>
      <c r="B670">
        <f>Log_Reseau_Master[[#This Row],[Duree_Panne_Min]]/1440</f>
        <v>3.7499999999999999E-2</v>
      </c>
      <c r="C670" t="s">
        <v>1547</v>
      </c>
      <c r="D670">
        <v>54</v>
      </c>
      <c r="E670" t="s">
        <v>1314</v>
      </c>
      <c r="F670" t="str">
        <f>_xlfn.XLOOKUP(Log_Reseau_Master[[#This Row],[Cell_ID]],_29_03_2026_Registre_Maintenance_V2[ID_Antenne],_29_03_2026_Registre_Maintenance_V2[Province_RDC],"Pas de correspondance")</f>
        <v>Pas de correspondance</v>
      </c>
      <c r="G670" t="str">
        <f>_xlfn.XLOOKUP(Log_Reseau_Master[[#This Row],[Cell_ID]],_29_03_2026_Registre_Maintenance_V2[ID_Antenne],_29_03_2026_Registre_Maintenance_V2[Technologie],"Pas de correspondance")</f>
        <v>Pas de correspondance</v>
      </c>
      <c r="H670" t="str">
        <f>_xlfn.XLOOKUP(Log_Reseau_Master[[#This Row],[Cell_ID]],_29_03_2026_Registre_Maintenance_V2[ID_Antenne],_29_03_2026_Registre_Maintenance_V2[Equipementier],"Pas de correspondance")</f>
        <v>Pas de correspondance</v>
      </c>
    </row>
    <row r="671" spans="1:8" x14ac:dyDescent="0.25">
      <c r="A671" s="1">
        <v>45213.027083333334</v>
      </c>
      <c r="B671" s="4">
        <f>Log_Reseau_Master[[#This Row],[Duree_Panne_Min]]/1440</f>
        <v>4.7222222222222221E-2</v>
      </c>
      <c r="C671" t="s">
        <v>286</v>
      </c>
      <c r="D671">
        <v>68</v>
      </c>
      <c r="E671" t="s">
        <v>1321</v>
      </c>
      <c r="F671" t="str">
        <f>_xlfn.XLOOKUP(Log_Reseau_Master[[#This Row],[Cell_ID]],_29_03_2026_Registre_Maintenance_V2[ID_Antenne],_29_03_2026_Registre_Maintenance_V2[Province_RDC],"Pas de correspondance")</f>
        <v>Kwango</v>
      </c>
      <c r="G671" t="str">
        <f>_xlfn.XLOOKUP(Log_Reseau_Master[[#This Row],[Cell_ID]],_29_03_2026_Registre_Maintenance_V2[ID_Antenne],_29_03_2026_Registre_Maintenance_V2[Technologie],"Pas de correspondance")</f>
        <v>5G</v>
      </c>
      <c r="H671" t="str">
        <f>_xlfn.XLOOKUP(Log_Reseau_Master[[#This Row],[Cell_ID]],_29_03_2026_Registre_Maintenance_V2[ID_Antenne],_29_03_2026_Registre_Maintenance_V2[Equipementier],"Pas de correspondance")</f>
        <v>ZTE</v>
      </c>
    </row>
    <row r="672" spans="1:8" x14ac:dyDescent="0.25">
      <c r="A672" s="1">
        <v>45211.618750000001</v>
      </c>
      <c r="B672" s="4">
        <f>Log_Reseau_Master[[#This Row],[Duree_Panne_Min]]/1440</f>
        <v>6.3888888888888884E-2</v>
      </c>
      <c r="C672" t="s">
        <v>438</v>
      </c>
      <c r="D672">
        <v>92</v>
      </c>
      <c r="E672" t="s">
        <v>1314</v>
      </c>
      <c r="F672" t="str">
        <f>_xlfn.XLOOKUP(Log_Reseau_Master[[#This Row],[Cell_ID]],_29_03_2026_Registre_Maintenance_V2[ID_Antenne],_29_03_2026_Registre_Maintenance_V2[Province_RDC],"Pas de correspondance")</f>
        <v>Tshopo</v>
      </c>
      <c r="G672" t="str">
        <f>_xlfn.XLOOKUP(Log_Reseau_Master[[#This Row],[Cell_ID]],_29_03_2026_Registre_Maintenance_V2[ID_Antenne],_29_03_2026_Registre_Maintenance_V2[Technologie],"Pas de correspondance")</f>
        <v>3G</v>
      </c>
      <c r="H672" t="str">
        <f>_xlfn.XLOOKUP(Log_Reseau_Master[[#This Row],[Cell_ID]],_29_03_2026_Registre_Maintenance_V2[ID_Antenne],_29_03_2026_Registre_Maintenance_V2[Equipementier],"Pas de correspondance")</f>
        <v>Ericsson</v>
      </c>
    </row>
    <row r="673" spans="1:8" x14ac:dyDescent="0.25">
      <c r="A673" s="1">
        <v>45215.775000000001</v>
      </c>
      <c r="B673" s="4">
        <f>Log_Reseau_Master[[#This Row],[Duree_Panne_Min]]/1440</f>
        <v>6.5972222222222224E-2</v>
      </c>
      <c r="C673" t="s">
        <v>438</v>
      </c>
      <c r="D673">
        <v>95</v>
      </c>
      <c r="E673" t="s">
        <v>1312</v>
      </c>
      <c r="F673" t="str">
        <f>_xlfn.XLOOKUP(Log_Reseau_Master[[#This Row],[Cell_ID]],_29_03_2026_Registre_Maintenance_V2[ID_Antenne],_29_03_2026_Registre_Maintenance_V2[Province_RDC],"Pas de correspondance")</f>
        <v>Tshopo</v>
      </c>
      <c r="G673" t="str">
        <f>_xlfn.XLOOKUP(Log_Reseau_Master[[#This Row],[Cell_ID]],_29_03_2026_Registre_Maintenance_V2[ID_Antenne],_29_03_2026_Registre_Maintenance_V2[Technologie],"Pas de correspondance")</f>
        <v>3G</v>
      </c>
      <c r="H673" t="str">
        <f>_xlfn.XLOOKUP(Log_Reseau_Master[[#This Row],[Cell_ID]],_29_03_2026_Registre_Maintenance_V2[ID_Antenne],_29_03_2026_Registre_Maintenance_V2[Equipementier],"Pas de correspondance")</f>
        <v>Ericsson</v>
      </c>
    </row>
    <row r="674" spans="1:8" hidden="1" x14ac:dyDescent="0.25">
      <c r="A674" s="1">
        <v>45202.054861111108</v>
      </c>
      <c r="B674">
        <f>Log_Reseau_Master[[#This Row],[Duree_Panne_Min]]/1440</f>
        <v>7.6388888888888886E-3</v>
      </c>
      <c r="C674" t="s">
        <v>1548</v>
      </c>
      <c r="D674">
        <v>11</v>
      </c>
      <c r="E674" t="s">
        <v>1314</v>
      </c>
      <c r="F674" t="str">
        <f>_xlfn.XLOOKUP(Log_Reseau_Master[[#This Row],[Cell_ID]],_29_03_2026_Registre_Maintenance_V2[ID_Antenne],_29_03_2026_Registre_Maintenance_V2[Province_RDC],"Pas de correspondance")</f>
        <v>Pas de correspondance</v>
      </c>
      <c r="G674" t="str">
        <f>_xlfn.XLOOKUP(Log_Reseau_Master[[#This Row],[Cell_ID]],_29_03_2026_Registre_Maintenance_V2[ID_Antenne],_29_03_2026_Registre_Maintenance_V2[Technologie],"Pas de correspondance")</f>
        <v>Pas de correspondance</v>
      </c>
      <c r="H674" t="str">
        <f>_xlfn.XLOOKUP(Log_Reseau_Master[[#This Row],[Cell_ID]],_29_03_2026_Registre_Maintenance_V2[ID_Antenne],_29_03_2026_Registre_Maintenance_V2[Equipementier],"Pas de correspondance")</f>
        <v>Pas de correspondance</v>
      </c>
    </row>
    <row r="675" spans="1:8" hidden="1" x14ac:dyDescent="0.25">
      <c r="A675" s="1">
        <v>45221.857638888891</v>
      </c>
      <c r="B675">
        <f>Log_Reseau_Master[[#This Row],[Duree_Panne_Min]]/1440</f>
        <v>4.1666666666666664E-2</v>
      </c>
      <c r="C675" t="s">
        <v>1548</v>
      </c>
      <c r="D675">
        <v>60</v>
      </c>
      <c r="E675" t="s">
        <v>1321</v>
      </c>
      <c r="F675" t="str">
        <f>_xlfn.XLOOKUP(Log_Reseau_Master[[#This Row],[Cell_ID]],_29_03_2026_Registre_Maintenance_V2[ID_Antenne],_29_03_2026_Registre_Maintenance_V2[Province_RDC],"Pas de correspondance")</f>
        <v>Pas de correspondance</v>
      </c>
      <c r="G675" t="str">
        <f>_xlfn.XLOOKUP(Log_Reseau_Master[[#This Row],[Cell_ID]],_29_03_2026_Registre_Maintenance_V2[ID_Antenne],_29_03_2026_Registre_Maintenance_V2[Technologie],"Pas de correspondance")</f>
        <v>Pas de correspondance</v>
      </c>
      <c r="H675" t="str">
        <f>_xlfn.XLOOKUP(Log_Reseau_Master[[#This Row],[Cell_ID]],_29_03_2026_Registre_Maintenance_V2[ID_Antenne],_29_03_2026_Registre_Maintenance_V2[Equipementier],"Pas de correspondance")</f>
        <v>Pas de correspondance</v>
      </c>
    </row>
    <row r="676" spans="1:8" hidden="1" x14ac:dyDescent="0.25">
      <c r="A676" s="1">
        <v>45204.948611111111</v>
      </c>
      <c r="B676">
        <f>Log_Reseau_Master[[#This Row],[Duree_Panne_Min]]/1440</f>
        <v>3.2638888888888891E-2</v>
      </c>
      <c r="C676" t="s">
        <v>1549</v>
      </c>
      <c r="D676">
        <v>47</v>
      </c>
      <c r="E676" t="s">
        <v>1312</v>
      </c>
      <c r="F676" t="str">
        <f>_xlfn.XLOOKUP(Log_Reseau_Master[[#This Row],[Cell_ID]],_29_03_2026_Registre_Maintenance_V2[ID_Antenne],_29_03_2026_Registre_Maintenance_V2[Province_RDC],"Pas de correspondance")</f>
        <v>Pas de correspondance</v>
      </c>
      <c r="G676" t="str">
        <f>_xlfn.XLOOKUP(Log_Reseau_Master[[#This Row],[Cell_ID]],_29_03_2026_Registre_Maintenance_V2[ID_Antenne],_29_03_2026_Registre_Maintenance_V2[Technologie],"Pas de correspondance")</f>
        <v>Pas de correspondance</v>
      </c>
      <c r="H676" t="str">
        <f>_xlfn.XLOOKUP(Log_Reseau_Master[[#This Row],[Cell_ID]],_29_03_2026_Registre_Maintenance_V2[ID_Antenne],_29_03_2026_Registre_Maintenance_V2[Equipementier],"Pas de correspondance")</f>
        <v>Pas de correspondance</v>
      </c>
    </row>
    <row r="677" spans="1:8" hidden="1" x14ac:dyDescent="0.25">
      <c r="A677" s="1">
        <v>45220.506249999999</v>
      </c>
      <c r="B677">
        <f>Log_Reseau_Master[[#This Row],[Duree_Panne_Min]]/1440</f>
        <v>1.3888888888888888E-2</v>
      </c>
      <c r="C677" t="s">
        <v>1550</v>
      </c>
      <c r="D677">
        <v>20</v>
      </c>
      <c r="E677" t="s">
        <v>1314</v>
      </c>
      <c r="F677" t="str">
        <f>_xlfn.XLOOKUP(Log_Reseau_Master[[#This Row],[Cell_ID]],_29_03_2026_Registre_Maintenance_V2[ID_Antenne],_29_03_2026_Registre_Maintenance_V2[Province_RDC],"Pas de correspondance")</f>
        <v>Pas de correspondance</v>
      </c>
      <c r="G677" t="str">
        <f>_xlfn.XLOOKUP(Log_Reseau_Master[[#This Row],[Cell_ID]],_29_03_2026_Registre_Maintenance_V2[ID_Antenne],_29_03_2026_Registre_Maintenance_V2[Technologie],"Pas de correspondance")</f>
        <v>Pas de correspondance</v>
      </c>
      <c r="H677" t="str">
        <f>_xlfn.XLOOKUP(Log_Reseau_Master[[#This Row],[Cell_ID]],_29_03_2026_Registre_Maintenance_V2[ID_Antenne],_29_03_2026_Registre_Maintenance_V2[Equipementier],"Pas de correspondance")</f>
        <v>Pas de correspondance</v>
      </c>
    </row>
    <row r="678" spans="1:8" hidden="1" x14ac:dyDescent="0.25">
      <c r="A678" s="1">
        <v>45229.986805555556</v>
      </c>
      <c r="B678">
        <f>Log_Reseau_Master[[#This Row],[Duree_Panne_Min]]/1440</f>
        <v>2.5694444444444443E-2</v>
      </c>
      <c r="C678" t="s">
        <v>1550</v>
      </c>
      <c r="D678">
        <v>37</v>
      </c>
      <c r="E678" t="s">
        <v>1321</v>
      </c>
      <c r="F678" t="str">
        <f>_xlfn.XLOOKUP(Log_Reseau_Master[[#This Row],[Cell_ID]],_29_03_2026_Registre_Maintenance_V2[ID_Antenne],_29_03_2026_Registre_Maintenance_V2[Province_RDC],"Pas de correspondance")</f>
        <v>Pas de correspondance</v>
      </c>
      <c r="G678" t="str">
        <f>_xlfn.XLOOKUP(Log_Reseau_Master[[#This Row],[Cell_ID]],_29_03_2026_Registre_Maintenance_V2[ID_Antenne],_29_03_2026_Registre_Maintenance_V2[Technologie],"Pas de correspondance")</f>
        <v>Pas de correspondance</v>
      </c>
      <c r="H678" t="str">
        <f>_xlfn.XLOOKUP(Log_Reseau_Master[[#This Row],[Cell_ID]],_29_03_2026_Registre_Maintenance_V2[ID_Antenne],_29_03_2026_Registre_Maintenance_V2[Equipementier],"Pas de correspondance")</f>
        <v>Pas de correspondance</v>
      </c>
    </row>
    <row r="679" spans="1:8" hidden="1" x14ac:dyDescent="0.25">
      <c r="A679" s="1">
        <v>45215.322222222225</v>
      </c>
      <c r="B679">
        <f>Log_Reseau_Master[[#This Row],[Duree_Panne_Min]]/1440</f>
        <v>3.9583333333333331E-2</v>
      </c>
      <c r="C679" t="s">
        <v>1550</v>
      </c>
      <c r="D679">
        <v>57</v>
      </c>
      <c r="E679" t="s">
        <v>1321</v>
      </c>
      <c r="F679" t="str">
        <f>_xlfn.XLOOKUP(Log_Reseau_Master[[#This Row],[Cell_ID]],_29_03_2026_Registre_Maintenance_V2[ID_Antenne],_29_03_2026_Registre_Maintenance_V2[Province_RDC],"Pas de correspondance")</f>
        <v>Pas de correspondance</v>
      </c>
      <c r="G679" t="str">
        <f>_xlfn.XLOOKUP(Log_Reseau_Master[[#This Row],[Cell_ID]],_29_03_2026_Registre_Maintenance_V2[ID_Antenne],_29_03_2026_Registre_Maintenance_V2[Technologie],"Pas de correspondance")</f>
        <v>Pas de correspondance</v>
      </c>
      <c r="H679" t="str">
        <f>_xlfn.XLOOKUP(Log_Reseau_Master[[#This Row],[Cell_ID]],_29_03_2026_Registre_Maintenance_V2[ID_Antenne],_29_03_2026_Registre_Maintenance_V2[Equipementier],"Pas de correspondance")</f>
        <v>Pas de correspondance</v>
      </c>
    </row>
    <row r="680" spans="1:8" hidden="1" x14ac:dyDescent="0.25">
      <c r="A680" s="1">
        <v>45205.711111111108</v>
      </c>
      <c r="B680">
        <f>Log_Reseau_Master[[#This Row],[Duree_Panne_Min]]/1440</f>
        <v>7.5694444444444439E-2</v>
      </c>
      <c r="C680" t="s">
        <v>1551</v>
      </c>
      <c r="D680">
        <v>109</v>
      </c>
      <c r="E680" t="s">
        <v>1321</v>
      </c>
      <c r="F680" t="str">
        <f>_xlfn.XLOOKUP(Log_Reseau_Master[[#This Row],[Cell_ID]],_29_03_2026_Registre_Maintenance_V2[ID_Antenne],_29_03_2026_Registre_Maintenance_V2[Province_RDC],"Pas de correspondance")</f>
        <v>Pas de correspondance</v>
      </c>
      <c r="G680" t="str">
        <f>_xlfn.XLOOKUP(Log_Reseau_Master[[#This Row],[Cell_ID]],_29_03_2026_Registre_Maintenance_V2[ID_Antenne],_29_03_2026_Registre_Maintenance_V2[Technologie],"Pas de correspondance")</f>
        <v>Pas de correspondance</v>
      </c>
      <c r="H680" t="str">
        <f>_xlfn.XLOOKUP(Log_Reseau_Master[[#This Row],[Cell_ID]],_29_03_2026_Registre_Maintenance_V2[ID_Antenne],_29_03_2026_Registre_Maintenance_V2[Equipementier],"Pas de correspondance")</f>
        <v>Pas de correspondance</v>
      </c>
    </row>
    <row r="681" spans="1:8" hidden="1" x14ac:dyDescent="0.25">
      <c r="A681" s="1">
        <v>45200.06527777778</v>
      </c>
      <c r="B681">
        <f>Log_Reseau_Master[[#This Row],[Duree_Panne_Min]]/1440</f>
        <v>6.2500000000000003E-3</v>
      </c>
      <c r="C681" t="s">
        <v>1551</v>
      </c>
      <c r="D681">
        <v>9</v>
      </c>
      <c r="E681" t="s">
        <v>1314</v>
      </c>
      <c r="F681" t="str">
        <f>_xlfn.XLOOKUP(Log_Reseau_Master[[#This Row],[Cell_ID]],_29_03_2026_Registre_Maintenance_V2[ID_Antenne],_29_03_2026_Registre_Maintenance_V2[Province_RDC],"Pas de correspondance")</f>
        <v>Pas de correspondance</v>
      </c>
      <c r="G681" t="str">
        <f>_xlfn.XLOOKUP(Log_Reseau_Master[[#This Row],[Cell_ID]],_29_03_2026_Registre_Maintenance_V2[ID_Antenne],_29_03_2026_Registre_Maintenance_V2[Technologie],"Pas de correspondance")</f>
        <v>Pas de correspondance</v>
      </c>
      <c r="H681" t="str">
        <f>_xlfn.XLOOKUP(Log_Reseau_Master[[#This Row],[Cell_ID]],_29_03_2026_Registre_Maintenance_V2[ID_Antenne],_29_03_2026_Registre_Maintenance_V2[Equipementier],"Pas de correspondance")</f>
        <v>Pas de correspondance</v>
      </c>
    </row>
    <row r="682" spans="1:8" x14ac:dyDescent="0.25">
      <c r="A682" s="1">
        <v>45215.776388888888</v>
      </c>
      <c r="B682" s="4">
        <f>Log_Reseau_Master[[#This Row],[Duree_Panne_Min]]/1440</f>
        <v>6.0416666666666667E-2</v>
      </c>
      <c r="C682" t="s">
        <v>258</v>
      </c>
      <c r="D682">
        <v>87</v>
      </c>
      <c r="E682" t="s">
        <v>1321</v>
      </c>
      <c r="F682" t="str">
        <f>_xlfn.XLOOKUP(Log_Reseau_Master[[#This Row],[Cell_ID]],_29_03_2026_Registre_Maintenance_V2[ID_Antenne],_29_03_2026_Registre_Maintenance_V2[Province_RDC],"Pas de correspondance")</f>
        <v>Kasai</v>
      </c>
      <c r="G682" t="str">
        <f>_xlfn.XLOOKUP(Log_Reseau_Master[[#This Row],[Cell_ID]],_29_03_2026_Registre_Maintenance_V2[ID_Antenne],_29_03_2026_Registre_Maintenance_V2[Technologie],"Pas de correspondance")</f>
        <v>3G</v>
      </c>
      <c r="H682" t="str">
        <f>_xlfn.XLOOKUP(Log_Reseau_Master[[#This Row],[Cell_ID]],_29_03_2026_Registre_Maintenance_V2[ID_Antenne],_29_03_2026_Registre_Maintenance_V2[Equipementier],"Pas de correspondance")</f>
        <v>ZTE</v>
      </c>
    </row>
    <row r="683" spans="1:8" hidden="1" x14ac:dyDescent="0.25">
      <c r="A683" s="1">
        <v>45206.162499999999</v>
      </c>
      <c r="B683">
        <f>Log_Reseau_Master[[#This Row],[Duree_Panne_Min]]/1440</f>
        <v>4.791666666666667E-2</v>
      </c>
      <c r="C683" t="s">
        <v>1552</v>
      </c>
      <c r="D683">
        <v>69</v>
      </c>
      <c r="E683" t="s">
        <v>1314</v>
      </c>
      <c r="F683" t="str">
        <f>_xlfn.XLOOKUP(Log_Reseau_Master[[#This Row],[Cell_ID]],_29_03_2026_Registre_Maintenance_V2[ID_Antenne],_29_03_2026_Registre_Maintenance_V2[Province_RDC],"Pas de correspondance")</f>
        <v>Pas de correspondance</v>
      </c>
      <c r="G683" t="str">
        <f>_xlfn.XLOOKUP(Log_Reseau_Master[[#This Row],[Cell_ID]],_29_03_2026_Registre_Maintenance_V2[ID_Antenne],_29_03_2026_Registre_Maintenance_V2[Technologie],"Pas de correspondance")</f>
        <v>Pas de correspondance</v>
      </c>
      <c r="H683" t="str">
        <f>_xlfn.XLOOKUP(Log_Reseau_Master[[#This Row],[Cell_ID]],_29_03_2026_Registre_Maintenance_V2[ID_Antenne],_29_03_2026_Registre_Maintenance_V2[Equipementier],"Pas de correspondance")</f>
        <v>Pas de correspondance</v>
      </c>
    </row>
    <row r="684" spans="1:8" x14ac:dyDescent="0.25">
      <c r="A684" s="1">
        <v>45204.283333333333</v>
      </c>
      <c r="B684" s="4">
        <f>Log_Reseau_Master[[#This Row],[Duree_Panne_Min]]/1440</f>
        <v>7.6388888888888886E-3</v>
      </c>
      <c r="C684" t="s">
        <v>451</v>
      </c>
      <c r="D684">
        <v>11</v>
      </c>
      <c r="E684" t="s">
        <v>1321</v>
      </c>
      <c r="F684" t="str">
        <f>_xlfn.XLOOKUP(Log_Reseau_Master[[#This Row],[Cell_ID]],_29_03_2026_Registre_Maintenance_V2[ID_Antenne],_29_03_2026_Registre_Maintenance_V2[Province_RDC],"Pas de correspondance")</f>
        <v>Lomami</v>
      </c>
      <c r="G684" t="str">
        <f>_xlfn.XLOOKUP(Log_Reseau_Master[[#This Row],[Cell_ID]],_29_03_2026_Registre_Maintenance_V2[ID_Antenne],_29_03_2026_Registre_Maintenance_V2[Technologie],"Pas de correspondance")</f>
        <v>3G</v>
      </c>
      <c r="H684" t="str">
        <f>_xlfn.XLOOKUP(Log_Reseau_Master[[#This Row],[Cell_ID]],_29_03_2026_Registre_Maintenance_V2[ID_Antenne],_29_03_2026_Registre_Maintenance_V2[Equipementier],"Pas de correspondance")</f>
        <v>Nokia</v>
      </c>
    </row>
    <row r="685" spans="1:8" x14ac:dyDescent="0.25">
      <c r="A685" s="1">
        <v>45224.482638888891</v>
      </c>
      <c r="B685" s="4">
        <f>Log_Reseau_Master[[#This Row],[Duree_Panne_Min]]/1440</f>
        <v>6.5972222222222224E-2</v>
      </c>
      <c r="C685" t="s">
        <v>451</v>
      </c>
      <c r="D685">
        <v>95</v>
      </c>
      <c r="E685" t="s">
        <v>1312</v>
      </c>
      <c r="F685" t="str">
        <f>_xlfn.XLOOKUP(Log_Reseau_Master[[#This Row],[Cell_ID]],_29_03_2026_Registre_Maintenance_V2[ID_Antenne],_29_03_2026_Registre_Maintenance_V2[Province_RDC],"Pas de correspondance")</f>
        <v>Lomami</v>
      </c>
      <c r="G685" t="str">
        <f>_xlfn.XLOOKUP(Log_Reseau_Master[[#This Row],[Cell_ID]],_29_03_2026_Registre_Maintenance_V2[ID_Antenne],_29_03_2026_Registre_Maintenance_V2[Technologie],"Pas de correspondance")</f>
        <v>3G</v>
      </c>
      <c r="H685" t="str">
        <f>_xlfn.XLOOKUP(Log_Reseau_Master[[#This Row],[Cell_ID]],_29_03_2026_Registre_Maintenance_V2[ID_Antenne],_29_03_2026_Registre_Maintenance_V2[Equipementier],"Pas de correspondance")</f>
        <v>Nokia</v>
      </c>
    </row>
    <row r="686" spans="1:8" x14ac:dyDescent="0.25">
      <c r="A686" s="1">
        <v>45215.376388888886</v>
      </c>
      <c r="B686" s="4">
        <f>Log_Reseau_Master[[#This Row],[Duree_Panne_Min]]/1440</f>
        <v>4.5138888888888888E-2</v>
      </c>
      <c r="C686" t="s">
        <v>451</v>
      </c>
      <c r="D686">
        <v>65</v>
      </c>
      <c r="E686" t="s">
        <v>1321</v>
      </c>
      <c r="F686" t="str">
        <f>_xlfn.XLOOKUP(Log_Reseau_Master[[#This Row],[Cell_ID]],_29_03_2026_Registre_Maintenance_V2[ID_Antenne],_29_03_2026_Registre_Maintenance_V2[Province_RDC],"Pas de correspondance")</f>
        <v>Lomami</v>
      </c>
      <c r="G686" t="str">
        <f>_xlfn.XLOOKUP(Log_Reseau_Master[[#This Row],[Cell_ID]],_29_03_2026_Registre_Maintenance_V2[ID_Antenne],_29_03_2026_Registre_Maintenance_V2[Technologie],"Pas de correspondance")</f>
        <v>3G</v>
      </c>
      <c r="H686" t="str">
        <f>_xlfn.XLOOKUP(Log_Reseau_Master[[#This Row],[Cell_ID]],_29_03_2026_Registre_Maintenance_V2[ID_Antenne],_29_03_2026_Registre_Maintenance_V2[Equipementier],"Pas de correspondance")</f>
        <v>Nokia</v>
      </c>
    </row>
    <row r="687" spans="1:8" x14ac:dyDescent="0.25">
      <c r="A687" s="1">
        <v>45216.902777777781</v>
      </c>
      <c r="B687" s="4">
        <f>Log_Reseau_Master[[#This Row],[Duree_Panne_Min]]/1440</f>
        <v>1.3888888888888888E-2</v>
      </c>
      <c r="C687" t="s">
        <v>38</v>
      </c>
      <c r="D687">
        <v>20</v>
      </c>
      <c r="E687" t="s">
        <v>1321</v>
      </c>
      <c r="F687" t="str">
        <f>_xlfn.XLOOKUP(Log_Reseau_Master[[#This Row],[Cell_ID]],_29_03_2026_Registre_Maintenance_V2[ID_Antenne],_29_03_2026_Registre_Maintenance_V2[Province_RDC],"Pas de correspondance")</f>
        <v>Kwilu</v>
      </c>
      <c r="G687" t="str">
        <f>_xlfn.XLOOKUP(Log_Reseau_Master[[#This Row],[Cell_ID]],_29_03_2026_Registre_Maintenance_V2[ID_Antenne],_29_03_2026_Registre_Maintenance_V2[Technologie],"Pas de correspondance")</f>
        <v>4G</v>
      </c>
      <c r="H687" t="str">
        <f>_xlfn.XLOOKUP(Log_Reseau_Master[[#This Row],[Cell_ID]],_29_03_2026_Registre_Maintenance_V2[ID_Antenne],_29_03_2026_Registre_Maintenance_V2[Equipementier],"Pas de correspondance")</f>
        <v>Huawei</v>
      </c>
    </row>
    <row r="688" spans="1:8" hidden="1" x14ac:dyDescent="0.25">
      <c r="A688" s="1">
        <v>45227.163194444445</v>
      </c>
      <c r="B688">
        <f>Log_Reseau_Master[[#This Row],[Duree_Panne_Min]]/1440</f>
        <v>5.4166666666666669E-2</v>
      </c>
      <c r="C688" t="s">
        <v>1553</v>
      </c>
      <c r="D688">
        <v>78</v>
      </c>
      <c r="E688" t="s">
        <v>1312</v>
      </c>
      <c r="F688" t="str">
        <f>_xlfn.XLOOKUP(Log_Reseau_Master[[#This Row],[Cell_ID]],_29_03_2026_Registre_Maintenance_V2[ID_Antenne],_29_03_2026_Registre_Maintenance_V2[Province_RDC],"Pas de correspondance")</f>
        <v>Pas de correspondance</v>
      </c>
      <c r="G688" t="str">
        <f>_xlfn.XLOOKUP(Log_Reseau_Master[[#This Row],[Cell_ID]],_29_03_2026_Registre_Maintenance_V2[ID_Antenne],_29_03_2026_Registre_Maintenance_V2[Technologie],"Pas de correspondance")</f>
        <v>Pas de correspondance</v>
      </c>
      <c r="H688" t="str">
        <f>_xlfn.XLOOKUP(Log_Reseau_Master[[#This Row],[Cell_ID]],_29_03_2026_Registre_Maintenance_V2[ID_Antenne],_29_03_2026_Registre_Maintenance_V2[Equipementier],"Pas de correspondance")</f>
        <v>Pas de correspondance</v>
      </c>
    </row>
    <row r="689" spans="1:8" hidden="1" x14ac:dyDescent="0.25">
      <c r="A689" s="1">
        <v>45221.839583333334</v>
      </c>
      <c r="B689">
        <f>Log_Reseau_Master[[#This Row],[Duree_Panne_Min]]/1440</f>
        <v>1.2500000000000001E-2</v>
      </c>
      <c r="C689" t="s">
        <v>1554</v>
      </c>
      <c r="D689">
        <v>18</v>
      </c>
      <c r="E689" t="s">
        <v>1314</v>
      </c>
      <c r="F689" t="str">
        <f>_xlfn.XLOOKUP(Log_Reseau_Master[[#This Row],[Cell_ID]],_29_03_2026_Registre_Maintenance_V2[ID_Antenne],_29_03_2026_Registre_Maintenance_V2[Province_RDC],"Pas de correspondance")</f>
        <v>Pas de correspondance</v>
      </c>
      <c r="G689" t="str">
        <f>_xlfn.XLOOKUP(Log_Reseau_Master[[#This Row],[Cell_ID]],_29_03_2026_Registre_Maintenance_V2[ID_Antenne],_29_03_2026_Registre_Maintenance_V2[Technologie],"Pas de correspondance")</f>
        <v>Pas de correspondance</v>
      </c>
      <c r="H689" t="str">
        <f>_xlfn.XLOOKUP(Log_Reseau_Master[[#This Row],[Cell_ID]],_29_03_2026_Registre_Maintenance_V2[ID_Antenne],_29_03_2026_Registre_Maintenance_V2[Equipementier],"Pas de correspondance")</f>
        <v>Pas de correspondance</v>
      </c>
    </row>
    <row r="690" spans="1:8" hidden="1" x14ac:dyDescent="0.25">
      <c r="A690" s="1">
        <v>45214.109722222223</v>
      </c>
      <c r="B690">
        <f>Log_Reseau_Master[[#This Row],[Duree_Panne_Min]]/1440</f>
        <v>7.0833333333333331E-2</v>
      </c>
      <c r="C690" t="s">
        <v>1555</v>
      </c>
      <c r="D690">
        <v>102</v>
      </c>
      <c r="E690" t="s">
        <v>1312</v>
      </c>
      <c r="F690" t="str">
        <f>_xlfn.XLOOKUP(Log_Reseau_Master[[#This Row],[Cell_ID]],_29_03_2026_Registre_Maintenance_V2[ID_Antenne],_29_03_2026_Registre_Maintenance_V2[Province_RDC],"Pas de correspondance")</f>
        <v>Pas de correspondance</v>
      </c>
      <c r="G690" t="str">
        <f>_xlfn.XLOOKUP(Log_Reseau_Master[[#This Row],[Cell_ID]],_29_03_2026_Registre_Maintenance_V2[ID_Antenne],_29_03_2026_Registre_Maintenance_V2[Technologie],"Pas de correspondance")</f>
        <v>Pas de correspondance</v>
      </c>
      <c r="H690" t="str">
        <f>_xlfn.XLOOKUP(Log_Reseau_Master[[#This Row],[Cell_ID]],_29_03_2026_Registre_Maintenance_V2[ID_Antenne],_29_03_2026_Registre_Maintenance_V2[Equipementier],"Pas de correspondance")</f>
        <v>Pas de correspondance</v>
      </c>
    </row>
    <row r="691" spans="1:8" hidden="1" x14ac:dyDescent="0.25">
      <c r="A691" s="1">
        <v>45210.84097222222</v>
      </c>
      <c r="B691">
        <f>Log_Reseau_Master[[#This Row],[Duree_Panne_Min]]/1440</f>
        <v>4.8611111111111112E-3</v>
      </c>
      <c r="C691" t="s">
        <v>1555</v>
      </c>
      <c r="D691">
        <v>7</v>
      </c>
      <c r="E691" t="s">
        <v>1314</v>
      </c>
      <c r="F691" t="str">
        <f>_xlfn.XLOOKUP(Log_Reseau_Master[[#This Row],[Cell_ID]],_29_03_2026_Registre_Maintenance_V2[ID_Antenne],_29_03_2026_Registre_Maintenance_V2[Province_RDC],"Pas de correspondance")</f>
        <v>Pas de correspondance</v>
      </c>
      <c r="G691" t="str">
        <f>_xlfn.XLOOKUP(Log_Reseau_Master[[#This Row],[Cell_ID]],_29_03_2026_Registre_Maintenance_V2[ID_Antenne],_29_03_2026_Registre_Maintenance_V2[Technologie],"Pas de correspondance")</f>
        <v>Pas de correspondance</v>
      </c>
      <c r="H691" t="str">
        <f>_xlfn.XLOOKUP(Log_Reseau_Master[[#This Row],[Cell_ID]],_29_03_2026_Registre_Maintenance_V2[ID_Antenne],_29_03_2026_Registre_Maintenance_V2[Equipementier],"Pas de correspondance")</f>
        <v>Pas de correspondance</v>
      </c>
    </row>
    <row r="692" spans="1:8" x14ac:dyDescent="0.25">
      <c r="A692" s="1">
        <v>45209.659722222219</v>
      </c>
      <c r="B692" s="4">
        <f>Log_Reseau_Master[[#This Row],[Duree_Panne_Min]]/1440</f>
        <v>4.6527777777777779E-2</v>
      </c>
      <c r="C692" t="s">
        <v>149</v>
      </c>
      <c r="D692">
        <v>67</v>
      </c>
      <c r="E692" t="s">
        <v>1321</v>
      </c>
      <c r="F692" t="str">
        <f>_xlfn.XLOOKUP(Log_Reseau_Master[[#This Row],[Cell_ID]],_29_03_2026_Registre_Maintenance_V2[ID_Antenne],_29_03_2026_Registre_Maintenance_V2[Province_RDC],"Pas de correspondance")</f>
        <v>Nord-Ubangi</v>
      </c>
      <c r="G692" t="str">
        <f>_xlfn.XLOOKUP(Log_Reseau_Master[[#This Row],[Cell_ID]],_29_03_2026_Registre_Maintenance_V2[ID_Antenne],_29_03_2026_Registre_Maintenance_V2[Technologie],"Pas de correspondance")</f>
        <v>3G</v>
      </c>
      <c r="H692" t="str">
        <f>_xlfn.XLOOKUP(Log_Reseau_Master[[#This Row],[Cell_ID]],_29_03_2026_Registre_Maintenance_V2[ID_Antenne],_29_03_2026_Registre_Maintenance_V2[Equipementier],"Pas de correspondance")</f>
        <v>ZTE</v>
      </c>
    </row>
    <row r="693" spans="1:8" x14ac:dyDescent="0.25">
      <c r="A693" s="1">
        <v>45226.586805555555</v>
      </c>
      <c r="B693" s="4">
        <f>Log_Reseau_Master[[#This Row],[Duree_Panne_Min]]/1440</f>
        <v>2.2916666666666665E-2</v>
      </c>
      <c r="C693" t="s">
        <v>149</v>
      </c>
      <c r="D693">
        <v>33</v>
      </c>
      <c r="E693" t="s">
        <v>1321</v>
      </c>
      <c r="F693" t="str">
        <f>_xlfn.XLOOKUP(Log_Reseau_Master[[#This Row],[Cell_ID]],_29_03_2026_Registre_Maintenance_V2[ID_Antenne],_29_03_2026_Registre_Maintenance_V2[Province_RDC],"Pas de correspondance")</f>
        <v>Nord-Ubangi</v>
      </c>
      <c r="G693" t="str">
        <f>_xlfn.XLOOKUP(Log_Reseau_Master[[#This Row],[Cell_ID]],_29_03_2026_Registre_Maintenance_V2[ID_Antenne],_29_03_2026_Registre_Maintenance_V2[Technologie],"Pas de correspondance")</f>
        <v>3G</v>
      </c>
      <c r="H693" t="str">
        <f>_xlfn.XLOOKUP(Log_Reseau_Master[[#This Row],[Cell_ID]],_29_03_2026_Registre_Maintenance_V2[ID_Antenne],_29_03_2026_Registre_Maintenance_V2[Equipementier],"Pas de correspondance")</f>
        <v>ZTE</v>
      </c>
    </row>
    <row r="694" spans="1:8" x14ac:dyDescent="0.25">
      <c r="A694" s="1">
        <v>45201.009027777778</v>
      </c>
      <c r="B694" s="4">
        <f>Log_Reseau_Master[[#This Row],[Duree_Panne_Min]]/1440</f>
        <v>3.888888888888889E-2</v>
      </c>
      <c r="C694" t="s">
        <v>149</v>
      </c>
      <c r="D694">
        <v>56</v>
      </c>
      <c r="E694" t="s">
        <v>1312</v>
      </c>
      <c r="F694" t="str">
        <f>_xlfn.XLOOKUP(Log_Reseau_Master[[#This Row],[Cell_ID]],_29_03_2026_Registre_Maintenance_V2[ID_Antenne],_29_03_2026_Registre_Maintenance_V2[Province_RDC],"Pas de correspondance")</f>
        <v>Nord-Ubangi</v>
      </c>
      <c r="G694" t="str">
        <f>_xlfn.XLOOKUP(Log_Reseau_Master[[#This Row],[Cell_ID]],_29_03_2026_Registre_Maintenance_V2[ID_Antenne],_29_03_2026_Registre_Maintenance_V2[Technologie],"Pas de correspondance")</f>
        <v>3G</v>
      </c>
      <c r="H694" t="str">
        <f>_xlfn.XLOOKUP(Log_Reseau_Master[[#This Row],[Cell_ID]],_29_03_2026_Registre_Maintenance_V2[ID_Antenne],_29_03_2026_Registre_Maintenance_V2[Equipementier],"Pas de correspondance")</f>
        <v>ZTE</v>
      </c>
    </row>
    <row r="695" spans="1:8" hidden="1" x14ac:dyDescent="0.25">
      <c r="A695" s="1">
        <v>45218.635416666664</v>
      </c>
      <c r="B695">
        <f>Log_Reseau_Master[[#This Row],[Duree_Panne_Min]]/1440</f>
        <v>1.1805555555555555E-2</v>
      </c>
      <c r="C695" t="s">
        <v>1556</v>
      </c>
      <c r="D695">
        <v>17</v>
      </c>
      <c r="E695" t="s">
        <v>1321</v>
      </c>
      <c r="F695" t="str">
        <f>_xlfn.XLOOKUP(Log_Reseau_Master[[#This Row],[Cell_ID]],_29_03_2026_Registre_Maintenance_V2[ID_Antenne],_29_03_2026_Registre_Maintenance_V2[Province_RDC],"Pas de correspondance")</f>
        <v>Pas de correspondance</v>
      </c>
      <c r="G695" t="str">
        <f>_xlfn.XLOOKUP(Log_Reseau_Master[[#This Row],[Cell_ID]],_29_03_2026_Registre_Maintenance_V2[ID_Antenne],_29_03_2026_Registre_Maintenance_V2[Technologie],"Pas de correspondance")</f>
        <v>Pas de correspondance</v>
      </c>
      <c r="H695" t="str">
        <f>_xlfn.XLOOKUP(Log_Reseau_Master[[#This Row],[Cell_ID]],_29_03_2026_Registre_Maintenance_V2[ID_Antenne],_29_03_2026_Registre_Maintenance_V2[Equipementier],"Pas de correspondance")</f>
        <v>Pas de correspondance</v>
      </c>
    </row>
    <row r="696" spans="1:8" hidden="1" x14ac:dyDescent="0.25">
      <c r="A696" s="1">
        <v>45214.185416666667</v>
      </c>
      <c r="B696">
        <f>Log_Reseau_Master[[#This Row],[Duree_Panne_Min]]/1440</f>
        <v>2.5000000000000001E-2</v>
      </c>
      <c r="C696" t="s">
        <v>1556</v>
      </c>
      <c r="D696">
        <v>36</v>
      </c>
      <c r="E696" t="s">
        <v>1312</v>
      </c>
      <c r="F696" t="str">
        <f>_xlfn.XLOOKUP(Log_Reseau_Master[[#This Row],[Cell_ID]],_29_03_2026_Registre_Maintenance_V2[ID_Antenne],_29_03_2026_Registre_Maintenance_V2[Province_RDC],"Pas de correspondance")</f>
        <v>Pas de correspondance</v>
      </c>
      <c r="G696" t="str">
        <f>_xlfn.XLOOKUP(Log_Reseau_Master[[#This Row],[Cell_ID]],_29_03_2026_Registre_Maintenance_V2[ID_Antenne],_29_03_2026_Registre_Maintenance_V2[Technologie],"Pas de correspondance")</f>
        <v>Pas de correspondance</v>
      </c>
      <c r="H696" t="str">
        <f>_xlfn.XLOOKUP(Log_Reseau_Master[[#This Row],[Cell_ID]],_29_03_2026_Registre_Maintenance_V2[ID_Antenne],_29_03_2026_Registre_Maintenance_V2[Equipementier],"Pas de correspondance")</f>
        <v>Pas de correspondance</v>
      </c>
    </row>
    <row r="697" spans="1:8" x14ac:dyDescent="0.25">
      <c r="A697" s="1">
        <v>45229.065972222219</v>
      </c>
      <c r="B697" s="4">
        <f>Log_Reseau_Master[[#This Row],[Duree_Panne_Min]]/1440</f>
        <v>6.458333333333334E-2</v>
      </c>
      <c r="C697" t="s">
        <v>237</v>
      </c>
      <c r="D697">
        <v>93</v>
      </c>
      <c r="E697" t="s">
        <v>1314</v>
      </c>
      <c r="F697" t="str">
        <f>_xlfn.XLOOKUP(Log_Reseau_Master[[#This Row],[Cell_ID]],_29_03_2026_Registre_Maintenance_V2[ID_Antenne],_29_03_2026_Registre_Maintenance_V2[Province_RDC],"Pas de correspondance")</f>
        <v>Nord-Kivu</v>
      </c>
      <c r="G697" t="str">
        <f>_xlfn.XLOOKUP(Log_Reseau_Master[[#This Row],[Cell_ID]],_29_03_2026_Registre_Maintenance_V2[ID_Antenne],_29_03_2026_Registre_Maintenance_V2[Technologie],"Pas de correspondance")</f>
        <v>5G</v>
      </c>
      <c r="H697" t="str">
        <f>_xlfn.XLOOKUP(Log_Reseau_Master[[#This Row],[Cell_ID]],_29_03_2026_Registre_Maintenance_V2[ID_Antenne],_29_03_2026_Registre_Maintenance_V2[Equipementier],"Pas de correspondance")</f>
        <v>ZTE</v>
      </c>
    </row>
    <row r="698" spans="1:8" x14ac:dyDescent="0.25">
      <c r="A698" s="1">
        <v>45201.212500000001</v>
      </c>
      <c r="B698" s="4">
        <f>Log_Reseau_Master[[#This Row],[Duree_Panne_Min]]/1440</f>
        <v>2.7777777777777776E-2</v>
      </c>
      <c r="C698" t="s">
        <v>237</v>
      </c>
      <c r="D698">
        <v>40</v>
      </c>
      <c r="E698" t="s">
        <v>1312</v>
      </c>
      <c r="F698" t="str">
        <f>_xlfn.XLOOKUP(Log_Reseau_Master[[#This Row],[Cell_ID]],_29_03_2026_Registre_Maintenance_V2[ID_Antenne],_29_03_2026_Registre_Maintenance_V2[Province_RDC],"Pas de correspondance")</f>
        <v>Nord-Kivu</v>
      </c>
      <c r="G698" t="str">
        <f>_xlfn.XLOOKUP(Log_Reseau_Master[[#This Row],[Cell_ID]],_29_03_2026_Registre_Maintenance_V2[ID_Antenne],_29_03_2026_Registre_Maintenance_V2[Technologie],"Pas de correspondance")</f>
        <v>5G</v>
      </c>
      <c r="H698" t="str">
        <f>_xlfn.XLOOKUP(Log_Reseau_Master[[#This Row],[Cell_ID]],_29_03_2026_Registre_Maintenance_V2[ID_Antenne],_29_03_2026_Registre_Maintenance_V2[Equipementier],"Pas de correspondance")</f>
        <v>ZTE</v>
      </c>
    </row>
    <row r="699" spans="1:8" x14ac:dyDescent="0.25">
      <c r="A699" s="1">
        <v>45225.776388888888</v>
      </c>
      <c r="B699" s="4">
        <f>Log_Reseau_Master[[#This Row],[Duree_Panne_Min]]/1440</f>
        <v>4.9305555555555554E-2</v>
      </c>
      <c r="C699" t="s">
        <v>237</v>
      </c>
      <c r="D699">
        <v>71</v>
      </c>
      <c r="E699" t="s">
        <v>1314</v>
      </c>
      <c r="F699" t="str">
        <f>_xlfn.XLOOKUP(Log_Reseau_Master[[#This Row],[Cell_ID]],_29_03_2026_Registre_Maintenance_V2[ID_Antenne],_29_03_2026_Registre_Maintenance_V2[Province_RDC],"Pas de correspondance")</f>
        <v>Nord-Kivu</v>
      </c>
      <c r="G699" t="str">
        <f>_xlfn.XLOOKUP(Log_Reseau_Master[[#This Row],[Cell_ID]],_29_03_2026_Registre_Maintenance_V2[ID_Antenne],_29_03_2026_Registre_Maintenance_V2[Technologie],"Pas de correspondance")</f>
        <v>5G</v>
      </c>
      <c r="H699" t="str">
        <f>_xlfn.XLOOKUP(Log_Reseau_Master[[#This Row],[Cell_ID]],_29_03_2026_Registre_Maintenance_V2[ID_Antenne],_29_03_2026_Registre_Maintenance_V2[Equipementier],"Pas de correspondance")</f>
        <v>ZTE</v>
      </c>
    </row>
    <row r="700" spans="1:8" x14ac:dyDescent="0.25">
      <c r="A700" s="1">
        <v>45201.224999999999</v>
      </c>
      <c r="B700" s="4">
        <f>Log_Reseau_Master[[#This Row],[Duree_Panne_Min]]/1440</f>
        <v>5.7638888888888892E-2</v>
      </c>
      <c r="C700" t="s">
        <v>237</v>
      </c>
      <c r="D700">
        <v>83</v>
      </c>
      <c r="E700" t="s">
        <v>1312</v>
      </c>
      <c r="F700" t="str">
        <f>_xlfn.XLOOKUP(Log_Reseau_Master[[#This Row],[Cell_ID]],_29_03_2026_Registre_Maintenance_V2[ID_Antenne],_29_03_2026_Registre_Maintenance_V2[Province_RDC],"Pas de correspondance")</f>
        <v>Nord-Kivu</v>
      </c>
      <c r="G700" t="str">
        <f>_xlfn.XLOOKUP(Log_Reseau_Master[[#This Row],[Cell_ID]],_29_03_2026_Registre_Maintenance_V2[ID_Antenne],_29_03_2026_Registre_Maintenance_V2[Technologie],"Pas de correspondance")</f>
        <v>5G</v>
      </c>
      <c r="H700" t="str">
        <f>_xlfn.XLOOKUP(Log_Reseau_Master[[#This Row],[Cell_ID]],_29_03_2026_Registre_Maintenance_V2[ID_Antenne],_29_03_2026_Registre_Maintenance_V2[Equipementier],"Pas de correspondance")</f>
        <v>ZTE</v>
      </c>
    </row>
    <row r="701" spans="1:8" x14ac:dyDescent="0.25">
      <c r="A701" s="1">
        <v>45208.959027777775</v>
      </c>
      <c r="B701" s="4">
        <f>Log_Reseau_Master[[#This Row],[Duree_Panne_Min]]/1440</f>
        <v>6.805555555555555E-2</v>
      </c>
      <c r="C701" t="s">
        <v>237</v>
      </c>
      <c r="D701">
        <v>98</v>
      </c>
      <c r="E701" t="s">
        <v>1321</v>
      </c>
      <c r="F701" t="str">
        <f>_xlfn.XLOOKUP(Log_Reseau_Master[[#This Row],[Cell_ID]],_29_03_2026_Registre_Maintenance_V2[ID_Antenne],_29_03_2026_Registre_Maintenance_V2[Province_RDC],"Pas de correspondance")</f>
        <v>Nord-Kivu</v>
      </c>
      <c r="G701" t="str">
        <f>_xlfn.XLOOKUP(Log_Reseau_Master[[#This Row],[Cell_ID]],_29_03_2026_Registre_Maintenance_V2[ID_Antenne],_29_03_2026_Registre_Maintenance_V2[Technologie],"Pas de correspondance")</f>
        <v>5G</v>
      </c>
      <c r="H701" t="str">
        <f>_xlfn.XLOOKUP(Log_Reseau_Master[[#This Row],[Cell_ID]],_29_03_2026_Registre_Maintenance_V2[ID_Antenne],_29_03_2026_Registre_Maintenance_V2[Equipementier],"Pas de correspondance")</f>
        <v>ZTE</v>
      </c>
    </row>
    <row r="702" spans="1:8" hidden="1" x14ac:dyDescent="0.25">
      <c r="A702" s="1">
        <v>45210.805555555555</v>
      </c>
      <c r="B702">
        <f>Log_Reseau_Master[[#This Row],[Duree_Panne_Min]]/1440</f>
        <v>6.7361111111111108E-2</v>
      </c>
      <c r="C702" t="s">
        <v>1557</v>
      </c>
      <c r="D702">
        <v>97</v>
      </c>
      <c r="E702" t="s">
        <v>1314</v>
      </c>
      <c r="F702" t="str">
        <f>_xlfn.XLOOKUP(Log_Reseau_Master[[#This Row],[Cell_ID]],_29_03_2026_Registre_Maintenance_V2[ID_Antenne],_29_03_2026_Registre_Maintenance_V2[Province_RDC],"Pas de correspondance")</f>
        <v>Pas de correspondance</v>
      </c>
      <c r="G702" t="str">
        <f>_xlfn.XLOOKUP(Log_Reseau_Master[[#This Row],[Cell_ID]],_29_03_2026_Registre_Maintenance_V2[ID_Antenne],_29_03_2026_Registre_Maintenance_V2[Technologie],"Pas de correspondance")</f>
        <v>Pas de correspondance</v>
      </c>
      <c r="H702" t="str">
        <f>_xlfn.XLOOKUP(Log_Reseau_Master[[#This Row],[Cell_ID]],_29_03_2026_Registre_Maintenance_V2[ID_Antenne],_29_03_2026_Registre_Maintenance_V2[Equipementier],"Pas de correspondance")</f>
        <v>Pas de correspondance</v>
      </c>
    </row>
    <row r="703" spans="1:8" hidden="1" x14ac:dyDescent="0.25">
      <c r="A703" s="1">
        <v>45215.088888888888</v>
      </c>
      <c r="B703">
        <f>Log_Reseau_Master[[#This Row],[Duree_Panne_Min]]/1440</f>
        <v>4.0972222222222222E-2</v>
      </c>
      <c r="C703" t="s">
        <v>1557</v>
      </c>
      <c r="D703">
        <v>59</v>
      </c>
      <c r="E703" t="s">
        <v>1321</v>
      </c>
      <c r="F703" t="str">
        <f>_xlfn.XLOOKUP(Log_Reseau_Master[[#This Row],[Cell_ID]],_29_03_2026_Registre_Maintenance_V2[ID_Antenne],_29_03_2026_Registre_Maintenance_V2[Province_RDC],"Pas de correspondance")</f>
        <v>Pas de correspondance</v>
      </c>
      <c r="G703" t="str">
        <f>_xlfn.XLOOKUP(Log_Reseau_Master[[#This Row],[Cell_ID]],_29_03_2026_Registre_Maintenance_V2[ID_Antenne],_29_03_2026_Registre_Maintenance_V2[Technologie],"Pas de correspondance")</f>
        <v>Pas de correspondance</v>
      </c>
      <c r="H703" t="str">
        <f>_xlfn.XLOOKUP(Log_Reseau_Master[[#This Row],[Cell_ID]],_29_03_2026_Registre_Maintenance_V2[ID_Antenne],_29_03_2026_Registre_Maintenance_V2[Equipementier],"Pas de correspondance")</f>
        <v>Pas de correspondance</v>
      </c>
    </row>
    <row r="704" spans="1:8" hidden="1" x14ac:dyDescent="0.25">
      <c r="A704" s="1">
        <v>45221.106249999997</v>
      </c>
      <c r="B704">
        <f>Log_Reseau_Master[[#This Row],[Duree_Panne_Min]]/1440</f>
        <v>3.6111111111111108E-2</v>
      </c>
      <c r="C704" t="s">
        <v>1558</v>
      </c>
      <c r="D704">
        <v>52</v>
      </c>
      <c r="E704" t="s">
        <v>1321</v>
      </c>
      <c r="F704" t="str">
        <f>_xlfn.XLOOKUP(Log_Reseau_Master[[#This Row],[Cell_ID]],_29_03_2026_Registre_Maintenance_V2[ID_Antenne],_29_03_2026_Registre_Maintenance_V2[Province_RDC],"Pas de correspondance")</f>
        <v>Pas de correspondance</v>
      </c>
      <c r="G704" t="str">
        <f>_xlfn.XLOOKUP(Log_Reseau_Master[[#This Row],[Cell_ID]],_29_03_2026_Registre_Maintenance_V2[ID_Antenne],_29_03_2026_Registre_Maintenance_V2[Technologie],"Pas de correspondance")</f>
        <v>Pas de correspondance</v>
      </c>
      <c r="H704" t="str">
        <f>_xlfn.XLOOKUP(Log_Reseau_Master[[#This Row],[Cell_ID]],_29_03_2026_Registre_Maintenance_V2[ID_Antenne],_29_03_2026_Registre_Maintenance_V2[Equipementier],"Pas de correspondance")</f>
        <v>Pas de correspondance</v>
      </c>
    </row>
    <row r="705" spans="1:8" hidden="1" x14ac:dyDescent="0.25">
      <c r="A705" s="1">
        <v>45227.484722222223</v>
      </c>
      <c r="B705">
        <f>Log_Reseau_Master[[#This Row],[Duree_Panne_Min]]/1440</f>
        <v>1.6666666666666666E-2</v>
      </c>
      <c r="C705" t="s">
        <v>1558</v>
      </c>
      <c r="D705">
        <v>24</v>
      </c>
      <c r="E705" t="s">
        <v>1312</v>
      </c>
      <c r="F705" t="str">
        <f>_xlfn.XLOOKUP(Log_Reseau_Master[[#This Row],[Cell_ID]],_29_03_2026_Registre_Maintenance_V2[ID_Antenne],_29_03_2026_Registre_Maintenance_V2[Province_RDC],"Pas de correspondance")</f>
        <v>Pas de correspondance</v>
      </c>
      <c r="G705" t="str">
        <f>_xlfn.XLOOKUP(Log_Reseau_Master[[#This Row],[Cell_ID]],_29_03_2026_Registre_Maintenance_V2[ID_Antenne],_29_03_2026_Registre_Maintenance_V2[Technologie],"Pas de correspondance")</f>
        <v>Pas de correspondance</v>
      </c>
      <c r="H705" t="str">
        <f>_xlfn.XLOOKUP(Log_Reseau_Master[[#This Row],[Cell_ID]],_29_03_2026_Registre_Maintenance_V2[ID_Antenne],_29_03_2026_Registre_Maintenance_V2[Equipementier],"Pas de correspondance")</f>
        <v>Pas de correspondance</v>
      </c>
    </row>
    <row r="706" spans="1:8" hidden="1" x14ac:dyDescent="0.25">
      <c r="A706" s="1">
        <v>45211.908333333333</v>
      </c>
      <c r="B706">
        <f>Log_Reseau_Master[[#This Row],[Duree_Panne_Min]]/1440</f>
        <v>2.2222222222222223E-2</v>
      </c>
      <c r="C706" t="s">
        <v>1559</v>
      </c>
      <c r="D706">
        <v>32</v>
      </c>
      <c r="E706" t="s">
        <v>1312</v>
      </c>
      <c r="F706" t="str">
        <f>_xlfn.XLOOKUP(Log_Reseau_Master[[#This Row],[Cell_ID]],_29_03_2026_Registre_Maintenance_V2[ID_Antenne],_29_03_2026_Registre_Maintenance_V2[Province_RDC],"Pas de correspondance")</f>
        <v>Pas de correspondance</v>
      </c>
      <c r="G706" t="str">
        <f>_xlfn.XLOOKUP(Log_Reseau_Master[[#This Row],[Cell_ID]],_29_03_2026_Registre_Maintenance_V2[ID_Antenne],_29_03_2026_Registre_Maintenance_V2[Technologie],"Pas de correspondance")</f>
        <v>Pas de correspondance</v>
      </c>
      <c r="H706" t="str">
        <f>_xlfn.XLOOKUP(Log_Reseau_Master[[#This Row],[Cell_ID]],_29_03_2026_Registre_Maintenance_V2[ID_Antenne],_29_03_2026_Registre_Maintenance_V2[Equipementier],"Pas de correspondance")</f>
        <v>Pas de correspondance</v>
      </c>
    </row>
    <row r="707" spans="1:8" hidden="1" x14ac:dyDescent="0.25">
      <c r="A707" s="1">
        <v>45212.200694444444</v>
      </c>
      <c r="B707">
        <f>Log_Reseau_Master[[#This Row],[Duree_Panne_Min]]/1440</f>
        <v>5.6944444444444443E-2</v>
      </c>
      <c r="C707" t="s">
        <v>1559</v>
      </c>
      <c r="D707">
        <v>82</v>
      </c>
      <c r="E707" t="s">
        <v>1314</v>
      </c>
      <c r="F707" t="str">
        <f>_xlfn.XLOOKUP(Log_Reseau_Master[[#This Row],[Cell_ID]],_29_03_2026_Registre_Maintenance_V2[ID_Antenne],_29_03_2026_Registre_Maintenance_V2[Province_RDC],"Pas de correspondance")</f>
        <v>Pas de correspondance</v>
      </c>
      <c r="G707" t="str">
        <f>_xlfn.XLOOKUP(Log_Reseau_Master[[#This Row],[Cell_ID]],_29_03_2026_Registre_Maintenance_V2[ID_Antenne],_29_03_2026_Registre_Maintenance_V2[Technologie],"Pas de correspondance")</f>
        <v>Pas de correspondance</v>
      </c>
      <c r="H707" t="str">
        <f>_xlfn.XLOOKUP(Log_Reseau_Master[[#This Row],[Cell_ID]],_29_03_2026_Registre_Maintenance_V2[ID_Antenne],_29_03_2026_Registre_Maintenance_V2[Equipementier],"Pas de correspondance")</f>
        <v>Pas de correspondance</v>
      </c>
    </row>
    <row r="708" spans="1:8" hidden="1" x14ac:dyDescent="0.25">
      <c r="A708" s="1">
        <v>45219.920138888891</v>
      </c>
      <c r="B708">
        <f>Log_Reseau_Master[[#This Row],[Duree_Panne_Min]]/1440</f>
        <v>6.3194444444444442E-2</v>
      </c>
      <c r="C708" t="s">
        <v>1560</v>
      </c>
      <c r="D708">
        <v>91</v>
      </c>
      <c r="E708" t="s">
        <v>1321</v>
      </c>
      <c r="F708" t="str">
        <f>_xlfn.XLOOKUP(Log_Reseau_Master[[#This Row],[Cell_ID]],_29_03_2026_Registre_Maintenance_V2[ID_Antenne],_29_03_2026_Registre_Maintenance_V2[Province_RDC],"Pas de correspondance")</f>
        <v>Pas de correspondance</v>
      </c>
      <c r="G708" t="str">
        <f>_xlfn.XLOOKUP(Log_Reseau_Master[[#This Row],[Cell_ID]],_29_03_2026_Registre_Maintenance_V2[ID_Antenne],_29_03_2026_Registre_Maintenance_V2[Technologie],"Pas de correspondance")</f>
        <v>Pas de correspondance</v>
      </c>
      <c r="H708" t="str">
        <f>_xlfn.XLOOKUP(Log_Reseau_Master[[#This Row],[Cell_ID]],_29_03_2026_Registre_Maintenance_V2[ID_Antenne],_29_03_2026_Registre_Maintenance_V2[Equipementier],"Pas de correspondance")</f>
        <v>Pas de correspondance</v>
      </c>
    </row>
    <row r="709" spans="1:8" hidden="1" x14ac:dyDescent="0.25">
      <c r="A709" s="1">
        <v>45208.711111111108</v>
      </c>
      <c r="B709">
        <f>Log_Reseau_Master[[#This Row],[Duree_Panne_Min]]/1440</f>
        <v>5.2083333333333336E-2</v>
      </c>
      <c r="C709" t="s">
        <v>1561</v>
      </c>
      <c r="D709">
        <v>75</v>
      </c>
      <c r="E709" t="s">
        <v>1312</v>
      </c>
      <c r="F709" t="str">
        <f>_xlfn.XLOOKUP(Log_Reseau_Master[[#This Row],[Cell_ID]],_29_03_2026_Registre_Maintenance_V2[ID_Antenne],_29_03_2026_Registre_Maintenance_V2[Province_RDC],"Pas de correspondance")</f>
        <v>Pas de correspondance</v>
      </c>
      <c r="G709" t="str">
        <f>_xlfn.XLOOKUP(Log_Reseau_Master[[#This Row],[Cell_ID]],_29_03_2026_Registre_Maintenance_V2[ID_Antenne],_29_03_2026_Registre_Maintenance_V2[Technologie],"Pas de correspondance")</f>
        <v>Pas de correspondance</v>
      </c>
      <c r="H709" t="str">
        <f>_xlfn.XLOOKUP(Log_Reseau_Master[[#This Row],[Cell_ID]],_29_03_2026_Registre_Maintenance_V2[ID_Antenne],_29_03_2026_Registre_Maintenance_V2[Equipementier],"Pas de correspondance")</f>
        <v>Pas de correspondance</v>
      </c>
    </row>
    <row r="710" spans="1:8" hidden="1" x14ac:dyDescent="0.25">
      <c r="A710" s="1">
        <v>45203.477083333331</v>
      </c>
      <c r="B710">
        <f>Log_Reseau_Master[[#This Row],[Duree_Panne_Min]]/1440</f>
        <v>6.458333333333334E-2</v>
      </c>
      <c r="C710" t="s">
        <v>1561</v>
      </c>
      <c r="D710">
        <v>93</v>
      </c>
      <c r="E710" t="s">
        <v>1312</v>
      </c>
      <c r="F710" t="str">
        <f>_xlfn.XLOOKUP(Log_Reseau_Master[[#This Row],[Cell_ID]],_29_03_2026_Registre_Maintenance_V2[ID_Antenne],_29_03_2026_Registre_Maintenance_V2[Province_RDC],"Pas de correspondance")</f>
        <v>Pas de correspondance</v>
      </c>
      <c r="G710" t="str">
        <f>_xlfn.XLOOKUP(Log_Reseau_Master[[#This Row],[Cell_ID]],_29_03_2026_Registre_Maintenance_V2[ID_Antenne],_29_03_2026_Registre_Maintenance_V2[Technologie],"Pas de correspondance")</f>
        <v>Pas de correspondance</v>
      </c>
      <c r="H710" t="str">
        <f>_xlfn.XLOOKUP(Log_Reseau_Master[[#This Row],[Cell_ID]],_29_03_2026_Registre_Maintenance_V2[ID_Antenne],_29_03_2026_Registre_Maintenance_V2[Equipementier],"Pas de correspondance")</f>
        <v>Pas de correspondance</v>
      </c>
    </row>
    <row r="711" spans="1:8" x14ac:dyDescent="0.25">
      <c r="A711" s="1">
        <v>45229.722916666666</v>
      </c>
      <c r="B711" s="4">
        <f>Log_Reseau_Master[[#This Row],[Duree_Panne_Min]]/1440</f>
        <v>5.2777777777777778E-2</v>
      </c>
      <c r="C711" t="s">
        <v>406</v>
      </c>
      <c r="D711">
        <v>76</v>
      </c>
      <c r="E711" t="s">
        <v>1312</v>
      </c>
      <c r="F711" t="str">
        <f>_xlfn.XLOOKUP(Log_Reseau_Master[[#This Row],[Cell_ID]],_29_03_2026_Registre_Maintenance_V2[ID_Antenne],_29_03_2026_Registre_Maintenance_V2[Province_RDC],"Pas de correspondance")</f>
        <v>Nord-Ubangi</v>
      </c>
      <c r="G711" t="str">
        <f>_xlfn.XLOOKUP(Log_Reseau_Master[[#This Row],[Cell_ID]],_29_03_2026_Registre_Maintenance_V2[ID_Antenne],_29_03_2026_Registre_Maintenance_V2[Technologie],"Pas de correspondance")</f>
        <v>4G</v>
      </c>
      <c r="H711" t="str">
        <f>_xlfn.XLOOKUP(Log_Reseau_Master[[#This Row],[Cell_ID]],_29_03_2026_Registre_Maintenance_V2[ID_Antenne],_29_03_2026_Registre_Maintenance_V2[Equipementier],"Pas de correspondance")</f>
        <v>Ericsson</v>
      </c>
    </row>
    <row r="712" spans="1:8" x14ac:dyDescent="0.25">
      <c r="A712" s="1">
        <v>45227.587500000001</v>
      </c>
      <c r="B712" s="4">
        <f>Log_Reseau_Master[[#This Row],[Duree_Panne_Min]]/1440</f>
        <v>3.4722222222222224E-2</v>
      </c>
      <c r="C712" t="s">
        <v>406</v>
      </c>
      <c r="D712">
        <v>50</v>
      </c>
      <c r="E712" t="s">
        <v>1312</v>
      </c>
      <c r="F712" t="str">
        <f>_xlfn.XLOOKUP(Log_Reseau_Master[[#This Row],[Cell_ID]],_29_03_2026_Registre_Maintenance_V2[ID_Antenne],_29_03_2026_Registre_Maintenance_V2[Province_RDC],"Pas de correspondance")</f>
        <v>Nord-Ubangi</v>
      </c>
      <c r="G712" t="str">
        <f>_xlfn.XLOOKUP(Log_Reseau_Master[[#This Row],[Cell_ID]],_29_03_2026_Registre_Maintenance_V2[ID_Antenne],_29_03_2026_Registre_Maintenance_V2[Technologie],"Pas de correspondance")</f>
        <v>4G</v>
      </c>
      <c r="H712" t="str">
        <f>_xlfn.XLOOKUP(Log_Reseau_Master[[#This Row],[Cell_ID]],_29_03_2026_Registre_Maintenance_V2[ID_Antenne],_29_03_2026_Registre_Maintenance_V2[Equipementier],"Pas de correspondance")</f>
        <v>Ericsson</v>
      </c>
    </row>
    <row r="713" spans="1:8" x14ac:dyDescent="0.25">
      <c r="A713" s="1">
        <v>45204.297222222223</v>
      </c>
      <c r="B713" s="4">
        <f>Log_Reseau_Master[[#This Row],[Duree_Panne_Min]]/1440</f>
        <v>7.7083333333333337E-2</v>
      </c>
      <c r="C713" t="s">
        <v>406</v>
      </c>
      <c r="D713">
        <v>111</v>
      </c>
      <c r="E713" t="s">
        <v>1312</v>
      </c>
      <c r="F713" t="str">
        <f>_xlfn.XLOOKUP(Log_Reseau_Master[[#This Row],[Cell_ID]],_29_03_2026_Registre_Maintenance_V2[ID_Antenne],_29_03_2026_Registre_Maintenance_V2[Province_RDC],"Pas de correspondance")</f>
        <v>Nord-Ubangi</v>
      </c>
      <c r="G713" t="str">
        <f>_xlfn.XLOOKUP(Log_Reseau_Master[[#This Row],[Cell_ID]],_29_03_2026_Registre_Maintenance_V2[ID_Antenne],_29_03_2026_Registre_Maintenance_V2[Technologie],"Pas de correspondance")</f>
        <v>4G</v>
      </c>
      <c r="H713" t="str">
        <f>_xlfn.XLOOKUP(Log_Reseau_Master[[#This Row],[Cell_ID]],_29_03_2026_Registre_Maintenance_V2[ID_Antenne],_29_03_2026_Registre_Maintenance_V2[Equipementier],"Pas de correspondance")</f>
        <v>Ericsson</v>
      </c>
    </row>
    <row r="714" spans="1:8" x14ac:dyDescent="0.25">
      <c r="A714" s="1">
        <v>45214.018750000003</v>
      </c>
      <c r="B714" s="4">
        <f>Log_Reseau_Master[[#This Row],[Duree_Panne_Min]]/1440</f>
        <v>7.9861111111111105E-2</v>
      </c>
      <c r="C714" t="s">
        <v>406</v>
      </c>
      <c r="D714">
        <v>115</v>
      </c>
      <c r="E714" t="s">
        <v>1312</v>
      </c>
      <c r="F714" t="str">
        <f>_xlfn.XLOOKUP(Log_Reseau_Master[[#This Row],[Cell_ID]],_29_03_2026_Registre_Maintenance_V2[ID_Antenne],_29_03_2026_Registre_Maintenance_V2[Province_RDC],"Pas de correspondance")</f>
        <v>Nord-Ubangi</v>
      </c>
      <c r="G714" t="str">
        <f>_xlfn.XLOOKUP(Log_Reseau_Master[[#This Row],[Cell_ID]],_29_03_2026_Registre_Maintenance_V2[ID_Antenne],_29_03_2026_Registre_Maintenance_V2[Technologie],"Pas de correspondance")</f>
        <v>4G</v>
      </c>
      <c r="H714" t="str">
        <f>_xlfn.XLOOKUP(Log_Reseau_Master[[#This Row],[Cell_ID]],_29_03_2026_Registre_Maintenance_V2[ID_Antenne],_29_03_2026_Registre_Maintenance_V2[Equipementier],"Pas de correspondance")</f>
        <v>Ericsson</v>
      </c>
    </row>
    <row r="715" spans="1:8" x14ac:dyDescent="0.25">
      <c r="A715" s="1">
        <v>45227.297222222223</v>
      </c>
      <c r="B715" s="4">
        <f>Log_Reseau_Master[[#This Row],[Duree_Panne_Min]]/1440</f>
        <v>6.3888888888888884E-2</v>
      </c>
      <c r="C715" t="s">
        <v>214</v>
      </c>
      <c r="D715">
        <v>92</v>
      </c>
      <c r="E715" t="s">
        <v>1321</v>
      </c>
      <c r="F715" t="str">
        <f>_xlfn.XLOOKUP(Log_Reseau_Master[[#This Row],[Cell_ID]],_29_03_2026_Registre_Maintenance_V2[ID_Antenne],_29_03_2026_Registre_Maintenance_V2[Province_RDC],"Pas de correspondance")</f>
        <v>Haut-Lomami</v>
      </c>
      <c r="G715" t="str">
        <f>_xlfn.XLOOKUP(Log_Reseau_Master[[#This Row],[Cell_ID]],_29_03_2026_Registre_Maintenance_V2[ID_Antenne],_29_03_2026_Registre_Maintenance_V2[Technologie],"Pas de correspondance")</f>
        <v>3G</v>
      </c>
      <c r="H715" t="str">
        <f>_xlfn.XLOOKUP(Log_Reseau_Master[[#This Row],[Cell_ID]],_29_03_2026_Registre_Maintenance_V2[ID_Antenne],_29_03_2026_Registre_Maintenance_V2[Equipementier],"Pas de correspondance")</f>
        <v>Nokia</v>
      </c>
    </row>
    <row r="716" spans="1:8" hidden="1" x14ac:dyDescent="0.25">
      <c r="A716" s="1">
        <v>45224.831944444442</v>
      </c>
      <c r="B716">
        <f>Log_Reseau_Master[[#This Row],[Duree_Panne_Min]]/1440</f>
        <v>6.9444444444444448E-2</v>
      </c>
      <c r="C716" t="s">
        <v>1562</v>
      </c>
      <c r="D716">
        <v>100</v>
      </c>
      <c r="E716" t="s">
        <v>1314</v>
      </c>
      <c r="F716" t="str">
        <f>_xlfn.XLOOKUP(Log_Reseau_Master[[#This Row],[Cell_ID]],_29_03_2026_Registre_Maintenance_V2[ID_Antenne],_29_03_2026_Registre_Maintenance_V2[Province_RDC],"Pas de correspondance")</f>
        <v>Pas de correspondance</v>
      </c>
      <c r="G716" t="str">
        <f>_xlfn.XLOOKUP(Log_Reseau_Master[[#This Row],[Cell_ID]],_29_03_2026_Registre_Maintenance_V2[ID_Antenne],_29_03_2026_Registre_Maintenance_V2[Technologie],"Pas de correspondance")</f>
        <v>Pas de correspondance</v>
      </c>
      <c r="H716" t="str">
        <f>_xlfn.XLOOKUP(Log_Reseau_Master[[#This Row],[Cell_ID]],_29_03_2026_Registre_Maintenance_V2[ID_Antenne],_29_03_2026_Registre_Maintenance_V2[Equipementier],"Pas de correspondance")</f>
        <v>Pas de correspondance</v>
      </c>
    </row>
    <row r="717" spans="1:8" x14ac:dyDescent="0.25">
      <c r="A717" s="1">
        <v>45230.303472222222</v>
      </c>
      <c r="B717" s="4">
        <f>Log_Reseau_Master[[#This Row],[Duree_Panne_Min]]/1440</f>
        <v>5.7638888888888892E-2</v>
      </c>
      <c r="C717" t="s">
        <v>347</v>
      </c>
      <c r="D717">
        <v>83</v>
      </c>
      <c r="E717" t="s">
        <v>1321</v>
      </c>
      <c r="F717" t="str">
        <f>_xlfn.XLOOKUP(Log_Reseau_Master[[#This Row],[Cell_ID]],_29_03_2026_Registre_Maintenance_V2[ID_Antenne],_29_03_2026_Registre_Maintenance_V2[Province_RDC],"Pas de correspondance")</f>
        <v>Kongo-Central</v>
      </c>
      <c r="G717" t="str">
        <f>_xlfn.XLOOKUP(Log_Reseau_Master[[#This Row],[Cell_ID]],_29_03_2026_Registre_Maintenance_V2[ID_Antenne],_29_03_2026_Registre_Maintenance_V2[Technologie],"Pas de correspondance")</f>
        <v>5G</v>
      </c>
      <c r="H717" t="str">
        <f>_xlfn.XLOOKUP(Log_Reseau_Master[[#This Row],[Cell_ID]],_29_03_2026_Registre_Maintenance_V2[ID_Antenne],_29_03_2026_Registre_Maintenance_V2[Equipementier],"Pas de correspondance")</f>
        <v>Nokia</v>
      </c>
    </row>
    <row r="718" spans="1:8" x14ac:dyDescent="0.25">
      <c r="A718" s="1">
        <v>45220.154861111114</v>
      </c>
      <c r="B718" s="4">
        <f>Log_Reseau_Master[[#This Row],[Duree_Panne_Min]]/1440</f>
        <v>3.6805555555555557E-2</v>
      </c>
      <c r="C718" t="s">
        <v>347</v>
      </c>
      <c r="D718">
        <v>53</v>
      </c>
      <c r="E718" t="s">
        <v>1314</v>
      </c>
      <c r="F718" t="str">
        <f>_xlfn.XLOOKUP(Log_Reseau_Master[[#This Row],[Cell_ID]],_29_03_2026_Registre_Maintenance_V2[ID_Antenne],_29_03_2026_Registre_Maintenance_V2[Province_RDC],"Pas de correspondance")</f>
        <v>Kongo-Central</v>
      </c>
      <c r="G718" t="str">
        <f>_xlfn.XLOOKUP(Log_Reseau_Master[[#This Row],[Cell_ID]],_29_03_2026_Registre_Maintenance_V2[ID_Antenne],_29_03_2026_Registre_Maintenance_V2[Technologie],"Pas de correspondance")</f>
        <v>5G</v>
      </c>
      <c r="H718" t="str">
        <f>_xlfn.XLOOKUP(Log_Reseau_Master[[#This Row],[Cell_ID]],_29_03_2026_Registre_Maintenance_V2[ID_Antenne],_29_03_2026_Registre_Maintenance_V2[Equipementier],"Pas de correspondance")</f>
        <v>Nokia</v>
      </c>
    </row>
    <row r="719" spans="1:8" hidden="1" x14ac:dyDescent="0.25">
      <c r="A719" s="1">
        <v>45226.885416666664</v>
      </c>
      <c r="B719">
        <f>Log_Reseau_Master[[#This Row],[Duree_Panne_Min]]/1440</f>
        <v>6.6666666666666666E-2</v>
      </c>
      <c r="C719" t="s">
        <v>1563</v>
      </c>
      <c r="D719">
        <v>96</v>
      </c>
      <c r="E719" t="s">
        <v>1321</v>
      </c>
      <c r="F719" t="str">
        <f>_xlfn.XLOOKUP(Log_Reseau_Master[[#This Row],[Cell_ID]],_29_03_2026_Registre_Maintenance_V2[ID_Antenne],_29_03_2026_Registre_Maintenance_V2[Province_RDC],"Pas de correspondance")</f>
        <v>Pas de correspondance</v>
      </c>
      <c r="G719" t="str">
        <f>_xlfn.XLOOKUP(Log_Reseau_Master[[#This Row],[Cell_ID]],_29_03_2026_Registre_Maintenance_V2[ID_Antenne],_29_03_2026_Registre_Maintenance_V2[Technologie],"Pas de correspondance")</f>
        <v>Pas de correspondance</v>
      </c>
      <c r="H719" t="str">
        <f>_xlfn.XLOOKUP(Log_Reseau_Master[[#This Row],[Cell_ID]],_29_03_2026_Registre_Maintenance_V2[ID_Antenne],_29_03_2026_Registre_Maintenance_V2[Equipementier],"Pas de correspondance")</f>
        <v>Pas de correspondance</v>
      </c>
    </row>
    <row r="720" spans="1:8" x14ac:dyDescent="0.25">
      <c r="A720" s="1">
        <v>45202.529166666667</v>
      </c>
      <c r="B720" s="4">
        <f>Log_Reseau_Master[[#This Row],[Duree_Panne_Min]]/1440</f>
        <v>7.5694444444444439E-2</v>
      </c>
      <c r="C720" t="s">
        <v>72</v>
      </c>
      <c r="D720">
        <v>109</v>
      </c>
      <c r="E720" t="s">
        <v>1312</v>
      </c>
      <c r="F720" t="str">
        <f>_xlfn.XLOOKUP(Log_Reseau_Master[[#This Row],[Cell_ID]],_29_03_2026_Registre_Maintenance_V2[ID_Antenne],_29_03_2026_Registre_Maintenance_V2[Province_RDC],"Pas de correspondance")</f>
        <v>Haut-Uele</v>
      </c>
      <c r="G720" t="str">
        <f>_xlfn.XLOOKUP(Log_Reseau_Master[[#This Row],[Cell_ID]],_29_03_2026_Registre_Maintenance_V2[ID_Antenne],_29_03_2026_Registre_Maintenance_V2[Technologie],"Pas de correspondance")</f>
        <v>5G</v>
      </c>
      <c r="H720" t="str">
        <f>_xlfn.XLOOKUP(Log_Reseau_Master[[#This Row],[Cell_ID]],_29_03_2026_Registre_Maintenance_V2[ID_Antenne],_29_03_2026_Registre_Maintenance_V2[Equipementier],"Pas de correspondance")</f>
        <v>Huawei</v>
      </c>
    </row>
    <row r="721" spans="1:8" x14ac:dyDescent="0.25">
      <c r="A721" s="1">
        <v>45219.527083333334</v>
      </c>
      <c r="B721" s="4">
        <f>Log_Reseau_Master[[#This Row],[Duree_Panne_Min]]/1440</f>
        <v>6.5972222222222224E-2</v>
      </c>
      <c r="C721" t="s">
        <v>72</v>
      </c>
      <c r="D721">
        <v>95</v>
      </c>
      <c r="E721" t="s">
        <v>1314</v>
      </c>
      <c r="F721" t="str">
        <f>_xlfn.XLOOKUP(Log_Reseau_Master[[#This Row],[Cell_ID]],_29_03_2026_Registre_Maintenance_V2[ID_Antenne],_29_03_2026_Registre_Maintenance_V2[Province_RDC],"Pas de correspondance")</f>
        <v>Haut-Uele</v>
      </c>
      <c r="G721" t="str">
        <f>_xlfn.XLOOKUP(Log_Reseau_Master[[#This Row],[Cell_ID]],_29_03_2026_Registre_Maintenance_V2[ID_Antenne],_29_03_2026_Registre_Maintenance_V2[Technologie],"Pas de correspondance")</f>
        <v>5G</v>
      </c>
      <c r="H721" t="str">
        <f>_xlfn.XLOOKUP(Log_Reseau_Master[[#This Row],[Cell_ID]],_29_03_2026_Registre_Maintenance_V2[ID_Antenne],_29_03_2026_Registre_Maintenance_V2[Equipementier],"Pas de correspondance")</f>
        <v>Huawei</v>
      </c>
    </row>
    <row r="722" spans="1:8" x14ac:dyDescent="0.25">
      <c r="A722" s="1">
        <v>45211.888888888891</v>
      </c>
      <c r="B722" s="4">
        <f>Log_Reseau_Master[[#This Row],[Duree_Panne_Min]]/1440</f>
        <v>6.0416666666666667E-2</v>
      </c>
      <c r="C722" t="s">
        <v>72</v>
      </c>
      <c r="D722">
        <v>87</v>
      </c>
      <c r="E722" t="s">
        <v>1312</v>
      </c>
      <c r="F722" t="str">
        <f>_xlfn.XLOOKUP(Log_Reseau_Master[[#This Row],[Cell_ID]],_29_03_2026_Registre_Maintenance_V2[ID_Antenne],_29_03_2026_Registre_Maintenance_V2[Province_RDC],"Pas de correspondance")</f>
        <v>Haut-Uele</v>
      </c>
      <c r="G722" t="str">
        <f>_xlfn.XLOOKUP(Log_Reseau_Master[[#This Row],[Cell_ID]],_29_03_2026_Registre_Maintenance_V2[ID_Antenne],_29_03_2026_Registre_Maintenance_V2[Technologie],"Pas de correspondance")</f>
        <v>5G</v>
      </c>
      <c r="H722" t="str">
        <f>_xlfn.XLOOKUP(Log_Reseau_Master[[#This Row],[Cell_ID]],_29_03_2026_Registre_Maintenance_V2[ID_Antenne],_29_03_2026_Registre_Maintenance_V2[Equipementier],"Pas de correspondance")</f>
        <v>Huawei</v>
      </c>
    </row>
    <row r="723" spans="1:8" x14ac:dyDescent="0.25">
      <c r="A723" s="1">
        <v>45226.997916666667</v>
      </c>
      <c r="B723" s="4">
        <f>Log_Reseau_Master[[#This Row],[Duree_Panne_Min]]/1440</f>
        <v>3.6805555555555557E-2</v>
      </c>
      <c r="C723" t="s">
        <v>337</v>
      </c>
      <c r="D723">
        <v>53</v>
      </c>
      <c r="E723" t="s">
        <v>1321</v>
      </c>
      <c r="F723" t="str">
        <f>_xlfn.XLOOKUP(Log_Reseau_Master[[#This Row],[Cell_ID]],_29_03_2026_Registre_Maintenance_V2[ID_Antenne],_29_03_2026_Registre_Maintenance_V2[Province_RDC],"Pas de correspondance")</f>
        <v>Nord-Ubangi</v>
      </c>
      <c r="G723" t="str">
        <f>_xlfn.XLOOKUP(Log_Reseau_Master[[#This Row],[Cell_ID]],_29_03_2026_Registre_Maintenance_V2[ID_Antenne],_29_03_2026_Registre_Maintenance_V2[Technologie],"Pas de correspondance")</f>
        <v>4G</v>
      </c>
      <c r="H723" t="str">
        <f>_xlfn.XLOOKUP(Log_Reseau_Master[[#This Row],[Cell_ID]],_29_03_2026_Registre_Maintenance_V2[ID_Antenne],_29_03_2026_Registre_Maintenance_V2[Equipementier],"Pas de correspondance")</f>
        <v>Ericsson</v>
      </c>
    </row>
    <row r="724" spans="1:8" hidden="1" x14ac:dyDescent="0.25">
      <c r="A724" s="1">
        <v>45207.199305555558</v>
      </c>
      <c r="B724">
        <f>Log_Reseau_Master[[#This Row],[Duree_Panne_Min]]/1440</f>
        <v>1.9444444444444445E-2</v>
      </c>
      <c r="C724" t="s">
        <v>1564</v>
      </c>
      <c r="D724">
        <v>28</v>
      </c>
      <c r="E724" t="s">
        <v>1312</v>
      </c>
      <c r="F724" t="str">
        <f>_xlfn.XLOOKUP(Log_Reseau_Master[[#This Row],[Cell_ID]],_29_03_2026_Registre_Maintenance_V2[ID_Antenne],_29_03_2026_Registre_Maintenance_V2[Province_RDC],"Pas de correspondance")</f>
        <v>Pas de correspondance</v>
      </c>
      <c r="G724" t="str">
        <f>_xlfn.XLOOKUP(Log_Reseau_Master[[#This Row],[Cell_ID]],_29_03_2026_Registre_Maintenance_V2[ID_Antenne],_29_03_2026_Registre_Maintenance_V2[Technologie],"Pas de correspondance")</f>
        <v>Pas de correspondance</v>
      </c>
      <c r="H724" t="str">
        <f>_xlfn.XLOOKUP(Log_Reseau_Master[[#This Row],[Cell_ID]],_29_03_2026_Registre_Maintenance_V2[ID_Antenne],_29_03_2026_Registre_Maintenance_V2[Equipementier],"Pas de correspondance")</f>
        <v>Pas de correspondance</v>
      </c>
    </row>
    <row r="725" spans="1:8" hidden="1" x14ac:dyDescent="0.25">
      <c r="A725" s="1">
        <v>45214.081944444442</v>
      </c>
      <c r="B725">
        <f>Log_Reseau_Master[[#This Row],[Duree_Panne_Min]]/1440</f>
        <v>6.0416666666666667E-2</v>
      </c>
      <c r="C725" t="s">
        <v>1564</v>
      </c>
      <c r="D725">
        <v>87</v>
      </c>
      <c r="E725" t="s">
        <v>1312</v>
      </c>
      <c r="F725" t="str">
        <f>_xlfn.XLOOKUP(Log_Reseau_Master[[#This Row],[Cell_ID]],_29_03_2026_Registre_Maintenance_V2[ID_Antenne],_29_03_2026_Registre_Maintenance_V2[Province_RDC],"Pas de correspondance")</f>
        <v>Pas de correspondance</v>
      </c>
      <c r="G725" t="str">
        <f>_xlfn.XLOOKUP(Log_Reseau_Master[[#This Row],[Cell_ID]],_29_03_2026_Registre_Maintenance_V2[ID_Antenne],_29_03_2026_Registre_Maintenance_V2[Technologie],"Pas de correspondance")</f>
        <v>Pas de correspondance</v>
      </c>
      <c r="H725" t="str">
        <f>_xlfn.XLOOKUP(Log_Reseau_Master[[#This Row],[Cell_ID]],_29_03_2026_Registre_Maintenance_V2[ID_Antenne],_29_03_2026_Registre_Maintenance_V2[Equipementier],"Pas de correspondance")</f>
        <v>Pas de correspondance</v>
      </c>
    </row>
    <row r="726" spans="1:8" x14ac:dyDescent="0.25">
      <c r="A726" s="1">
        <v>45219.801388888889</v>
      </c>
      <c r="B726" s="4">
        <f>Log_Reseau_Master[[#This Row],[Duree_Panne_Min]]/1440</f>
        <v>4.5138888888888888E-2</v>
      </c>
      <c r="C726" t="s">
        <v>532</v>
      </c>
      <c r="D726">
        <v>65</v>
      </c>
      <c r="E726" t="s">
        <v>1312</v>
      </c>
      <c r="F726" t="str">
        <f>_xlfn.XLOOKUP(Log_Reseau_Master[[#This Row],[Cell_ID]],_29_03_2026_Registre_Maintenance_V2[ID_Antenne],_29_03_2026_Registre_Maintenance_V2[Province_RDC],"Pas de correspondance")</f>
        <v>Tshuapa</v>
      </c>
      <c r="G726" t="str">
        <f>_xlfn.XLOOKUP(Log_Reseau_Master[[#This Row],[Cell_ID]],_29_03_2026_Registre_Maintenance_V2[ID_Antenne],_29_03_2026_Registre_Maintenance_V2[Technologie],"Pas de correspondance")</f>
        <v>3G</v>
      </c>
      <c r="H726" t="str">
        <f>_xlfn.XLOOKUP(Log_Reseau_Master[[#This Row],[Cell_ID]],_29_03_2026_Registre_Maintenance_V2[ID_Antenne],_29_03_2026_Registre_Maintenance_V2[Equipementier],"Pas de correspondance")</f>
        <v>ZTE</v>
      </c>
    </row>
    <row r="727" spans="1:8" hidden="1" x14ac:dyDescent="0.25">
      <c r="A727" s="1">
        <v>45227.118055555555</v>
      </c>
      <c r="B727">
        <f>Log_Reseau_Master[[#This Row],[Duree_Panne_Min]]/1440</f>
        <v>4.2361111111111113E-2</v>
      </c>
      <c r="C727" t="s">
        <v>1565</v>
      </c>
      <c r="D727">
        <v>61</v>
      </c>
      <c r="E727" t="s">
        <v>1312</v>
      </c>
      <c r="F727" t="str">
        <f>_xlfn.XLOOKUP(Log_Reseau_Master[[#This Row],[Cell_ID]],_29_03_2026_Registre_Maintenance_V2[ID_Antenne],_29_03_2026_Registre_Maintenance_V2[Province_RDC],"Pas de correspondance")</f>
        <v>Pas de correspondance</v>
      </c>
      <c r="G727" t="str">
        <f>_xlfn.XLOOKUP(Log_Reseau_Master[[#This Row],[Cell_ID]],_29_03_2026_Registre_Maintenance_V2[ID_Antenne],_29_03_2026_Registre_Maintenance_V2[Technologie],"Pas de correspondance")</f>
        <v>Pas de correspondance</v>
      </c>
      <c r="H727" t="str">
        <f>_xlfn.XLOOKUP(Log_Reseau_Master[[#This Row],[Cell_ID]],_29_03_2026_Registre_Maintenance_V2[ID_Antenne],_29_03_2026_Registre_Maintenance_V2[Equipementier],"Pas de correspondance")</f>
        <v>Pas de correspondance</v>
      </c>
    </row>
    <row r="728" spans="1:8" x14ac:dyDescent="0.25">
      <c r="A728" s="1">
        <v>45225.406944444447</v>
      </c>
      <c r="B728" s="4">
        <f>Log_Reseau_Master[[#This Row],[Duree_Panne_Min]]/1440</f>
        <v>5.1388888888888887E-2</v>
      </c>
      <c r="C728" t="s">
        <v>200</v>
      </c>
      <c r="D728">
        <v>74</v>
      </c>
      <c r="E728" t="s">
        <v>1314</v>
      </c>
      <c r="F728" t="str">
        <f>_xlfn.XLOOKUP(Log_Reseau_Master[[#This Row],[Cell_ID]],_29_03_2026_Registre_Maintenance_V2[ID_Antenne],_29_03_2026_Registre_Maintenance_V2[Province_RDC],"Pas de correspondance")</f>
        <v>Kwango</v>
      </c>
      <c r="G728" t="str">
        <f>_xlfn.XLOOKUP(Log_Reseau_Master[[#This Row],[Cell_ID]],_29_03_2026_Registre_Maintenance_V2[ID_Antenne],_29_03_2026_Registre_Maintenance_V2[Technologie],"Pas de correspondance")</f>
        <v>4G</v>
      </c>
      <c r="H728" t="str">
        <f>_xlfn.XLOOKUP(Log_Reseau_Master[[#This Row],[Cell_ID]],_29_03_2026_Registre_Maintenance_V2[ID_Antenne],_29_03_2026_Registre_Maintenance_V2[Equipementier],"Pas de correspondance")</f>
        <v>Nokia</v>
      </c>
    </row>
    <row r="729" spans="1:8" x14ac:dyDescent="0.25">
      <c r="A729" s="1">
        <v>45213.907638888886</v>
      </c>
      <c r="B729" s="4">
        <f>Log_Reseau_Master[[#This Row],[Duree_Panne_Min]]/1440</f>
        <v>3.6111111111111108E-2</v>
      </c>
      <c r="C729" t="s">
        <v>241</v>
      </c>
      <c r="D729">
        <v>52</v>
      </c>
      <c r="E729" t="s">
        <v>1314</v>
      </c>
      <c r="F729" t="str">
        <f>_xlfn.XLOOKUP(Log_Reseau_Master[[#This Row],[Cell_ID]],_29_03_2026_Registre_Maintenance_V2[ID_Antenne],_29_03_2026_Registre_Maintenance_V2[Province_RDC],"Pas de correspondance")</f>
        <v>Nord-Kivu</v>
      </c>
      <c r="G729" t="str">
        <f>_xlfn.XLOOKUP(Log_Reseau_Master[[#This Row],[Cell_ID]],_29_03_2026_Registre_Maintenance_V2[ID_Antenne],_29_03_2026_Registre_Maintenance_V2[Technologie],"Pas de correspondance")</f>
        <v>5G</v>
      </c>
      <c r="H729" t="str">
        <f>_xlfn.XLOOKUP(Log_Reseau_Master[[#This Row],[Cell_ID]],_29_03_2026_Registre_Maintenance_V2[ID_Antenne],_29_03_2026_Registre_Maintenance_V2[Equipementier],"Pas de correspondance")</f>
        <v>Nokia</v>
      </c>
    </row>
    <row r="730" spans="1:8" x14ac:dyDescent="0.25">
      <c r="A730" s="1">
        <v>45224.229861111111</v>
      </c>
      <c r="B730" s="4">
        <f>Log_Reseau_Master[[#This Row],[Duree_Panne_Min]]/1440</f>
        <v>1.3888888888888888E-2</v>
      </c>
      <c r="C730" t="s">
        <v>241</v>
      </c>
      <c r="D730">
        <v>20</v>
      </c>
      <c r="E730" t="s">
        <v>1314</v>
      </c>
      <c r="F730" t="str">
        <f>_xlfn.XLOOKUP(Log_Reseau_Master[[#This Row],[Cell_ID]],_29_03_2026_Registre_Maintenance_V2[ID_Antenne],_29_03_2026_Registre_Maintenance_V2[Province_RDC],"Pas de correspondance")</f>
        <v>Nord-Kivu</v>
      </c>
      <c r="G730" t="str">
        <f>_xlfn.XLOOKUP(Log_Reseau_Master[[#This Row],[Cell_ID]],_29_03_2026_Registre_Maintenance_V2[ID_Antenne],_29_03_2026_Registre_Maintenance_V2[Technologie],"Pas de correspondance")</f>
        <v>5G</v>
      </c>
      <c r="H730" t="str">
        <f>_xlfn.XLOOKUP(Log_Reseau_Master[[#This Row],[Cell_ID]],_29_03_2026_Registre_Maintenance_V2[ID_Antenne],_29_03_2026_Registre_Maintenance_V2[Equipementier],"Pas de correspondance")</f>
        <v>Nokia</v>
      </c>
    </row>
    <row r="731" spans="1:8" x14ac:dyDescent="0.25">
      <c r="A731" s="1">
        <v>45207.074305555558</v>
      </c>
      <c r="B731" s="4">
        <f>Log_Reseau_Master[[#This Row],[Duree_Panne_Min]]/1440</f>
        <v>3.9583333333333331E-2</v>
      </c>
      <c r="C731" t="s">
        <v>99</v>
      </c>
      <c r="D731">
        <v>57</v>
      </c>
      <c r="E731" t="s">
        <v>1314</v>
      </c>
      <c r="F731" t="str">
        <f>_xlfn.XLOOKUP(Log_Reseau_Master[[#This Row],[Cell_ID]],_29_03_2026_Registre_Maintenance_V2[ID_Antenne],_29_03_2026_Registre_Maintenance_V2[Province_RDC],"Pas de correspondance")</f>
        <v>Kongo-Central</v>
      </c>
      <c r="G731" t="str">
        <f>_xlfn.XLOOKUP(Log_Reseau_Master[[#This Row],[Cell_ID]],_29_03_2026_Registre_Maintenance_V2[ID_Antenne],_29_03_2026_Registre_Maintenance_V2[Technologie],"Pas de correspondance")</f>
        <v>5G</v>
      </c>
      <c r="H731" t="str">
        <f>_xlfn.XLOOKUP(Log_Reseau_Master[[#This Row],[Cell_ID]],_29_03_2026_Registre_Maintenance_V2[ID_Antenne],_29_03_2026_Registre_Maintenance_V2[Equipementier],"Pas de correspondance")</f>
        <v>Ericsson</v>
      </c>
    </row>
    <row r="732" spans="1:8" x14ac:dyDescent="0.25">
      <c r="A732" s="1">
        <v>45207.668055555558</v>
      </c>
      <c r="B732" s="4">
        <f>Log_Reseau_Master[[#This Row],[Duree_Panne_Min]]/1440</f>
        <v>7.8472222222222221E-2</v>
      </c>
      <c r="C732" t="s">
        <v>99</v>
      </c>
      <c r="D732">
        <v>113</v>
      </c>
      <c r="E732" t="s">
        <v>1314</v>
      </c>
      <c r="F732" t="str">
        <f>_xlfn.XLOOKUP(Log_Reseau_Master[[#This Row],[Cell_ID]],_29_03_2026_Registre_Maintenance_V2[ID_Antenne],_29_03_2026_Registre_Maintenance_V2[Province_RDC],"Pas de correspondance")</f>
        <v>Kongo-Central</v>
      </c>
      <c r="G732" t="str">
        <f>_xlfn.XLOOKUP(Log_Reseau_Master[[#This Row],[Cell_ID]],_29_03_2026_Registre_Maintenance_V2[ID_Antenne],_29_03_2026_Registre_Maintenance_V2[Technologie],"Pas de correspondance")</f>
        <v>5G</v>
      </c>
      <c r="H732" t="str">
        <f>_xlfn.XLOOKUP(Log_Reseau_Master[[#This Row],[Cell_ID]],_29_03_2026_Registre_Maintenance_V2[ID_Antenne],_29_03_2026_Registre_Maintenance_V2[Equipementier],"Pas de correspondance")</f>
        <v>Ericsson</v>
      </c>
    </row>
    <row r="733" spans="1:8" x14ac:dyDescent="0.25">
      <c r="A733" s="1">
        <v>45219.569444444445</v>
      </c>
      <c r="B733" s="4">
        <f>Log_Reseau_Master[[#This Row],[Duree_Panne_Min]]/1440</f>
        <v>6.6666666666666666E-2</v>
      </c>
      <c r="C733" t="s">
        <v>99</v>
      </c>
      <c r="D733">
        <v>96</v>
      </c>
      <c r="E733" t="s">
        <v>1314</v>
      </c>
      <c r="F733" t="str">
        <f>_xlfn.XLOOKUP(Log_Reseau_Master[[#This Row],[Cell_ID]],_29_03_2026_Registre_Maintenance_V2[ID_Antenne],_29_03_2026_Registre_Maintenance_V2[Province_RDC],"Pas de correspondance")</f>
        <v>Kongo-Central</v>
      </c>
      <c r="G733" t="str">
        <f>_xlfn.XLOOKUP(Log_Reseau_Master[[#This Row],[Cell_ID]],_29_03_2026_Registre_Maintenance_V2[ID_Antenne],_29_03_2026_Registre_Maintenance_V2[Technologie],"Pas de correspondance")</f>
        <v>5G</v>
      </c>
      <c r="H733" t="str">
        <f>_xlfn.XLOOKUP(Log_Reseau_Master[[#This Row],[Cell_ID]],_29_03_2026_Registre_Maintenance_V2[ID_Antenne],_29_03_2026_Registre_Maintenance_V2[Equipementier],"Pas de correspondance")</f>
        <v>Ericsson</v>
      </c>
    </row>
    <row r="734" spans="1:8" x14ac:dyDescent="0.25">
      <c r="A734" s="1">
        <v>45203.950694444444</v>
      </c>
      <c r="B734" s="4">
        <f>Log_Reseau_Master[[#This Row],[Duree_Panne_Min]]/1440</f>
        <v>5.5555555555555558E-3</v>
      </c>
      <c r="C734" t="s">
        <v>524</v>
      </c>
      <c r="D734">
        <v>8</v>
      </c>
      <c r="E734" t="s">
        <v>1312</v>
      </c>
      <c r="F734" t="str">
        <f>_xlfn.XLOOKUP(Log_Reseau_Master[[#This Row],[Cell_ID]],_29_03_2026_Registre_Maintenance_V2[ID_Antenne],_29_03_2026_Registre_Maintenance_V2[Province_RDC],"Pas de correspondance")</f>
        <v>Tshuapa</v>
      </c>
      <c r="G734" t="str">
        <f>_xlfn.XLOOKUP(Log_Reseau_Master[[#This Row],[Cell_ID]],_29_03_2026_Registre_Maintenance_V2[ID_Antenne],_29_03_2026_Registre_Maintenance_V2[Technologie],"Pas de correspondance")</f>
        <v>3G</v>
      </c>
      <c r="H734" t="str">
        <f>_xlfn.XLOOKUP(Log_Reseau_Master[[#This Row],[Cell_ID]],_29_03_2026_Registre_Maintenance_V2[ID_Antenne],_29_03_2026_Registre_Maintenance_V2[Equipementier],"Pas de correspondance")</f>
        <v>Huawei</v>
      </c>
    </row>
    <row r="735" spans="1:8" hidden="1" x14ac:dyDescent="0.25">
      <c r="A735" s="1">
        <v>45205.805555555555</v>
      </c>
      <c r="B735">
        <f>Log_Reseau_Master[[#This Row],[Duree_Panne_Min]]/1440</f>
        <v>7.6388888888888895E-2</v>
      </c>
      <c r="C735" t="s">
        <v>1566</v>
      </c>
      <c r="D735">
        <v>110</v>
      </c>
      <c r="E735" t="s">
        <v>1314</v>
      </c>
      <c r="F735" t="str">
        <f>_xlfn.XLOOKUP(Log_Reseau_Master[[#This Row],[Cell_ID]],_29_03_2026_Registre_Maintenance_V2[ID_Antenne],_29_03_2026_Registre_Maintenance_V2[Province_RDC],"Pas de correspondance")</f>
        <v>Pas de correspondance</v>
      </c>
      <c r="G735" t="str">
        <f>_xlfn.XLOOKUP(Log_Reseau_Master[[#This Row],[Cell_ID]],_29_03_2026_Registre_Maintenance_V2[ID_Antenne],_29_03_2026_Registre_Maintenance_V2[Technologie],"Pas de correspondance")</f>
        <v>Pas de correspondance</v>
      </c>
      <c r="H735" t="str">
        <f>_xlfn.XLOOKUP(Log_Reseau_Master[[#This Row],[Cell_ID]],_29_03_2026_Registre_Maintenance_V2[ID_Antenne],_29_03_2026_Registre_Maintenance_V2[Equipementier],"Pas de correspondance")</f>
        <v>Pas de correspondance</v>
      </c>
    </row>
    <row r="736" spans="1:8" x14ac:dyDescent="0.25">
      <c r="A736" s="1">
        <v>45229.631249999999</v>
      </c>
      <c r="B736" s="4">
        <f>Log_Reseau_Master[[#This Row],[Duree_Panne_Min]]/1440</f>
        <v>5.6250000000000001E-2</v>
      </c>
      <c r="C736" t="s">
        <v>131</v>
      </c>
      <c r="D736">
        <v>81</v>
      </c>
      <c r="E736" t="s">
        <v>1314</v>
      </c>
      <c r="F736" t="str">
        <f>_xlfn.XLOOKUP(Log_Reseau_Master[[#This Row],[Cell_ID]],_29_03_2026_Registre_Maintenance_V2[ID_Antenne],_29_03_2026_Registre_Maintenance_V2[Province_RDC],"Pas de correspondance")</f>
        <v>Tshuapa</v>
      </c>
      <c r="G736" t="str">
        <f>_xlfn.XLOOKUP(Log_Reseau_Master[[#This Row],[Cell_ID]],_29_03_2026_Registre_Maintenance_V2[ID_Antenne],_29_03_2026_Registre_Maintenance_V2[Technologie],"Pas de correspondance")</f>
        <v>5G</v>
      </c>
      <c r="H736" t="str">
        <f>_xlfn.XLOOKUP(Log_Reseau_Master[[#This Row],[Cell_ID]],_29_03_2026_Registre_Maintenance_V2[ID_Antenne],_29_03_2026_Registre_Maintenance_V2[Equipementier],"Pas de correspondance")</f>
        <v>Ericsson</v>
      </c>
    </row>
    <row r="737" spans="1:8" hidden="1" x14ac:dyDescent="0.25">
      <c r="A737" s="1">
        <v>45204.931250000001</v>
      </c>
      <c r="B737">
        <f>Log_Reseau_Master[[#This Row],[Duree_Panne_Min]]/1440</f>
        <v>4.583333333333333E-2</v>
      </c>
      <c r="C737" t="s">
        <v>1567</v>
      </c>
      <c r="D737">
        <v>66</v>
      </c>
      <c r="E737" t="s">
        <v>1314</v>
      </c>
      <c r="F737" t="str">
        <f>_xlfn.XLOOKUP(Log_Reseau_Master[[#This Row],[Cell_ID]],_29_03_2026_Registre_Maintenance_V2[ID_Antenne],_29_03_2026_Registre_Maintenance_V2[Province_RDC],"Pas de correspondance")</f>
        <v>Pas de correspondance</v>
      </c>
      <c r="G737" t="str">
        <f>_xlfn.XLOOKUP(Log_Reseau_Master[[#This Row],[Cell_ID]],_29_03_2026_Registre_Maintenance_V2[ID_Antenne],_29_03_2026_Registre_Maintenance_V2[Technologie],"Pas de correspondance")</f>
        <v>Pas de correspondance</v>
      </c>
      <c r="H737" t="str">
        <f>_xlfn.XLOOKUP(Log_Reseau_Master[[#This Row],[Cell_ID]],_29_03_2026_Registre_Maintenance_V2[ID_Antenne],_29_03_2026_Registre_Maintenance_V2[Equipementier],"Pas de correspondance")</f>
        <v>Pas de correspondance</v>
      </c>
    </row>
    <row r="738" spans="1:8" hidden="1" x14ac:dyDescent="0.25">
      <c r="A738" s="1">
        <v>45213.417361111111</v>
      </c>
      <c r="B738">
        <f>Log_Reseau_Master[[#This Row],[Duree_Panne_Min]]/1440</f>
        <v>6.9444444444444448E-2</v>
      </c>
      <c r="C738" t="s">
        <v>1568</v>
      </c>
      <c r="D738">
        <v>100</v>
      </c>
      <c r="E738" t="s">
        <v>1314</v>
      </c>
      <c r="F738" t="str">
        <f>_xlfn.XLOOKUP(Log_Reseau_Master[[#This Row],[Cell_ID]],_29_03_2026_Registre_Maintenance_V2[ID_Antenne],_29_03_2026_Registre_Maintenance_V2[Province_RDC],"Pas de correspondance")</f>
        <v>Pas de correspondance</v>
      </c>
      <c r="G738" t="str">
        <f>_xlfn.XLOOKUP(Log_Reseau_Master[[#This Row],[Cell_ID]],_29_03_2026_Registre_Maintenance_V2[ID_Antenne],_29_03_2026_Registre_Maintenance_V2[Technologie],"Pas de correspondance")</f>
        <v>Pas de correspondance</v>
      </c>
      <c r="H738" t="str">
        <f>_xlfn.XLOOKUP(Log_Reseau_Master[[#This Row],[Cell_ID]],_29_03_2026_Registre_Maintenance_V2[ID_Antenne],_29_03_2026_Registre_Maintenance_V2[Equipementier],"Pas de correspondance")</f>
        <v>Pas de correspondance</v>
      </c>
    </row>
    <row r="739" spans="1:8" hidden="1" x14ac:dyDescent="0.25">
      <c r="A739" s="1">
        <v>45215.231944444444</v>
      </c>
      <c r="B739">
        <f>Log_Reseau_Master[[#This Row],[Duree_Panne_Min]]/1440</f>
        <v>1.7361111111111112E-2</v>
      </c>
      <c r="C739" t="s">
        <v>1568</v>
      </c>
      <c r="D739">
        <v>25</v>
      </c>
      <c r="E739" t="s">
        <v>1312</v>
      </c>
      <c r="F739" t="str">
        <f>_xlfn.XLOOKUP(Log_Reseau_Master[[#This Row],[Cell_ID]],_29_03_2026_Registre_Maintenance_V2[ID_Antenne],_29_03_2026_Registre_Maintenance_V2[Province_RDC],"Pas de correspondance")</f>
        <v>Pas de correspondance</v>
      </c>
      <c r="G739" t="str">
        <f>_xlfn.XLOOKUP(Log_Reseau_Master[[#This Row],[Cell_ID]],_29_03_2026_Registre_Maintenance_V2[ID_Antenne],_29_03_2026_Registre_Maintenance_V2[Technologie],"Pas de correspondance")</f>
        <v>Pas de correspondance</v>
      </c>
      <c r="H739" t="str">
        <f>_xlfn.XLOOKUP(Log_Reseau_Master[[#This Row],[Cell_ID]],_29_03_2026_Registre_Maintenance_V2[ID_Antenne],_29_03_2026_Registre_Maintenance_V2[Equipementier],"Pas de correspondance")</f>
        <v>Pas de correspondance</v>
      </c>
    </row>
    <row r="740" spans="1:8" hidden="1" x14ac:dyDescent="0.25">
      <c r="A740" s="1">
        <v>45224.288194444445</v>
      </c>
      <c r="B740">
        <f>Log_Reseau_Master[[#This Row],[Duree_Panne_Min]]/1440</f>
        <v>8.0555555555555561E-2</v>
      </c>
      <c r="C740" t="s">
        <v>1568</v>
      </c>
      <c r="D740">
        <v>116</v>
      </c>
      <c r="E740" t="s">
        <v>1321</v>
      </c>
      <c r="F740" t="str">
        <f>_xlfn.XLOOKUP(Log_Reseau_Master[[#This Row],[Cell_ID]],_29_03_2026_Registre_Maintenance_V2[ID_Antenne],_29_03_2026_Registre_Maintenance_V2[Province_RDC],"Pas de correspondance")</f>
        <v>Pas de correspondance</v>
      </c>
      <c r="G740" t="str">
        <f>_xlfn.XLOOKUP(Log_Reseau_Master[[#This Row],[Cell_ID]],_29_03_2026_Registre_Maintenance_V2[ID_Antenne],_29_03_2026_Registre_Maintenance_V2[Technologie],"Pas de correspondance")</f>
        <v>Pas de correspondance</v>
      </c>
      <c r="H740" t="str">
        <f>_xlfn.XLOOKUP(Log_Reseau_Master[[#This Row],[Cell_ID]],_29_03_2026_Registre_Maintenance_V2[ID_Antenne],_29_03_2026_Registre_Maintenance_V2[Equipementier],"Pas de correspondance")</f>
        <v>Pas de correspondance</v>
      </c>
    </row>
    <row r="741" spans="1:8" hidden="1" x14ac:dyDescent="0.25">
      <c r="A741" s="1">
        <v>45204.665277777778</v>
      </c>
      <c r="B741">
        <f>Log_Reseau_Master[[#This Row],[Duree_Panne_Min]]/1440</f>
        <v>3.888888888888889E-2</v>
      </c>
      <c r="C741" t="s">
        <v>1568</v>
      </c>
      <c r="D741">
        <v>56</v>
      </c>
      <c r="E741" t="s">
        <v>1314</v>
      </c>
      <c r="F741" t="str">
        <f>_xlfn.XLOOKUP(Log_Reseau_Master[[#This Row],[Cell_ID]],_29_03_2026_Registre_Maintenance_V2[ID_Antenne],_29_03_2026_Registre_Maintenance_V2[Province_RDC],"Pas de correspondance")</f>
        <v>Pas de correspondance</v>
      </c>
      <c r="G741" t="str">
        <f>_xlfn.XLOOKUP(Log_Reseau_Master[[#This Row],[Cell_ID]],_29_03_2026_Registre_Maintenance_V2[ID_Antenne],_29_03_2026_Registre_Maintenance_V2[Technologie],"Pas de correspondance")</f>
        <v>Pas de correspondance</v>
      </c>
      <c r="H741" t="str">
        <f>_xlfn.XLOOKUP(Log_Reseau_Master[[#This Row],[Cell_ID]],_29_03_2026_Registre_Maintenance_V2[ID_Antenne],_29_03_2026_Registre_Maintenance_V2[Equipementier],"Pas de correspondance")</f>
        <v>Pas de correspondance</v>
      </c>
    </row>
    <row r="742" spans="1:8" hidden="1" x14ac:dyDescent="0.25">
      <c r="A742" s="1">
        <v>45220.515972222223</v>
      </c>
      <c r="B742">
        <f>Log_Reseau_Master[[#This Row],[Duree_Panne_Min]]/1440</f>
        <v>1.0416666666666666E-2</v>
      </c>
      <c r="C742" t="s">
        <v>1568</v>
      </c>
      <c r="D742">
        <v>15</v>
      </c>
      <c r="E742" t="s">
        <v>1321</v>
      </c>
      <c r="F742" t="str">
        <f>_xlfn.XLOOKUP(Log_Reseau_Master[[#This Row],[Cell_ID]],_29_03_2026_Registre_Maintenance_V2[ID_Antenne],_29_03_2026_Registre_Maintenance_V2[Province_RDC],"Pas de correspondance")</f>
        <v>Pas de correspondance</v>
      </c>
      <c r="G742" t="str">
        <f>_xlfn.XLOOKUP(Log_Reseau_Master[[#This Row],[Cell_ID]],_29_03_2026_Registre_Maintenance_V2[ID_Antenne],_29_03_2026_Registre_Maintenance_V2[Technologie],"Pas de correspondance")</f>
        <v>Pas de correspondance</v>
      </c>
      <c r="H742" t="str">
        <f>_xlfn.XLOOKUP(Log_Reseau_Master[[#This Row],[Cell_ID]],_29_03_2026_Registre_Maintenance_V2[ID_Antenne],_29_03_2026_Registre_Maintenance_V2[Equipementier],"Pas de correspondance")</f>
        <v>Pas de correspondance</v>
      </c>
    </row>
    <row r="743" spans="1:8" x14ac:dyDescent="0.25">
      <c r="A743" s="1">
        <v>45209.354861111111</v>
      </c>
      <c r="B743" s="4">
        <f>Log_Reseau_Master[[#This Row],[Duree_Panne_Min]]/1440</f>
        <v>6.8750000000000006E-2</v>
      </c>
      <c r="C743" t="s">
        <v>431</v>
      </c>
      <c r="D743">
        <v>99</v>
      </c>
      <c r="E743" t="s">
        <v>1312</v>
      </c>
      <c r="F743" t="str">
        <f>_xlfn.XLOOKUP(Log_Reseau_Master[[#This Row],[Cell_ID]],_29_03_2026_Registre_Maintenance_V2[ID_Antenne],_29_03_2026_Registre_Maintenance_V2[Province_RDC],"Pas de correspondance")</f>
        <v>Kinshasa</v>
      </c>
      <c r="G743" t="str">
        <f>_xlfn.XLOOKUP(Log_Reseau_Master[[#This Row],[Cell_ID]],_29_03_2026_Registre_Maintenance_V2[ID_Antenne],_29_03_2026_Registre_Maintenance_V2[Technologie],"Pas de correspondance")</f>
        <v>3G</v>
      </c>
      <c r="H743" t="str">
        <f>_xlfn.XLOOKUP(Log_Reseau_Master[[#This Row],[Cell_ID]],_29_03_2026_Registre_Maintenance_V2[ID_Antenne],_29_03_2026_Registre_Maintenance_V2[Equipementier],"Pas de correspondance")</f>
        <v>ZTE</v>
      </c>
    </row>
    <row r="744" spans="1:8" x14ac:dyDescent="0.25">
      <c r="A744" s="1">
        <v>45204.615972222222</v>
      </c>
      <c r="B744" s="4">
        <f>Log_Reseau_Master[[#This Row],[Duree_Panne_Min]]/1440</f>
        <v>2.8472222222222222E-2</v>
      </c>
      <c r="C744" t="s">
        <v>431</v>
      </c>
      <c r="D744">
        <v>41</v>
      </c>
      <c r="E744" t="s">
        <v>1321</v>
      </c>
      <c r="F744" t="str">
        <f>_xlfn.XLOOKUP(Log_Reseau_Master[[#This Row],[Cell_ID]],_29_03_2026_Registre_Maintenance_V2[ID_Antenne],_29_03_2026_Registre_Maintenance_V2[Province_RDC],"Pas de correspondance")</f>
        <v>Kinshasa</v>
      </c>
      <c r="G744" t="str">
        <f>_xlfn.XLOOKUP(Log_Reseau_Master[[#This Row],[Cell_ID]],_29_03_2026_Registre_Maintenance_V2[ID_Antenne],_29_03_2026_Registre_Maintenance_V2[Technologie],"Pas de correspondance")</f>
        <v>3G</v>
      </c>
      <c r="H744" t="str">
        <f>_xlfn.XLOOKUP(Log_Reseau_Master[[#This Row],[Cell_ID]],_29_03_2026_Registre_Maintenance_V2[ID_Antenne],_29_03_2026_Registre_Maintenance_V2[Equipementier],"Pas de correspondance")</f>
        <v>ZTE</v>
      </c>
    </row>
    <row r="745" spans="1:8" x14ac:dyDescent="0.25">
      <c r="A745" s="1">
        <v>45229.620833333334</v>
      </c>
      <c r="B745" s="4">
        <f>Log_Reseau_Master[[#This Row],[Duree_Panne_Min]]/1440</f>
        <v>5.1388888888888887E-2</v>
      </c>
      <c r="C745" t="s">
        <v>488</v>
      </c>
      <c r="D745">
        <v>74</v>
      </c>
      <c r="E745" t="s">
        <v>1321</v>
      </c>
      <c r="F745" t="str">
        <f>_xlfn.XLOOKUP(Log_Reseau_Master[[#This Row],[Cell_ID]],_29_03_2026_Registre_Maintenance_V2[ID_Antenne],_29_03_2026_Registre_Maintenance_V2[Province_RDC],"Pas de correspondance")</f>
        <v>Haut-Uele</v>
      </c>
      <c r="G745" t="str">
        <f>_xlfn.XLOOKUP(Log_Reseau_Master[[#This Row],[Cell_ID]],_29_03_2026_Registre_Maintenance_V2[ID_Antenne],_29_03_2026_Registre_Maintenance_V2[Technologie],"Pas de correspondance")</f>
        <v>4G</v>
      </c>
      <c r="H745" t="str">
        <f>_xlfn.XLOOKUP(Log_Reseau_Master[[#This Row],[Cell_ID]],_29_03_2026_Registre_Maintenance_V2[ID_Antenne],_29_03_2026_Registre_Maintenance_V2[Equipementier],"Pas de correspondance")</f>
        <v>Huawei</v>
      </c>
    </row>
    <row r="746" spans="1:8" x14ac:dyDescent="0.25">
      <c r="A746" s="1">
        <v>45206.443055555559</v>
      </c>
      <c r="B746" s="4">
        <f>Log_Reseau_Master[[#This Row],[Duree_Panne_Min]]/1440</f>
        <v>3.3333333333333333E-2</v>
      </c>
      <c r="C746" t="s">
        <v>299</v>
      </c>
      <c r="D746">
        <v>48</v>
      </c>
      <c r="E746" t="s">
        <v>1321</v>
      </c>
      <c r="F746" t="str">
        <f>_xlfn.XLOOKUP(Log_Reseau_Master[[#This Row],[Cell_ID]],_29_03_2026_Registre_Maintenance_V2[ID_Antenne],_29_03_2026_Registre_Maintenance_V2[Province_RDC],"Pas de correspondance")</f>
        <v>Haut-Lomami</v>
      </c>
      <c r="G746" t="str">
        <f>_xlfn.XLOOKUP(Log_Reseau_Master[[#This Row],[Cell_ID]],_29_03_2026_Registre_Maintenance_V2[ID_Antenne],_29_03_2026_Registre_Maintenance_V2[Technologie],"Pas de correspondance")</f>
        <v>4G</v>
      </c>
      <c r="H746" t="str">
        <f>_xlfn.XLOOKUP(Log_Reseau_Master[[#This Row],[Cell_ID]],_29_03_2026_Registre_Maintenance_V2[ID_Antenne],_29_03_2026_Registre_Maintenance_V2[Equipementier],"Pas de correspondance")</f>
        <v>Huawei</v>
      </c>
    </row>
    <row r="747" spans="1:8" x14ac:dyDescent="0.25">
      <c r="A747" s="1">
        <v>45225.288888888892</v>
      </c>
      <c r="B747" s="4">
        <f>Log_Reseau_Master[[#This Row],[Duree_Panne_Min]]/1440</f>
        <v>6.1805555555555558E-2</v>
      </c>
      <c r="C747" t="s">
        <v>299</v>
      </c>
      <c r="D747">
        <v>89</v>
      </c>
      <c r="E747" t="s">
        <v>1314</v>
      </c>
      <c r="F747" t="str">
        <f>_xlfn.XLOOKUP(Log_Reseau_Master[[#This Row],[Cell_ID]],_29_03_2026_Registre_Maintenance_V2[ID_Antenne],_29_03_2026_Registre_Maintenance_V2[Province_RDC],"Pas de correspondance")</f>
        <v>Haut-Lomami</v>
      </c>
      <c r="G747" t="str">
        <f>_xlfn.XLOOKUP(Log_Reseau_Master[[#This Row],[Cell_ID]],_29_03_2026_Registre_Maintenance_V2[ID_Antenne],_29_03_2026_Registre_Maintenance_V2[Technologie],"Pas de correspondance")</f>
        <v>4G</v>
      </c>
      <c r="H747" t="str">
        <f>_xlfn.XLOOKUP(Log_Reseau_Master[[#This Row],[Cell_ID]],_29_03_2026_Registre_Maintenance_V2[ID_Antenne],_29_03_2026_Registre_Maintenance_V2[Equipementier],"Pas de correspondance")</f>
        <v>Huawei</v>
      </c>
    </row>
    <row r="748" spans="1:8" x14ac:dyDescent="0.25">
      <c r="A748" s="1">
        <v>45211.722916666666</v>
      </c>
      <c r="B748" s="4">
        <f>Log_Reseau_Master[[#This Row],[Duree_Panne_Min]]/1440</f>
        <v>1.9444444444444445E-2</v>
      </c>
      <c r="C748" t="s">
        <v>456</v>
      </c>
      <c r="D748">
        <v>28</v>
      </c>
      <c r="E748" t="s">
        <v>1314</v>
      </c>
      <c r="F748" t="str">
        <f>_xlfn.XLOOKUP(Log_Reseau_Master[[#This Row],[Cell_ID]],_29_03_2026_Registre_Maintenance_V2[ID_Antenne],_29_03_2026_Registre_Maintenance_V2[Province_RDC],"Pas de correspondance")</f>
        <v>Haut-Uele</v>
      </c>
      <c r="G748" t="str">
        <f>_xlfn.XLOOKUP(Log_Reseau_Master[[#This Row],[Cell_ID]],_29_03_2026_Registre_Maintenance_V2[ID_Antenne],_29_03_2026_Registre_Maintenance_V2[Technologie],"Pas de correspondance")</f>
        <v>4G</v>
      </c>
      <c r="H748" t="str">
        <f>_xlfn.XLOOKUP(Log_Reseau_Master[[#This Row],[Cell_ID]],_29_03_2026_Registre_Maintenance_V2[ID_Antenne],_29_03_2026_Registre_Maintenance_V2[Equipementier],"Pas de correspondance")</f>
        <v>Huawei</v>
      </c>
    </row>
    <row r="749" spans="1:8" hidden="1" x14ac:dyDescent="0.25">
      <c r="A749" s="1">
        <v>45207.543055555558</v>
      </c>
      <c r="B749">
        <f>Log_Reseau_Master[[#This Row],[Duree_Panne_Min]]/1440</f>
        <v>3.7499999999999999E-2</v>
      </c>
      <c r="C749" t="s">
        <v>1569</v>
      </c>
      <c r="D749">
        <v>54</v>
      </c>
      <c r="E749" t="s">
        <v>1314</v>
      </c>
      <c r="F749" t="str">
        <f>_xlfn.XLOOKUP(Log_Reseau_Master[[#This Row],[Cell_ID]],_29_03_2026_Registre_Maintenance_V2[ID_Antenne],_29_03_2026_Registre_Maintenance_V2[Province_RDC],"Pas de correspondance")</f>
        <v>Pas de correspondance</v>
      </c>
      <c r="G749" t="str">
        <f>_xlfn.XLOOKUP(Log_Reseau_Master[[#This Row],[Cell_ID]],_29_03_2026_Registre_Maintenance_V2[ID_Antenne],_29_03_2026_Registre_Maintenance_V2[Technologie],"Pas de correspondance")</f>
        <v>Pas de correspondance</v>
      </c>
      <c r="H749" t="str">
        <f>_xlfn.XLOOKUP(Log_Reseau_Master[[#This Row],[Cell_ID]],_29_03_2026_Registre_Maintenance_V2[ID_Antenne],_29_03_2026_Registre_Maintenance_V2[Equipementier],"Pas de correspondance")</f>
        <v>Pas de correspondance</v>
      </c>
    </row>
    <row r="750" spans="1:8" hidden="1" x14ac:dyDescent="0.25">
      <c r="A750" s="1">
        <v>45225.996527777781</v>
      </c>
      <c r="B750">
        <f>Log_Reseau_Master[[#This Row],[Duree_Panne_Min]]/1440</f>
        <v>3.8194444444444448E-2</v>
      </c>
      <c r="C750" t="s">
        <v>1569</v>
      </c>
      <c r="D750">
        <v>55</v>
      </c>
      <c r="E750" t="s">
        <v>1312</v>
      </c>
      <c r="F750" t="str">
        <f>_xlfn.XLOOKUP(Log_Reseau_Master[[#This Row],[Cell_ID]],_29_03_2026_Registre_Maintenance_V2[ID_Antenne],_29_03_2026_Registre_Maintenance_V2[Province_RDC],"Pas de correspondance")</f>
        <v>Pas de correspondance</v>
      </c>
      <c r="G750" t="str">
        <f>_xlfn.XLOOKUP(Log_Reseau_Master[[#This Row],[Cell_ID]],_29_03_2026_Registre_Maintenance_V2[ID_Antenne],_29_03_2026_Registre_Maintenance_V2[Technologie],"Pas de correspondance")</f>
        <v>Pas de correspondance</v>
      </c>
      <c r="H750" t="str">
        <f>_xlfn.XLOOKUP(Log_Reseau_Master[[#This Row],[Cell_ID]],_29_03_2026_Registre_Maintenance_V2[ID_Antenne],_29_03_2026_Registre_Maintenance_V2[Equipementier],"Pas de correspondance")</f>
        <v>Pas de correspondance</v>
      </c>
    </row>
    <row r="751" spans="1:8" hidden="1" x14ac:dyDescent="0.25">
      <c r="A751" s="1">
        <v>45225.322916666664</v>
      </c>
      <c r="B751">
        <f>Log_Reseau_Master[[#This Row],[Duree_Panne_Min]]/1440</f>
        <v>3.2638888888888891E-2</v>
      </c>
      <c r="C751" t="s">
        <v>1570</v>
      </c>
      <c r="D751">
        <v>47</v>
      </c>
      <c r="E751" t="s">
        <v>1321</v>
      </c>
      <c r="F751" t="str">
        <f>_xlfn.XLOOKUP(Log_Reseau_Master[[#This Row],[Cell_ID]],_29_03_2026_Registre_Maintenance_V2[ID_Antenne],_29_03_2026_Registre_Maintenance_V2[Province_RDC],"Pas de correspondance")</f>
        <v>Pas de correspondance</v>
      </c>
      <c r="G751" t="str">
        <f>_xlfn.XLOOKUP(Log_Reseau_Master[[#This Row],[Cell_ID]],_29_03_2026_Registre_Maintenance_V2[ID_Antenne],_29_03_2026_Registre_Maintenance_V2[Technologie],"Pas de correspondance")</f>
        <v>Pas de correspondance</v>
      </c>
      <c r="H751" t="str">
        <f>_xlfn.XLOOKUP(Log_Reseau_Master[[#This Row],[Cell_ID]],_29_03_2026_Registre_Maintenance_V2[ID_Antenne],_29_03_2026_Registre_Maintenance_V2[Equipementier],"Pas de correspondance")</f>
        <v>Pas de correspondance</v>
      </c>
    </row>
    <row r="752" spans="1:8" x14ac:dyDescent="0.25">
      <c r="A752" s="1">
        <v>45226.313194444447</v>
      </c>
      <c r="B752" s="4">
        <f>Log_Reseau_Master[[#This Row],[Duree_Panne_Min]]/1440</f>
        <v>4.583333333333333E-2</v>
      </c>
      <c r="C752" t="s">
        <v>104</v>
      </c>
      <c r="D752">
        <v>66</v>
      </c>
      <c r="E752" t="s">
        <v>1321</v>
      </c>
      <c r="F752" t="str">
        <f>_xlfn.XLOOKUP(Log_Reseau_Master[[#This Row],[Cell_ID]],_29_03_2026_Registre_Maintenance_V2[ID_Antenne],_29_03_2026_Registre_Maintenance_V2[Province_RDC],"Pas de correspondance")</f>
        <v>Equateur</v>
      </c>
      <c r="G752" t="str">
        <f>_xlfn.XLOOKUP(Log_Reseau_Master[[#This Row],[Cell_ID]],_29_03_2026_Registre_Maintenance_V2[ID_Antenne],_29_03_2026_Registre_Maintenance_V2[Technologie],"Pas de correspondance")</f>
        <v>3G</v>
      </c>
      <c r="H752" t="str">
        <f>_xlfn.XLOOKUP(Log_Reseau_Master[[#This Row],[Cell_ID]],_29_03_2026_Registre_Maintenance_V2[ID_Antenne],_29_03_2026_Registre_Maintenance_V2[Equipementier],"Pas de correspondance")</f>
        <v>Huawei</v>
      </c>
    </row>
    <row r="753" spans="1:8" x14ac:dyDescent="0.25">
      <c r="A753" s="1">
        <v>45214.290277777778</v>
      </c>
      <c r="B753" s="4">
        <f>Log_Reseau_Master[[#This Row],[Duree_Panne_Min]]/1440</f>
        <v>1.8749999999999999E-2</v>
      </c>
      <c r="C753" t="s">
        <v>104</v>
      </c>
      <c r="D753">
        <v>27</v>
      </c>
      <c r="E753" t="s">
        <v>1312</v>
      </c>
      <c r="F753" t="str">
        <f>_xlfn.XLOOKUP(Log_Reseau_Master[[#This Row],[Cell_ID]],_29_03_2026_Registre_Maintenance_V2[ID_Antenne],_29_03_2026_Registre_Maintenance_V2[Province_RDC],"Pas de correspondance")</f>
        <v>Equateur</v>
      </c>
      <c r="G753" t="str">
        <f>_xlfn.XLOOKUP(Log_Reseau_Master[[#This Row],[Cell_ID]],_29_03_2026_Registre_Maintenance_V2[ID_Antenne],_29_03_2026_Registre_Maintenance_V2[Technologie],"Pas de correspondance")</f>
        <v>3G</v>
      </c>
      <c r="H753" t="str">
        <f>_xlfn.XLOOKUP(Log_Reseau_Master[[#This Row],[Cell_ID]],_29_03_2026_Registre_Maintenance_V2[ID_Antenne],_29_03_2026_Registre_Maintenance_V2[Equipementier],"Pas de correspondance")</f>
        <v>Huawei</v>
      </c>
    </row>
    <row r="754" spans="1:8" x14ac:dyDescent="0.25">
      <c r="A754" s="1">
        <v>45224.104861111111</v>
      </c>
      <c r="B754" s="4">
        <f>Log_Reseau_Master[[#This Row],[Duree_Panne_Min]]/1440</f>
        <v>6.805555555555555E-2</v>
      </c>
      <c r="C754" t="s">
        <v>264</v>
      </c>
      <c r="D754">
        <v>98</v>
      </c>
      <c r="E754" t="s">
        <v>1321</v>
      </c>
      <c r="F754" t="str">
        <f>_xlfn.XLOOKUP(Log_Reseau_Master[[#This Row],[Cell_ID]],_29_03_2026_Registre_Maintenance_V2[ID_Antenne],_29_03_2026_Registre_Maintenance_V2[Province_RDC],"Pas de correspondance")</f>
        <v>Tanganyika</v>
      </c>
      <c r="G754" t="str">
        <f>_xlfn.XLOOKUP(Log_Reseau_Master[[#This Row],[Cell_ID]],_29_03_2026_Registre_Maintenance_V2[ID_Antenne],_29_03_2026_Registre_Maintenance_V2[Technologie],"Pas de correspondance")</f>
        <v>5G</v>
      </c>
      <c r="H754" t="str">
        <f>_xlfn.XLOOKUP(Log_Reseau_Master[[#This Row],[Cell_ID]],_29_03_2026_Registre_Maintenance_V2[ID_Antenne],_29_03_2026_Registre_Maintenance_V2[Equipementier],"Pas de correspondance")</f>
        <v>ZTE</v>
      </c>
    </row>
    <row r="755" spans="1:8" hidden="1" x14ac:dyDescent="0.25">
      <c r="A755" s="1">
        <v>45224.884722222225</v>
      </c>
      <c r="B755">
        <f>Log_Reseau_Master[[#This Row],[Duree_Panne_Min]]/1440</f>
        <v>8.2638888888888887E-2</v>
      </c>
      <c r="C755" t="s">
        <v>1571</v>
      </c>
      <c r="D755">
        <v>119</v>
      </c>
      <c r="E755" t="s">
        <v>1312</v>
      </c>
      <c r="F755" t="str">
        <f>_xlfn.XLOOKUP(Log_Reseau_Master[[#This Row],[Cell_ID]],_29_03_2026_Registre_Maintenance_V2[ID_Antenne],_29_03_2026_Registre_Maintenance_V2[Province_RDC],"Pas de correspondance")</f>
        <v>Pas de correspondance</v>
      </c>
      <c r="G755" t="str">
        <f>_xlfn.XLOOKUP(Log_Reseau_Master[[#This Row],[Cell_ID]],_29_03_2026_Registre_Maintenance_V2[ID_Antenne],_29_03_2026_Registre_Maintenance_V2[Technologie],"Pas de correspondance")</f>
        <v>Pas de correspondance</v>
      </c>
      <c r="H755" t="str">
        <f>_xlfn.XLOOKUP(Log_Reseau_Master[[#This Row],[Cell_ID]],_29_03_2026_Registre_Maintenance_V2[ID_Antenne],_29_03_2026_Registre_Maintenance_V2[Equipementier],"Pas de correspondance")</f>
        <v>Pas de correspondance</v>
      </c>
    </row>
    <row r="756" spans="1:8" hidden="1" x14ac:dyDescent="0.25">
      <c r="A756" s="1">
        <v>45227.393055555556</v>
      </c>
      <c r="B756">
        <f>Log_Reseau_Master[[#This Row],[Duree_Panne_Min]]/1440</f>
        <v>4.6527777777777779E-2</v>
      </c>
      <c r="C756" t="s">
        <v>1572</v>
      </c>
      <c r="D756">
        <v>67</v>
      </c>
      <c r="E756" t="s">
        <v>1314</v>
      </c>
      <c r="F756" t="str">
        <f>_xlfn.XLOOKUP(Log_Reseau_Master[[#This Row],[Cell_ID]],_29_03_2026_Registre_Maintenance_V2[ID_Antenne],_29_03_2026_Registre_Maintenance_V2[Province_RDC],"Pas de correspondance")</f>
        <v>Pas de correspondance</v>
      </c>
      <c r="G756" t="str">
        <f>_xlfn.XLOOKUP(Log_Reseau_Master[[#This Row],[Cell_ID]],_29_03_2026_Registre_Maintenance_V2[ID_Antenne],_29_03_2026_Registre_Maintenance_V2[Technologie],"Pas de correspondance")</f>
        <v>Pas de correspondance</v>
      </c>
      <c r="H756" t="str">
        <f>_xlfn.XLOOKUP(Log_Reseau_Master[[#This Row],[Cell_ID]],_29_03_2026_Registre_Maintenance_V2[ID_Antenne],_29_03_2026_Registre_Maintenance_V2[Equipementier],"Pas de correspondance")</f>
        <v>Pas de correspondance</v>
      </c>
    </row>
    <row r="757" spans="1:8" hidden="1" x14ac:dyDescent="0.25">
      <c r="A757" s="1">
        <v>45200.220138888886</v>
      </c>
      <c r="B757">
        <f>Log_Reseau_Master[[#This Row],[Duree_Panne_Min]]/1440</f>
        <v>3.6805555555555557E-2</v>
      </c>
      <c r="C757" t="s">
        <v>1572</v>
      </c>
      <c r="D757">
        <v>53</v>
      </c>
      <c r="E757" t="s">
        <v>1312</v>
      </c>
      <c r="F757" t="str">
        <f>_xlfn.XLOOKUP(Log_Reseau_Master[[#This Row],[Cell_ID]],_29_03_2026_Registre_Maintenance_V2[ID_Antenne],_29_03_2026_Registre_Maintenance_V2[Province_RDC],"Pas de correspondance")</f>
        <v>Pas de correspondance</v>
      </c>
      <c r="G757" t="str">
        <f>_xlfn.XLOOKUP(Log_Reseau_Master[[#This Row],[Cell_ID]],_29_03_2026_Registre_Maintenance_V2[ID_Antenne],_29_03_2026_Registre_Maintenance_V2[Technologie],"Pas de correspondance")</f>
        <v>Pas de correspondance</v>
      </c>
      <c r="H757" t="str">
        <f>_xlfn.XLOOKUP(Log_Reseau_Master[[#This Row],[Cell_ID]],_29_03_2026_Registre_Maintenance_V2[ID_Antenne],_29_03_2026_Registre_Maintenance_V2[Equipementier],"Pas de correspondance")</f>
        <v>Pas de correspondance</v>
      </c>
    </row>
    <row r="758" spans="1:8" x14ac:dyDescent="0.25">
      <c r="A758" s="1">
        <v>45219.113194444442</v>
      </c>
      <c r="B758" s="4">
        <f>Log_Reseau_Master[[#This Row],[Duree_Panne_Min]]/1440</f>
        <v>1.3194444444444444E-2</v>
      </c>
      <c r="C758" t="s">
        <v>485</v>
      </c>
      <c r="D758">
        <v>19</v>
      </c>
      <c r="E758" t="s">
        <v>1314</v>
      </c>
      <c r="F758" t="str">
        <f>_xlfn.XLOOKUP(Log_Reseau_Master[[#This Row],[Cell_ID]],_29_03_2026_Registre_Maintenance_V2[ID_Antenne],_29_03_2026_Registre_Maintenance_V2[Province_RDC],"Pas de correspondance")</f>
        <v>Kwango</v>
      </c>
      <c r="G758" t="str">
        <f>_xlfn.XLOOKUP(Log_Reseau_Master[[#This Row],[Cell_ID]],_29_03_2026_Registre_Maintenance_V2[ID_Antenne],_29_03_2026_Registre_Maintenance_V2[Technologie],"Pas de correspondance")</f>
        <v>3G</v>
      </c>
      <c r="H758" t="str">
        <f>_xlfn.XLOOKUP(Log_Reseau_Master[[#This Row],[Cell_ID]],_29_03_2026_Registre_Maintenance_V2[ID_Antenne],_29_03_2026_Registre_Maintenance_V2[Equipementier],"Pas de correspondance")</f>
        <v>ZTE</v>
      </c>
    </row>
    <row r="759" spans="1:8" x14ac:dyDescent="0.25">
      <c r="A759" s="1">
        <v>45218.038194444445</v>
      </c>
      <c r="B759" s="4">
        <f>Log_Reseau_Master[[#This Row],[Duree_Panne_Min]]/1440</f>
        <v>4.1666666666666666E-3</v>
      </c>
      <c r="C759" t="s">
        <v>485</v>
      </c>
      <c r="D759">
        <v>6</v>
      </c>
      <c r="E759" t="s">
        <v>1314</v>
      </c>
      <c r="F759" t="str">
        <f>_xlfn.XLOOKUP(Log_Reseau_Master[[#This Row],[Cell_ID]],_29_03_2026_Registre_Maintenance_V2[ID_Antenne],_29_03_2026_Registre_Maintenance_V2[Province_RDC],"Pas de correspondance")</f>
        <v>Kwango</v>
      </c>
      <c r="G759" t="str">
        <f>_xlfn.XLOOKUP(Log_Reseau_Master[[#This Row],[Cell_ID]],_29_03_2026_Registre_Maintenance_V2[ID_Antenne],_29_03_2026_Registre_Maintenance_V2[Technologie],"Pas de correspondance")</f>
        <v>3G</v>
      </c>
      <c r="H759" t="str">
        <f>_xlfn.XLOOKUP(Log_Reseau_Master[[#This Row],[Cell_ID]],_29_03_2026_Registre_Maintenance_V2[ID_Antenne],_29_03_2026_Registre_Maintenance_V2[Equipementier],"Pas de correspondance")</f>
        <v>ZTE</v>
      </c>
    </row>
    <row r="760" spans="1:8" x14ac:dyDescent="0.25">
      <c r="A760" s="1">
        <v>45224.010416666664</v>
      </c>
      <c r="B760" s="4">
        <f>Log_Reseau_Master[[#This Row],[Duree_Panne_Min]]/1440</f>
        <v>7.9166666666666663E-2</v>
      </c>
      <c r="C760" t="s">
        <v>485</v>
      </c>
      <c r="D760">
        <v>114</v>
      </c>
      <c r="E760" t="s">
        <v>1321</v>
      </c>
      <c r="F760" t="str">
        <f>_xlfn.XLOOKUP(Log_Reseau_Master[[#This Row],[Cell_ID]],_29_03_2026_Registre_Maintenance_V2[ID_Antenne],_29_03_2026_Registre_Maintenance_V2[Province_RDC],"Pas de correspondance")</f>
        <v>Kwango</v>
      </c>
      <c r="G760" t="str">
        <f>_xlfn.XLOOKUP(Log_Reseau_Master[[#This Row],[Cell_ID]],_29_03_2026_Registre_Maintenance_V2[ID_Antenne],_29_03_2026_Registre_Maintenance_V2[Technologie],"Pas de correspondance")</f>
        <v>3G</v>
      </c>
      <c r="H760" t="str">
        <f>_xlfn.XLOOKUP(Log_Reseau_Master[[#This Row],[Cell_ID]],_29_03_2026_Registre_Maintenance_V2[ID_Antenne],_29_03_2026_Registre_Maintenance_V2[Equipementier],"Pas de correspondance")</f>
        <v>ZTE</v>
      </c>
    </row>
    <row r="761" spans="1:8" hidden="1" x14ac:dyDescent="0.25">
      <c r="A761" s="1">
        <v>45230.925000000003</v>
      </c>
      <c r="B761">
        <f>Log_Reseau_Master[[#This Row],[Duree_Panne_Min]]/1440</f>
        <v>6.25E-2</v>
      </c>
      <c r="C761" t="s">
        <v>1573</v>
      </c>
      <c r="D761">
        <v>90</v>
      </c>
      <c r="E761" t="s">
        <v>1314</v>
      </c>
      <c r="F761" t="str">
        <f>_xlfn.XLOOKUP(Log_Reseau_Master[[#This Row],[Cell_ID]],_29_03_2026_Registre_Maintenance_V2[ID_Antenne],_29_03_2026_Registre_Maintenance_V2[Province_RDC],"Pas de correspondance")</f>
        <v>Pas de correspondance</v>
      </c>
      <c r="G761" t="str">
        <f>_xlfn.XLOOKUP(Log_Reseau_Master[[#This Row],[Cell_ID]],_29_03_2026_Registre_Maintenance_V2[ID_Antenne],_29_03_2026_Registre_Maintenance_V2[Technologie],"Pas de correspondance")</f>
        <v>Pas de correspondance</v>
      </c>
      <c r="H761" t="str">
        <f>_xlfn.XLOOKUP(Log_Reseau_Master[[#This Row],[Cell_ID]],_29_03_2026_Registre_Maintenance_V2[ID_Antenne],_29_03_2026_Registre_Maintenance_V2[Equipementier],"Pas de correspondance")</f>
        <v>Pas de correspondance</v>
      </c>
    </row>
    <row r="762" spans="1:8" hidden="1" x14ac:dyDescent="0.25">
      <c r="A762" s="1">
        <v>45210.5</v>
      </c>
      <c r="B762">
        <f>Log_Reseau_Master[[#This Row],[Duree_Panne_Min]]/1440</f>
        <v>2.0833333333333332E-2</v>
      </c>
      <c r="C762" t="s">
        <v>1574</v>
      </c>
      <c r="D762">
        <v>30</v>
      </c>
      <c r="E762" t="s">
        <v>1314</v>
      </c>
      <c r="F762" t="str">
        <f>_xlfn.XLOOKUP(Log_Reseau_Master[[#This Row],[Cell_ID]],_29_03_2026_Registre_Maintenance_V2[ID_Antenne],_29_03_2026_Registre_Maintenance_V2[Province_RDC],"Pas de correspondance")</f>
        <v>Pas de correspondance</v>
      </c>
      <c r="G762" t="str">
        <f>_xlfn.XLOOKUP(Log_Reseau_Master[[#This Row],[Cell_ID]],_29_03_2026_Registre_Maintenance_V2[ID_Antenne],_29_03_2026_Registre_Maintenance_V2[Technologie],"Pas de correspondance")</f>
        <v>Pas de correspondance</v>
      </c>
      <c r="H762" t="str">
        <f>_xlfn.XLOOKUP(Log_Reseau_Master[[#This Row],[Cell_ID]],_29_03_2026_Registre_Maintenance_V2[ID_Antenne],_29_03_2026_Registre_Maintenance_V2[Equipementier],"Pas de correspondance")</f>
        <v>Pas de correspondance</v>
      </c>
    </row>
    <row r="763" spans="1:8" hidden="1" x14ac:dyDescent="0.25">
      <c r="A763" s="1">
        <v>45210.924305555556</v>
      </c>
      <c r="B763">
        <f>Log_Reseau_Master[[#This Row],[Duree_Panne_Min]]/1440</f>
        <v>2.2222222222222223E-2</v>
      </c>
      <c r="C763" t="s">
        <v>1575</v>
      </c>
      <c r="D763">
        <v>32</v>
      </c>
      <c r="E763" t="s">
        <v>1312</v>
      </c>
      <c r="F763" t="str">
        <f>_xlfn.XLOOKUP(Log_Reseau_Master[[#This Row],[Cell_ID]],_29_03_2026_Registre_Maintenance_V2[ID_Antenne],_29_03_2026_Registre_Maintenance_V2[Province_RDC],"Pas de correspondance")</f>
        <v>Pas de correspondance</v>
      </c>
      <c r="G763" t="str">
        <f>_xlfn.XLOOKUP(Log_Reseau_Master[[#This Row],[Cell_ID]],_29_03_2026_Registre_Maintenance_V2[ID_Antenne],_29_03_2026_Registre_Maintenance_V2[Technologie],"Pas de correspondance")</f>
        <v>Pas de correspondance</v>
      </c>
      <c r="H763" t="str">
        <f>_xlfn.XLOOKUP(Log_Reseau_Master[[#This Row],[Cell_ID]],_29_03_2026_Registre_Maintenance_V2[ID_Antenne],_29_03_2026_Registre_Maintenance_V2[Equipementier],"Pas de correspondance")</f>
        <v>Pas de correspondance</v>
      </c>
    </row>
    <row r="764" spans="1:8" x14ac:dyDescent="0.25">
      <c r="A764" s="1">
        <v>45223.554166666669</v>
      </c>
      <c r="B764" s="4">
        <f>Log_Reseau_Master[[#This Row],[Duree_Panne_Min]]/1440</f>
        <v>5.9722222222222225E-2</v>
      </c>
      <c r="C764" t="s">
        <v>314</v>
      </c>
      <c r="D764">
        <v>86</v>
      </c>
      <c r="E764" t="s">
        <v>1312</v>
      </c>
      <c r="F764" t="str">
        <f>_xlfn.XLOOKUP(Log_Reseau_Master[[#This Row],[Cell_ID]],_29_03_2026_Registre_Maintenance_V2[ID_Antenne],_29_03_2026_Registre_Maintenance_V2[Province_RDC],"Pas de correspondance")</f>
        <v>Sud-Ubangi</v>
      </c>
      <c r="G764" t="str">
        <f>_xlfn.XLOOKUP(Log_Reseau_Master[[#This Row],[Cell_ID]],_29_03_2026_Registre_Maintenance_V2[ID_Antenne],_29_03_2026_Registre_Maintenance_V2[Technologie],"Pas de correspondance")</f>
        <v>3G</v>
      </c>
      <c r="H764" t="str">
        <f>_xlfn.XLOOKUP(Log_Reseau_Master[[#This Row],[Cell_ID]],_29_03_2026_Registre_Maintenance_V2[ID_Antenne],_29_03_2026_Registre_Maintenance_V2[Equipementier],"Pas de correspondance")</f>
        <v>Nokia</v>
      </c>
    </row>
    <row r="765" spans="1:8" x14ac:dyDescent="0.25">
      <c r="A765" s="1">
        <v>45227.751388888886</v>
      </c>
      <c r="B765" s="4">
        <f>Log_Reseau_Master[[#This Row],[Duree_Panne_Min]]/1440</f>
        <v>2.9166666666666667E-2</v>
      </c>
      <c r="C765" t="s">
        <v>314</v>
      </c>
      <c r="D765">
        <v>42</v>
      </c>
      <c r="E765" t="s">
        <v>1314</v>
      </c>
      <c r="F765" t="str">
        <f>_xlfn.XLOOKUP(Log_Reseau_Master[[#This Row],[Cell_ID]],_29_03_2026_Registre_Maintenance_V2[ID_Antenne],_29_03_2026_Registre_Maintenance_V2[Province_RDC],"Pas de correspondance")</f>
        <v>Sud-Ubangi</v>
      </c>
      <c r="G765" t="str">
        <f>_xlfn.XLOOKUP(Log_Reseau_Master[[#This Row],[Cell_ID]],_29_03_2026_Registre_Maintenance_V2[ID_Antenne],_29_03_2026_Registre_Maintenance_V2[Technologie],"Pas de correspondance")</f>
        <v>3G</v>
      </c>
      <c r="H765" t="str">
        <f>_xlfn.XLOOKUP(Log_Reseau_Master[[#This Row],[Cell_ID]],_29_03_2026_Registre_Maintenance_V2[ID_Antenne],_29_03_2026_Registre_Maintenance_V2[Equipementier],"Pas de correspondance")</f>
        <v>Nokia</v>
      </c>
    </row>
    <row r="766" spans="1:8" x14ac:dyDescent="0.25">
      <c r="A766" s="1">
        <v>45214.160416666666</v>
      </c>
      <c r="B766" s="4">
        <f>Log_Reseau_Master[[#This Row],[Duree_Panne_Min]]/1440</f>
        <v>7.4999999999999997E-2</v>
      </c>
      <c r="C766" t="s">
        <v>306</v>
      </c>
      <c r="D766">
        <v>108</v>
      </c>
      <c r="E766" t="s">
        <v>1321</v>
      </c>
      <c r="F766" t="str">
        <f>_xlfn.XLOOKUP(Log_Reseau_Master[[#This Row],[Cell_ID]],_29_03_2026_Registre_Maintenance_V2[ID_Antenne],_29_03_2026_Registre_Maintenance_V2[Province_RDC],"Pas de correspondance")</f>
        <v>Mongala</v>
      </c>
      <c r="G766" t="str">
        <f>_xlfn.XLOOKUP(Log_Reseau_Master[[#This Row],[Cell_ID]],_29_03_2026_Registre_Maintenance_V2[ID_Antenne],_29_03_2026_Registre_Maintenance_V2[Technologie],"Pas de correspondance")</f>
        <v>4G</v>
      </c>
      <c r="H766" t="str">
        <f>_xlfn.XLOOKUP(Log_Reseau_Master[[#This Row],[Cell_ID]],_29_03_2026_Registre_Maintenance_V2[ID_Antenne],_29_03_2026_Registre_Maintenance_V2[Equipementier],"Pas de correspondance")</f>
        <v>ZTE</v>
      </c>
    </row>
    <row r="767" spans="1:8" x14ac:dyDescent="0.25">
      <c r="A767" s="1">
        <v>45210.836805555555</v>
      </c>
      <c r="B767" s="4">
        <f>Log_Reseau_Master[[#This Row],[Duree_Panne_Min]]/1440</f>
        <v>8.1944444444444445E-2</v>
      </c>
      <c r="C767" t="s">
        <v>306</v>
      </c>
      <c r="D767">
        <v>118</v>
      </c>
      <c r="E767" t="s">
        <v>1314</v>
      </c>
      <c r="F767" t="str">
        <f>_xlfn.XLOOKUP(Log_Reseau_Master[[#This Row],[Cell_ID]],_29_03_2026_Registre_Maintenance_V2[ID_Antenne],_29_03_2026_Registre_Maintenance_V2[Province_RDC],"Pas de correspondance")</f>
        <v>Mongala</v>
      </c>
      <c r="G767" t="str">
        <f>_xlfn.XLOOKUP(Log_Reseau_Master[[#This Row],[Cell_ID]],_29_03_2026_Registre_Maintenance_V2[ID_Antenne],_29_03_2026_Registre_Maintenance_V2[Technologie],"Pas de correspondance")</f>
        <v>4G</v>
      </c>
      <c r="H767" t="str">
        <f>_xlfn.XLOOKUP(Log_Reseau_Master[[#This Row],[Cell_ID]],_29_03_2026_Registre_Maintenance_V2[ID_Antenne],_29_03_2026_Registre_Maintenance_V2[Equipementier],"Pas de correspondance")</f>
        <v>ZTE</v>
      </c>
    </row>
    <row r="768" spans="1:8" x14ac:dyDescent="0.25">
      <c r="A768" s="1">
        <v>45226.790277777778</v>
      </c>
      <c r="B768" s="4">
        <f>Log_Reseau_Master[[#This Row],[Duree_Panne_Min]]/1440</f>
        <v>4.7222222222222221E-2</v>
      </c>
      <c r="C768" t="s">
        <v>389</v>
      </c>
      <c r="D768">
        <v>68</v>
      </c>
      <c r="E768" t="s">
        <v>1321</v>
      </c>
      <c r="F768" t="str">
        <f>_xlfn.XLOOKUP(Log_Reseau_Master[[#This Row],[Cell_ID]],_29_03_2026_Registre_Maintenance_V2[ID_Antenne],_29_03_2026_Registre_Maintenance_V2[Province_RDC],"Pas de correspondance")</f>
        <v>Equateur</v>
      </c>
      <c r="G768" t="str">
        <f>_xlfn.XLOOKUP(Log_Reseau_Master[[#This Row],[Cell_ID]],_29_03_2026_Registre_Maintenance_V2[ID_Antenne],_29_03_2026_Registre_Maintenance_V2[Technologie],"Pas de correspondance")</f>
        <v>3G</v>
      </c>
      <c r="H768" t="str">
        <f>_xlfn.XLOOKUP(Log_Reseau_Master[[#This Row],[Cell_ID]],_29_03_2026_Registre_Maintenance_V2[ID_Antenne],_29_03_2026_Registre_Maintenance_V2[Equipementier],"Pas de correspondance")</f>
        <v>Nokia</v>
      </c>
    </row>
    <row r="769" spans="1:8" x14ac:dyDescent="0.25">
      <c r="A769" s="1">
        <v>45230.039583333331</v>
      </c>
      <c r="B769" s="4">
        <f>Log_Reseau_Master[[#This Row],[Duree_Panne_Min]]/1440</f>
        <v>8.1250000000000003E-2</v>
      </c>
      <c r="C769" t="s">
        <v>468</v>
      </c>
      <c r="D769">
        <v>117</v>
      </c>
      <c r="E769" t="s">
        <v>1312</v>
      </c>
      <c r="F769" t="str">
        <f>_xlfn.XLOOKUP(Log_Reseau_Master[[#This Row],[Cell_ID]],_29_03_2026_Registre_Maintenance_V2[ID_Antenne],_29_03_2026_Registre_Maintenance_V2[Province_RDC],"Pas de correspondance")</f>
        <v>Kongo-Central</v>
      </c>
      <c r="G769" t="str">
        <f>_xlfn.XLOOKUP(Log_Reseau_Master[[#This Row],[Cell_ID]],_29_03_2026_Registre_Maintenance_V2[ID_Antenne],_29_03_2026_Registre_Maintenance_V2[Technologie],"Pas de correspondance")</f>
        <v>3G</v>
      </c>
      <c r="H769" t="str">
        <f>_xlfn.XLOOKUP(Log_Reseau_Master[[#This Row],[Cell_ID]],_29_03_2026_Registre_Maintenance_V2[ID_Antenne],_29_03_2026_Registre_Maintenance_V2[Equipementier],"Pas de correspondance")</f>
        <v>Nokia</v>
      </c>
    </row>
    <row r="770" spans="1:8" x14ac:dyDescent="0.25">
      <c r="A770" s="1">
        <v>45202.645138888889</v>
      </c>
      <c r="B770" s="4">
        <f>Log_Reseau_Master[[#This Row],[Duree_Panne_Min]]/1440</f>
        <v>7.3611111111111113E-2</v>
      </c>
      <c r="C770" t="s">
        <v>468</v>
      </c>
      <c r="D770">
        <v>106</v>
      </c>
      <c r="E770" t="s">
        <v>1321</v>
      </c>
      <c r="F770" t="str">
        <f>_xlfn.XLOOKUP(Log_Reseau_Master[[#This Row],[Cell_ID]],_29_03_2026_Registre_Maintenance_V2[ID_Antenne],_29_03_2026_Registre_Maintenance_V2[Province_RDC],"Pas de correspondance")</f>
        <v>Kongo-Central</v>
      </c>
      <c r="G770" t="str">
        <f>_xlfn.XLOOKUP(Log_Reseau_Master[[#This Row],[Cell_ID]],_29_03_2026_Registre_Maintenance_V2[ID_Antenne],_29_03_2026_Registre_Maintenance_V2[Technologie],"Pas de correspondance")</f>
        <v>3G</v>
      </c>
      <c r="H770" t="str">
        <f>_xlfn.XLOOKUP(Log_Reseau_Master[[#This Row],[Cell_ID]],_29_03_2026_Registre_Maintenance_V2[ID_Antenne],_29_03_2026_Registre_Maintenance_V2[Equipementier],"Pas de correspondance")</f>
        <v>Nokia</v>
      </c>
    </row>
    <row r="771" spans="1:8" x14ac:dyDescent="0.25">
      <c r="A771" s="1">
        <v>45202.775694444441</v>
      </c>
      <c r="B771" s="4">
        <f>Log_Reseau_Master[[#This Row],[Duree_Panne_Min]]/1440</f>
        <v>0.05</v>
      </c>
      <c r="C771" t="s">
        <v>468</v>
      </c>
      <c r="D771">
        <v>72</v>
      </c>
      <c r="E771" t="s">
        <v>1314</v>
      </c>
      <c r="F771" t="str">
        <f>_xlfn.XLOOKUP(Log_Reseau_Master[[#This Row],[Cell_ID]],_29_03_2026_Registre_Maintenance_V2[ID_Antenne],_29_03_2026_Registre_Maintenance_V2[Province_RDC],"Pas de correspondance")</f>
        <v>Kongo-Central</v>
      </c>
      <c r="G771" t="str">
        <f>_xlfn.XLOOKUP(Log_Reseau_Master[[#This Row],[Cell_ID]],_29_03_2026_Registre_Maintenance_V2[ID_Antenne],_29_03_2026_Registre_Maintenance_V2[Technologie],"Pas de correspondance")</f>
        <v>3G</v>
      </c>
      <c r="H771" t="str">
        <f>_xlfn.XLOOKUP(Log_Reseau_Master[[#This Row],[Cell_ID]],_29_03_2026_Registre_Maintenance_V2[ID_Antenne],_29_03_2026_Registre_Maintenance_V2[Equipementier],"Pas de correspondance")</f>
        <v>Nokia</v>
      </c>
    </row>
    <row r="772" spans="1:8" x14ac:dyDescent="0.25">
      <c r="A772" s="1">
        <v>45225.317361111112</v>
      </c>
      <c r="B772" s="4">
        <f>Log_Reseau_Master[[#This Row],[Duree_Panne_Min]]/1440</f>
        <v>3.888888888888889E-2</v>
      </c>
      <c r="C772" t="s">
        <v>341</v>
      </c>
      <c r="D772">
        <v>56</v>
      </c>
      <c r="E772" t="s">
        <v>1312</v>
      </c>
      <c r="F772" t="str">
        <f>_xlfn.XLOOKUP(Log_Reseau_Master[[#This Row],[Cell_ID]],_29_03_2026_Registre_Maintenance_V2[ID_Antenne],_29_03_2026_Registre_Maintenance_V2[Province_RDC],"Pas de correspondance")</f>
        <v>Nord-Ubangi</v>
      </c>
      <c r="G772" t="str">
        <f>_xlfn.XLOOKUP(Log_Reseau_Master[[#This Row],[Cell_ID]],_29_03_2026_Registre_Maintenance_V2[ID_Antenne],_29_03_2026_Registre_Maintenance_V2[Technologie],"Pas de correspondance")</f>
        <v>5G</v>
      </c>
      <c r="H772" t="str">
        <f>_xlfn.XLOOKUP(Log_Reseau_Master[[#This Row],[Cell_ID]],_29_03_2026_Registre_Maintenance_V2[ID_Antenne],_29_03_2026_Registre_Maintenance_V2[Equipementier],"Pas de correspondance")</f>
        <v>Nokia</v>
      </c>
    </row>
    <row r="773" spans="1:8" x14ac:dyDescent="0.25">
      <c r="A773" s="1">
        <v>45226.623611111114</v>
      </c>
      <c r="B773" s="4">
        <f>Log_Reseau_Master[[#This Row],[Duree_Panne_Min]]/1440</f>
        <v>6.805555555555555E-2</v>
      </c>
      <c r="C773" t="s">
        <v>341</v>
      </c>
      <c r="D773">
        <v>98</v>
      </c>
      <c r="E773" t="s">
        <v>1321</v>
      </c>
      <c r="F773" t="str">
        <f>_xlfn.XLOOKUP(Log_Reseau_Master[[#This Row],[Cell_ID]],_29_03_2026_Registre_Maintenance_V2[ID_Antenne],_29_03_2026_Registre_Maintenance_V2[Province_RDC],"Pas de correspondance")</f>
        <v>Nord-Ubangi</v>
      </c>
      <c r="G773" t="str">
        <f>_xlfn.XLOOKUP(Log_Reseau_Master[[#This Row],[Cell_ID]],_29_03_2026_Registre_Maintenance_V2[ID_Antenne],_29_03_2026_Registre_Maintenance_V2[Technologie],"Pas de correspondance")</f>
        <v>5G</v>
      </c>
      <c r="H773" t="str">
        <f>_xlfn.XLOOKUP(Log_Reseau_Master[[#This Row],[Cell_ID]],_29_03_2026_Registre_Maintenance_V2[ID_Antenne],_29_03_2026_Registre_Maintenance_V2[Equipementier],"Pas de correspondance")</f>
        <v>Nokia</v>
      </c>
    </row>
    <row r="774" spans="1:8" x14ac:dyDescent="0.25">
      <c r="A774" s="1">
        <v>45221.861805555556</v>
      </c>
      <c r="B774" s="4">
        <f>Log_Reseau_Master[[#This Row],[Duree_Panne_Min]]/1440</f>
        <v>4.5138888888888888E-2</v>
      </c>
      <c r="C774" t="s">
        <v>147</v>
      </c>
      <c r="D774">
        <v>65</v>
      </c>
      <c r="E774" t="s">
        <v>1314</v>
      </c>
      <c r="F774" t="str">
        <f>_xlfn.XLOOKUP(Log_Reseau_Master[[#This Row],[Cell_ID]],_29_03_2026_Registre_Maintenance_V2[ID_Antenne],_29_03_2026_Registre_Maintenance_V2[Province_RDC],"Pas de correspondance")</f>
        <v>Tanganyika</v>
      </c>
      <c r="G774" t="str">
        <f>_xlfn.XLOOKUP(Log_Reseau_Master[[#This Row],[Cell_ID]],_29_03_2026_Registre_Maintenance_V2[ID_Antenne],_29_03_2026_Registre_Maintenance_V2[Technologie],"Pas de correspondance")</f>
        <v>4G</v>
      </c>
      <c r="H774" t="str">
        <f>_xlfn.XLOOKUP(Log_Reseau_Master[[#This Row],[Cell_ID]],_29_03_2026_Registre_Maintenance_V2[ID_Antenne],_29_03_2026_Registre_Maintenance_V2[Equipementier],"Pas de correspondance")</f>
        <v>Ericsson</v>
      </c>
    </row>
    <row r="775" spans="1:8" hidden="1" x14ac:dyDescent="0.25">
      <c r="A775" s="1">
        <v>45206.384027777778</v>
      </c>
      <c r="B775">
        <f>Log_Reseau_Master[[#This Row],[Duree_Panne_Min]]/1440</f>
        <v>7.5694444444444439E-2</v>
      </c>
      <c r="C775" t="s">
        <v>1576</v>
      </c>
      <c r="D775">
        <v>109</v>
      </c>
      <c r="E775" t="s">
        <v>1321</v>
      </c>
      <c r="F775" t="str">
        <f>_xlfn.XLOOKUP(Log_Reseau_Master[[#This Row],[Cell_ID]],_29_03_2026_Registre_Maintenance_V2[ID_Antenne],_29_03_2026_Registre_Maintenance_V2[Province_RDC],"Pas de correspondance")</f>
        <v>Pas de correspondance</v>
      </c>
      <c r="G775" t="str">
        <f>_xlfn.XLOOKUP(Log_Reseau_Master[[#This Row],[Cell_ID]],_29_03_2026_Registre_Maintenance_V2[ID_Antenne],_29_03_2026_Registre_Maintenance_V2[Technologie],"Pas de correspondance")</f>
        <v>Pas de correspondance</v>
      </c>
      <c r="H775" t="str">
        <f>_xlfn.XLOOKUP(Log_Reseau_Master[[#This Row],[Cell_ID]],_29_03_2026_Registre_Maintenance_V2[ID_Antenne],_29_03_2026_Registre_Maintenance_V2[Equipementier],"Pas de correspondance")</f>
        <v>Pas de correspondance</v>
      </c>
    </row>
    <row r="776" spans="1:8" hidden="1" x14ac:dyDescent="0.25">
      <c r="A776" s="1">
        <v>45226.072222222225</v>
      </c>
      <c r="B776">
        <f>Log_Reseau_Master[[#This Row],[Duree_Panne_Min]]/1440</f>
        <v>2.013888888888889E-2</v>
      </c>
      <c r="C776" t="s">
        <v>1577</v>
      </c>
      <c r="D776">
        <v>29</v>
      </c>
      <c r="E776" t="s">
        <v>1321</v>
      </c>
      <c r="F776" t="str">
        <f>_xlfn.XLOOKUP(Log_Reseau_Master[[#This Row],[Cell_ID]],_29_03_2026_Registre_Maintenance_V2[ID_Antenne],_29_03_2026_Registre_Maintenance_V2[Province_RDC],"Pas de correspondance")</f>
        <v>Pas de correspondance</v>
      </c>
      <c r="G776" t="str">
        <f>_xlfn.XLOOKUP(Log_Reseau_Master[[#This Row],[Cell_ID]],_29_03_2026_Registre_Maintenance_V2[ID_Antenne],_29_03_2026_Registre_Maintenance_V2[Technologie],"Pas de correspondance")</f>
        <v>Pas de correspondance</v>
      </c>
      <c r="H776" t="str">
        <f>_xlfn.XLOOKUP(Log_Reseau_Master[[#This Row],[Cell_ID]],_29_03_2026_Registre_Maintenance_V2[ID_Antenne],_29_03_2026_Registre_Maintenance_V2[Equipementier],"Pas de correspondance")</f>
        <v>Pas de correspondance</v>
      </c>
    </row>
    <row r="777" spans="1:8" hidden="1" x14ac:dyDescent="0.25">
      <c r="A777" s="1">
        <v>45204.09097222222</v>
      </c>
      <c r="B777">
        <f>Log_Reseau_Master[[#This Row],[Duree_Panne_Min]]/1440</f>
        <v>5.6250000000000001E-2</v>
      </c>
      <c r="C777" t="s">
        <v>1578</v>
      </c>
      <c r="D777">
        <v>81</v>
      </c>
      <c r="E777" t="s">
        <v>1314</v>
      </c>
      <c r="F777" t="str">
        <f>_xlfn.XLOOKUP(Log_Reseau_Master[[#This Row],[Cell_ID]],_29_03_2026_Registre_Maintenance_V2[ID_Antenne],_29_03_2026_Registre_Maintenance_V2[Province_RDC],"Pas de correspondance")</f>
        <v>Pas de correspondance</v>
      </c>
      <c r="G777" t="str">
        <f>_xlfn.XLOOKUP(Log_Reseau_Master[[#This Row],[Cell_ID]],_29_03_2026_Registre_Maintenance_V2[ID_Antenne],_29_03_2026_Registre_Maintenance_V2[Technologie],"Pas de correspondance")</f>
        <v>Pas de correspondance</v>
      </c>
      <c r="H777" t="str">
        <f>_xlfn.XLOOKUP(Log_Reseau_Master[[#This Row],[Cell_ID]],_29_03_2026_Registre_Maintenance_V2[ID_Antenne],_29_03_2026_Registre_Maintenance_V2[Equipementier],"Pas de correspondance")</f>
        <v>Pas de correspondance</v>
      </c>
    </row>
    <row r="778" spans="1:8" hidden="1" x14ac:dyDescent="0.25">
      <c r="A778" s="1">
        <v>45221.143055555556</v>
      </c>
      <c r="B778">
        <f>Log_Reseau_Master[[#This Row],[Duree_Panne_Min]]/1440</f>
        <v>2.9861111111111113E-2</v>
      </c>
      <c r="C778" t="s">
        <v>1579</v>
      </c>
      <c r="D778">
        <v>43</v>
      </c>
      <c r="E778" t="s">
        <v>1314</v>
      </c>
      <c r="F778" t="str">
        <f>_xlfn.XLOOKUP(Log_Reseau_Master[[#This Row],[Cell_ID]],_29_03_2026_Registre_Maintenance_V2[ID_Antenne],_29_03_2026_Registre_Maintenance_V2[Province_RDC],"Pas de correspondance")</f>
        <v>Pas de correspondance</v>
      </c>
      <c r="G778" t="str">
        <f>_xlfn.XLOOKUP(Log_Reseau_Master[[#This Row],[Cell_ID]],_29_03_2026_Registre_Maintenance_V2[ID_Antenne],_29_03_2026_Registre_Maintenance_V2[Technologie],"Pas de correspondance")</f>
        <v>Pas de correspondance</v>
      </c>
      <c r="H778" t="str">
        <f>_xlfn.XLOOKUP(Log_Reseau_Master[[#This Row],[Cell_ID]],_29_03_2026_Registre_Maintenance_V2[ID_Antenne],_29_03_2026_Registre_Maintenance_V2[Equipementier],"Pas de correspondance")</f>
        <v>Pas de correspondance</v>
      </c>
    </row>
    <row r="779" spans="1:8" hidden="1" x14ac:dyDescent="0.25">
      <c r="A779" s="1">
        <v>45230.911805555559</v>
      </c>
      <c r="B779">
        <f>Log_Reseau_Master[[#This Row],[Duree_Panne_Min]]/1440</f>
        <v>1.1111111111111112E-2</v>
      </c>
      <c r="C779" t="s">
        <v>1579</v>
      </c>
      <c r="D779">
        <v>16</v>
      </c>
      <c r="E779" t="s">
        <v>1312</v>
      </c>
      <c r="F779" t="str">
        <f>_xlfn.XLOOKUP(Log_Reseau_Master[[#This Row],[Cell_ID]],_29_03_2026_Registre_Maintenance_V2[ID_Antenne],_29_03_2026_Registre_Maintenance_V2[Province_RDC],"Pas de correspondance")</f>
        <v>Pas de correspondance</v>
      </c>
      <c r="G779" t="str">
        <f>_xlfn.XLOOKUP(Log_Reseau_Master[[#This Row],[Cell_ID]],_29_03_2026_Registre_Maintenance_V2[ID_Antenne],_29_03_2026_Registre_Maintenance_V2[Technologie],"Pas de correspondance")</f>
        <v>Pas de correspondance</v>
      </c>
      <c r="H779" t="str">
        <f>_xlfn.XLOOKUP(Log_Reseau_Master[[#This Row],[Cell_ID]],_29_03_2026_Registre_Maintenance_V2[ID_Antenne],_29_03_2026_Registre_Maintenance_V2[Equipementier],"Pas de correspondance")</f>
        <v>Pas de correspondance</v>
      </c>
    </row>
    <row r="780" spans="1:8" hidden="1" x14ac:dyDescent="0.25">
      <c r="A780" s="1">
        <v>45228.980555555558</v>
      </c>
      <c r="B780">
        <f>Log_Reseau_Master[[#This Row],[Duree_Panne_Min]]/1440</f>
        <v>2.5694444444444443E-2</v>
      </c>
      <c r="C780" t="s">
        <v>1579</v>
      </c>
      <c r="D780">
        <v>37</v>
      </c>
      <c r="E780" t="s">
        <v>1312</v>
      </c>
      <c r="F780" t="str">
        <f>_xlfn.XLOOKUP(Log_Reseau_Master[[#This Row],[Cell_ID]],_29_03_2026_Registre_Maintenance_V2[ID_Antenne],_29_03_2026_Registre_Maintenance_V2[Province_RDC],"Pas de correspondance")</f>
        <v>Pas de correspondance</v>
      </c>
      <c r="G780" t="str">
        <f>_xlfn.XLOOKUP(Log_Reseau_Master[[#This Row],[Cell_ID]],_29_03_2026_Registre_Maintenance_V2[ID_Antenne],_29_03_2026_Registre_Maintenance_V2[Technologie],"Pas de correspondance")</f>
        <v>Pas de correspondance</v>
      </c>
      <c r="H780" t="str">
        <f>_xlfn.XLOOKUP(Log_Reseau_Master[[#This Row],[Cell_ID]],_29_03_2026_Registre_Maintenance_V2[ID_Antenne],_29_03_2026_Registre_Maintenance_V2[Equipementier],"Pas de correspondance")</f>
        <v>Pas de correspondance</v>
      </c>
    </row>
    <row r="781" spans="1:8" hidden="1" x14ac:dyDescent="0.25">
      <c r="A781" s="1">
        <v>45211.925000000003</v>
      </c>
      <c r="B781">
        <f>Log_Reseau_Master[[#This Row],[Duree_Panne_Min]]/1440</f>
        <v>2.7777777777777776E-2</v>
      </c>
      <c r="C781" t="s">
        <v>1580</v>
      </c>
      <c r="D781">
        <v>40</v>
      </c>
      <c r="E781" t="s">
        <v>1321</v>
      </c>
      <c r="F781" t="str">
        <f>_xlfn.XLOOKUP(Log_Reseau_Master[[#This Row],[Cell_ID]],_29_03_2026_Registre_Maintenance_V2[ID_Antenne],_29_03_2026_Registre_Maintenance_V2[Province_RDC],"Pas de correspondance")</f>
        <v>Pas de correspondance</v>
      </c>
      <c r="G781" t="str">
        <f>_xlfn.XLOOKUP(Log_Reseau_Master[[#This Row],[Cell_ID]],_29_03_2026_Registre_Maintenance_V2[ID_Antenne],_29_03_2026_Registre_Maintenance_V2[Technologie],"Pas de correspondance")</f>
        <v>Pas de correspondance</v>
      </c>
      <c r="H781" t="str">
        <f>_xlfn.XLOOKUP(Log_Reseau_Master[[#This Row],[Cell_ID]],_29_03_2026_Registre_Maintenance_V2[ID_Antenne],_29_03_2026_Registre_Maintenance_V2[Equipementier],"Pas de correspondance")</f>
        <v>Pas de correspondance</v>
      </c>
    </row>
    <row r="782" spans="1:8" hidden="1" x14ac:dyDescent="0.25">
      <c r="A782" s="1">
        <v>45205.640277777777</v>
      </c>
      <c r="B782">
        <f>Log_Reseau_Master[[#This Row],[Duree_Panne_Min]]/1440</f>
        <v>3.6111111111111108E-2</v>
      </c>
      <c r="C782" t="s">
        <v>1580</v>
      </c>
      <c r="D782">
        <v>52</v>
      </c>
      <c r="E782" t="s">
        <v>1314</v>
      </c>
      <c r="F782" t="str">
        <f>_xlfn.XLOOKUP(Log_Reseau_Master[[#This Row],[Cell_ID]],_29_03_2026_Registre_Maintenance_V2[ID_Antenne],_29_03_2026_Registre_Maintenance_V2[Province_RDC],"Pas de correspondance")</f>
        <v>Pas de correspondance</v>
      </c>
      <c r="G782" t="str">
        <f>_xlfn.XLOOKUP(Log_Reseau_Master[[#This Row],[Cell_ID]],_29_03_2026_Registre_Maintenance_V2[ID_Antenne],_29_03_2026_Registre_Maintenance_V2[Technologie],"Pas de correspondance")</f>
        <v>Pas de correspondance</v>
      </c>
      <c r="H782" t="str">
        <f>_xlfn.XLOOKUP(Log_Reseau_Master[[#This Row],[Cell_ID]],_29_03_2026_Registre_Maintenance_V2[ID_Antenne],_29_03_2026_Registre_Maintenance_V2[Equipementier],"Pas de correspondance")</f>
        <v>Pas de correspondance</v>
      </c>
    </row>
    <row r="783" spans="1:8" hidden="1" x14ac:dyDescent="0.25">
      <c r="A783" s="1">
        <v>45215.879861111112</v>
      </c>
      <c r="B783">
        <f>Log_Reseau_Master[[#This Row],[Duree_Panne_Min]]/1440</f>
        <v>1.1111111111111112E-2</v>
      </c>
      <c r="C783" t="s">
        <v>1580</v>
      </c>
      <c r="D783">
        <v>16</v>
      </c>
      <c r="E783" t="s">
        <v>1312</v>
      </c>
      <c r="F783" t="str">
        <f>_xlfn.XLOOKUP(Log_Reseau_Master[[#This Row],[Cell_ID]],_29_03_2026_Registre_Maintenance_V2[ID_Antenne],_29_03_2026_Registre_Maintenance_V2[Province_RDC],"Pas de correspondance")</f>
        <v>Pas de correspondance</v>
      </c>
      <c r="G783" t="str">
        <f>_xlfn.XLOOKUP(Log_Reseau_Master[[#This Row],[Cell_ID]],_29_03_2026_Registre_Maintenance_V2[ID_Antenne],_29_03_2026_Registre_Maintenance_V2[Technologie],"Pas de correspondance")</f>
        <v>Pas de correspondance</v>
      </c>
      <c r="H783" t="str">
        <f>_xlfn.XLOOKUP(Log_Reseau_Master[[#This Row],[Cell_ID]],_29_03_2026_Registre_Maintenance_V2[ID_Antenne],_29_03_2026_Registre_Maintenance_V2[Equipementier],"Pas de correspondance")</f>
        <v>Pas de correspondance</v>
      </c>
    </row>
    <row r="784" spans="1:8" hidden="1" x14ac:dyDescent="0.25">
      <c r="A784" s="1">
        <v>45216.459027777775</v>
      </c>
      <c r="B784">
        <f>Log_Reseau_Master[[#This Row],[Duree_Panne_Min]]/1440</f>
        <v>6.9444444444444448E-2</v>
      </c>
      <c r="C784" t="s">
        <v>1580</v>
      </c>
      <c r="D784">
        <v>100</v>
      </c>
      <c r="E784" t="s">
        <v>1312</v>
      </c>
      <c r="F784" t="str">
        <f>_xlfn.XLOOKUP(Log_Reseau_Master[[#This Row],[Cell_ID]],_29_03_2026_Registre_Maintenance_V2[ID_Antenne],_29_03_2026_Registre_Maintenance_V2[Province_RDC],"Pas de correspondance")</f>
        <v>Pas de correspondance</v>
      </c>
      <c r="G784" t="str">
        <f>_xlfn.XLOOKUP(Log_Reseau_Master[[#This Row],[Cell_ID]],_29_03_2026_Registre_Maintenance_V2[ID_Antenne],_29_03_2026_Registre_Maintenance_V2[Technologie],"Pas de correspondance")</f>
        <v>Pas de correspondance</v>
      </c>
      <c r="H784" t="str">
        <f>_xlfn.XLOOKUP(Log_Reseau_Master[[#This Row],[Cell_ID]],_29_03_2026_Registre_Maintenance_V2[ID_Antenne],_29_03_2026_Registre_Maintenance_V2[Equipementier],"Pas de correspondance")</f>
        <v>Pas de correspondance</v>
      </c>
    </row>
    <row r="785" spans="1:8" hidden="1" x14ac:dyDescent="0.25">
      <c r="A785" s="1">
        <v>45221.988888888889</v>
      </c>
      <c r="B785">
        <f>Log_Reseau_Master[[#This Row],[Duree_Panne_Min]]/1440</f>
        <v>0.05</v>
      </c>
      <c r="C785" t="s">
        <v>1581</v>
      </c>
      <c r="D785">
        <v>72</v>
      </c>
      <c r="E785" t="s">
        <v>1312</v>
      </c>
      <c r="F785" t="str">
        <f>_xlfn.XLOOKUP(Log_Reseau_Master[[#This Row],[Cell_ID]],_29_03_2026_Registre_Maintenance_V2[ID_Antenne],_29_03_2026_Registre_Maintenance_V2[Province_RDC],"Pas de correspondance")</f>
        <v>Pas de correspondance</v>
      </c>
      <c r="G785" t="str">
        <f>_xlfn.XLOOKUP(Log_Reseau_Master[[#This Row],[Cell_ID]],_29_03_2026_Registre_Maintenance_V2[ID_Antenne],_29_03_2026_Registre_Maintenance_V2[Technologie],"Pas de correspondance")</f>
        <v>Pas de correspondance</v>
      </c>
      <c r="H785" t="str">
        <f>_xlfn.XLOOKUP(Log_Reseau_Master[[#This Row],[Cell_ID]],_29_03_2026_Registre_Maintenance_V2[ID_Antenne],_29_03_2026_Registre_Maintenance_V2[Equipementier],"Pas de correspondance")</f>
        <v>Pas de correspondance</v>
      </c>
    </row>
    <row r="786" spans="1:8" hidden="1" x14ac:dyDescent="0.25">
      <c r="A786" s="1">
        <v>45201.427083333336</v>
      </c>
      <c r="B786">
        <f>Log_Reseau_Master[[#This Row],[Duree_Panne_Min]]/1440</f>
        <v>6.805555555555555E-2</v>
      </c>
      <c r="C786" t="s">
        <v>1581</v>
      </c>
      <c r="D786">
        <v>98</v>
      </c>
      <c r="E786" t="s">
        <v>1312</v>
      </c>
      <c r="F786" t="str">
        <f>_xlfn.XLOOKUP(Log_Reseau_Master[[#This Row],[Cell_ID]],_29_03_2026_Registre_Maintenance_V2[ID_Antenne],_29_03_2026_Registre_Maintenance_V2[Province_RDC],"Pas de correspondance")</f>
        <v>Pas de correspondance</v>
      </c>
      <c r="G786" t="str">
        <f>_xlfn.XLOOKUP(Log_Reseau_Master[[#This Row],[Cell_ID]],_29_03_2026_Registre_Maintenance_V2[ID_Antenne],_29_03_2026_Registre_Maintenance_V2[Technologie],"Pas de correspondance")</f>
        <v>Pas de correspondance</v>
      </c>
      <c r="H786" t="str">
        <f>_xlfn.XLOOKUP(Log_Reseau_Master[[#This Row],[Cell_ID]],_29_03_2026_Registre_Maintenance_V2[ID_Antenne],_29_03_2026_Registre_Maintenance_V2[Equipementier],"Pas de correspondance")</f>
        <v>Pas de correspondance</v>
      </c>
    </row>
    <row r="787" spans="1:8" x14ac:dyDescent="0.25">
      <c r="A787" s="1">
        <v>45201.3125</v>
      </c>
      <c r="B787" s="4">
        <f>Log_Reseau_Master[[#This Row],[Duree_Panne_Min]]/1440</f>
        <v>6.25E-2</v>
      </c>
      <c r="C787" t="s">
        <v>370</v>
      </c>
      <c r="D787">
        <v>90</v>
      </c>
      <c r="E787" t="s">
        <v>1312</v>
      </c>
      <c r="F787" t="str">
        <f>_xlfn.XLOOKUP(Log_Reseau_Master[[#This Row],[Cell_ID]],_29_03_2026_Registre_Maintenance_V2[ID_Antenne],_29_03_2026_Registre_Maintenance_V2[Province_RDC],"Pas de correspondance")</f>
        <v>Kasai-Oriental</v>
      </c>
      <c r="G787" t="str">
        <f>_xlfn.XLOOKUP(Log_Reseau_Master[[#This Row],[Cell_ID]],_29_03_2026_Registre_Maintenance_V2[ID_Antenne],_29_03_2026_Registre_Maintenance_V2[Technologie],"Pas de correspondance")</f>
        <v>5G</v>
      </c>
      <c r="H787" t="str">
        <f>_xlfn.XLOOKUP(Log_Reseau_Master[[#This Row],[Cell_ID]],_29_03_2026_Registre_Maintenance_V2[ID_Antenne],_29_03_2026_Registre_Maintenance_V2[Equipementier],"Pas de correspondance")</f>
        <v>Nokia</v>
      </c>
    </row>
    <row r="788" spans="1:8" hidden="1" x14ac:dyDescent="0.25">
      <c r="A788" s="1">
        <v>45203.425694444442</v>
      </c>
      <c r="B788">
        <f>Log_Reseau_Master[[#This Row],[Duree_Panne_Min]]/1440</f>
        <v>4.3055555555555555E-2</v>
      </c>
      <c r="C788" t="s">
        <v>1582</v>
      </c>
      <c r="D788">
        <v>62</v>
      </c>
      <c r="E788" t="s">
        <v>1314</v>
      </c>
      <c r="F788" t="str">
        <f>_xlfn.XLOOKUP(Log_Reseau_Master[[#This Row],[Cell_ID]],_29_03_2026_Registre_Maintenance_V2[ID_Antenne],_29_03_2026_Registre_Maintenance_V2[Province_RDC],"Pas de correspondance")</f>
        <v>Pas de correspondance</v>
      </c>
      <c r="G788" t="str">
        <f>_xlfn.XLOOKUP(Log_Reseau_Master[[#This Row],[Cell_ID]],_29_03_2026_Registre_Maintenance_V2[ID_Antenne],_29_03_2026_Registre_Maintenance_V2[Technologie],"Pas de correspondance")</f>
        <v>Pas de correspondance</v>
      </c>
      <c r="H788" t="str">
        <f>_xlfn.XLOOKUP(Log_Reseau_Master[[#This Row],[Cell_ID]],_29_03_2026_Registre_Maintenance_V2[ID_Antenne],_29_03_2026_Registre_Maintenance_V2[Equipementier],"Pas de correspondance")</f>
        <v>Pas de correspondance</v>
      </c>
    </row>
    <row r="789" spans="1:8" x14ac:dyDescent="0.25">
      <c r="A789" s="1">
        <v>45215.015972222223</v>
      </c>
      <c r="B789" s="4">
        <f>Log_Reseau_Master[[#This Row],[Duree_Panne_Min]]/1440</f>
        <v>5.1388888888888887E-2</v>
      </c>
      <c r="C789" t="s">
        <v>197</v>
      </c>
      <c r="D789">
        <v>74</v>
      </c>
      <c r="E789" t="s">
        <v>1314</v>
      </c>
      <c r="F789" t="str">
        <f>_xlfn.XLOOKUP(Log_Reseau_Master[[#This Row],[Cell_ID]],_29_03_2026_Registre_Maintenance_V2[ID_Antenne],_29_03_2026_Registre_Maintenance_V2[Province_RDC],"Pas de correspondance")</f>
        <v>Kasai-Central</v>
      </c>
      <c r="G789" t="str">
        <f>_xlfn.XLOOKUP(Log_Reseau_Master[[#This Row],[Cell_ID]],_29_03_2026_Registre_Maintenance_V2[ID_Antenne],_29_03_2026_Registre_Maintenance_V2[Technologie],"Pas de correspondance")</f>
        <v>4G</v>
      </c>
      <c r="H789" t="str">
        <f>_xlfn.XLOOKUP(Log_Reseau_Master[[#This Row],[Cell_ID]],_29_03_2026_Registre_Maintenance_V2[ID_Antenne],_29_03_2026_Registre_Maintenance_V2[Equipementier],"Pas de correspondance")</f>
        <v>Huawei</v>
      </c>
    </row>
    <row r="790" spans="1:8" x14ac:dyDescent="0.25">
      <c r="A790" s="1">
        <v>45213.042361111111</v>
      </c>
      <c r="B790" s="4">
        <f>Log_Reseau_Master[[#This Row],[Duree_Panne_Min]]/1440</f>
        <v>8.2638888888888887E-2</v>
      </c>
      <c r="C790" t="s">
        <v>239</v>
      </c>
      <c r="D790">
        <v>119</v>
      </c>
      <c r="E790" t="s">
        <v>1312</v>
      </c>
      <c r="F790" t="str">
        <f>_xlfn.XLOOKUP(Log_Reseau_Master[[#This Row],[Cell_ID]],_29_03_2026_Registre_Maintenance_V2[ID_Antenne],_29_03_2026_Registre_Maintenance_V2[Province_RDC],"Pas de correspondance")</f>
        <v>Kongo-Central</v>
      </c>
      <c r="G790" t="str">
        <f>_xlfn.XLOOKUP(Log_Reseau_Master[[#This Row],[Cell_ID]],_29_03_2026_Registre_Maintenance_V2[ID_Antenne],_29_03_2026_Registre_Maintenance_V2[Technologie],"Pas de correspondance")</f>
        <v>5G</v>
      </c>
      <c r="H790" t="str">
        <f>_xlfn.XLOOKUP(Log_Reseau_Master[[#This Row],[Cell_ID]],_29_03_2026_Registre_Maintenance_V2[ID_Antenne],_29_03_2026_Registre_Maintenance_V2[Equipementier],"Pas de correspondance")</f>
        <v>Ericsson</v>
      </c>
    </row>
    <row r="791" spans="1:8" x14ac:dyDescent="0.25">
      <c r="A791" s="1">
        <v>45200.925694444442</v>
      </c>
      <c r="B791" s="4">
        <f>Log_Reseau_Master[[#This Row],[Duree_Panne_Min]]/1440</f>
        <v>5.2777777777777778E-2</v>
      </c>
      <c r="C791" t="s">
        <v>239</v>
      </c>
      <c r="D791">
        <v>76</v>
      </c>
      <c r="E791" t="s">
        <v>1321</v>
      </c>
      <c r="F791" t="str">
        <f>_xlfn.XLOOKUP(Log_Reseau_Master[[#This Row],[Cell_ID]],_29_03_2026_Registre_Maintenance_V2[ID_Antenne],_29_03_2026_Registre_Maintenance_V2[Province_RDC],"Pas de correspondance")</f>
        <v>Kongo-Central</v>
      </c>
      <c r="G791" t="str">
        <f>_xlfn.XLOOKUP(Log_Reseau_Master[[#This Row],[Cell_ID]],_29_03_2026_Registre_Maintenance_V2[ID_Antenne],_29_03_2026_Registre_Maintenance_V2[Technologie],"Pas de correspondance")</f>
        <v>5G</v>
      </c>
      <c r="H791" t="str">
        <f>_xlfn.XLOOKUP(Log_Reseau_Master[[#This Row],[Cell_ID]],_29_03_2026_Registre_Maintenance_V2[ID_Antenne],_29_03_2026_Registre_Maintenance_V2[Equipementier],"Pas de correspondance")</f>
        <v>Ericsson</v>
      </c>
    </row>
    <row r="792" spans="1:8" x14ac:dyDescent="0.25">
      <c r="A792" s="1">
        <v>45213.022916666669</v>
      </c>
      <c r="B792" s="4">
        <f>Log_Reseau_Master[[#This Row],[Duree_Panne_Min]]/1440</f>
        <v>3.888888888888889E-2</v>
      </c>
      <c r="C792" t="s">
        <v>239</v>
      </c>
      <c r="D792">
        <v>56</v>
      </c>
      <c r="E792" t="s">
        <v>1321</v>
      </c>
      <c r="F792" t="str">
        <f>_xlfn.XLOOKUP(Log_Reseau_Master[[#This Row],[Cell_ID]],_29_03_2026_Registre_Maintenance_V2[ID_Antenne],_29_03_2026_Registre_Maintenance_V2[Province_RDC],"Pas de correspondance")</f>
        <v>Kongo-Central</v>
      </c>
      <c r="G792" t="str">
        <f>_xlfn.XLOOKUP(Log_Reseau_Master[[#This Row],[Cell_ID]],_29_03_2026_Registre_Maintenance_V2[ID_Antenne],_29_03_2026_Registre_Maintenance_V2[Technologie],"Pas de correspondance")</f>
        <v>5G</v>
      </c>
      <c r="H792" t="str">
        <f>_xlfn.XLOOKUP(Log_Reseau_Master[[#This Row],[Cell_ID]],_29_03_2026_Registre_Maintenance_V2[ID_Antenne],_29_03_2026_Registre_Maintenance_V2[Equipementier],"Pas de correspondance")</f>
        <v>Ericsson</v>
      </c>
    </row>
    <row r="793" spans="1:8" x14ac:dyDescent="0.25">
      <c r="A793" s="1">
        <v>45218.381944444445</v>
      </c>
      <c r="B793" s="4">
        <f>Log_Reseau_Master[[#This Row],[Duree_Panne_Min]]/1440</f>
        <v>5.6250000000000001E-2</v>
      </c>
      <c r="C793" t="s">
        <v>239</v>
      </c>
      <c r="D793">
        <v>81</v>
      </c>
      <c r="E793" t="s">
        <v>1312</v>
      </c>
      <c r="F793" t="str">
        <f>_xlfn.XLOOKUP(Log_Reseau_Master[[#This Row],[Cell_ID]],_29_03_2026_Registre_Maintenance_V2[ID_Antenne],_29_03_2026_Registre_Maintenance_V2[Province_RDC],"Pas de correspondance")</f>
        <v>Kongo-Central</v>
      </c>
      <c r="G793" t="str">
        <f>_xlfn.XLOOKUP(Log_Reseau_Master[[#This Row],[Cell_ID]],_29_03_2026_Registre_Maintenance_V2[ID_Antenne],_29_03_2026_Registre_Maintenance_V2[Technologie],"Pas de correspondance")</f>
        <v>5G</v>
      </c>
      <c r="H793" t="str">
        <f>_xlfn.XLOOKUP(Log_Reseau_Master[[#This Row],[Cell_ID]],_29_03_2026_Registre_Maintenance_V2[ID_Antenne],_29_03_2026_Registre_Maintenance_V2[Equipementier],"Pas de correspondance")</f>
        <v>Ericsson</v>
      </c>
    </row>
    <row r="794" spans="1:8" x14ac:dyDescent="0.25">
      <c r="A794" s="1">
        <v>45219.476388888892</v>
      </c>
      <c r="B794" s="4">
        <f>Log_Reseau_Master[[#This Row],[Duree_Panne_Min]]/1440</f>
        <v>3.9583333333333331E-2</v>
      </c>
      <c r="C794" t="s">
        <v>239</v>
      </c>
      <c r="D794">
        <v>57</v>
      </c>
      <c r="E794" t="s">
        <v>1314</v>
      </c>
      <c r="F794" t="str">
        <f>_xlfn.XLOOKUP(Log_Reseau_Master[[#This Row],[Cell_ID]],_29_03_2026_Registre_Maintenance_V2[ID_Antenne],_29_03_2026_Registre_Maintenance_V2[Province_RDC],"Pas de correspondance")</f>
        <v>Kongo-Central</v>
      </c>
      <c r="G794" t="str">
        <f>_xlfn.XLOOKUP(Log_Reseau_Master[[#This Row],[Cell_ID]],_29_03_2026_Registre_Maintenance_V2[ID_Antenne],_29_03_2026_Registre_Maintenance_V2[Technologie],"Pas de correspondance")</f>
        <v>5G</v>
      </c>
      <c r="H794" t="str">
        <f>_xlfn.XLOOKUP(Log_Reseau_Master[[#This Row],[Cell_ID]],_29_03_2026_Registre_Maintenance_V2[ID_Antenne],_29_03_2026_Registre_Maintenance_V2[Equipementier],"Pas de correspondance")</f>
        <v>Ericsson</v>
      </c>
    </row>
    <row r="795" spans="1:8" x14ac:dyDescent="0.25">
      <c r="A795" s="1">
        <v>45224.552777777775</v>
      </c>
      <c r="B795" s="4">
        <f>Log_Reseau_Master[[#This Row],[Duree_Panne_Min]]/1440</f>
        <v>4.1666666666666664E-2</v>
      </c>
      <c r="C795" t="s">
        <v>205</v>
      </c>
      <c r="D795">
        <v>60</v>
      </c>
      <c r="E795" t="s">
        <v>1312</v>
      </c>
      <c r="F795" t="str">
        <f>_xlfn.XLOOKUP(Log_Reseau_Master[[#This Row],[Cell_ID]],_29_03_2026_Registre_Maintenance_V2[ID_Antenne],_29_03_2026_Registre_Maintenance_V2[Province_RDC],"Pas de correspondance")</f>
        <v>Tanganyika</v>
      </c>
      <c r="G795" t="str">
        <f>_xlfn.XLOOKUP(Log_Reseau_Master[[#This Row],[Cell_ID]],_29_03_2026_Registre_Maintenance_V2[ID_Antenne],_29_03_2026_Registre_Maintenance_V2[Technologie],"Pas de correspondance")</f>
        <v>4G</v>
      </c>
      <c r="H795" t="str">
        <f>_xlfn.XLOOKUP(Log_Reseau_Master[[#This Row],[Cell_ID]],_29_03_2026_Registre_Maintenance_V2[ID_Antenne],_29_03_2026_Registre_Maintenance_V2[Equipementier],"Pas de correspondance")</f>
        <v>ZTE</v>
      </c>
    </row>
    <row r="796" spans="1:8" hidden="1" x14ac:dyDescent="0.25">
      <c r="A796" s="1">
        <v>45218.242361111108</v>
      </c>
      <c r="B796">
        <f>Log_Reseau_Master[[#This Row],[Duree_Panne_Min]]/1440</f>
        <v>4.4444444444444446E-2</v>
      </c>
      <c r="C796" t="s">
        <v>1583</v>
      </c>
      <c r="D796">
        <v>64</v>
      </c>
      <c r="E796" t="s">
        <v>1314</v>
      </c>
      <c r="F796" t="str">
        <f>_xlfn.XLOOKUP(Log_Reseau_Master[[#This Row],[Cell_ID]],_29_03_2026_Registre_Maintenance_V2[ID_Antenne],_29_03_2026_Registre_Maintenance_V2[Province_RDC],"Pas de correspondance")</f>
        <v>Pas de correspondance</v>
      </c>
      <c r="G796" t="str">
        <f>_xlfn.XLOOKUP(Log_Reseau_Master[[#This Row],[Cell_ID]],_29_03_2026_Registre_Maintenance_V2[ID_Antenne],_29_03_2026_Registre_Maintenance_V2[Technologie],"Pas de correspondance")</f>
        <v>Pas de correspondance</v>
      </c>
      <c r="H796" t="str">
        <f>_xlfn.XLOOKUP(Log_Reseau_Master[[#This Row],[Cell_ID]],_29_03_2026_Registre_Maintenance_V2[ID_Antenne],_29_03_2026_Registre_Maintenance_V2[Equipementier],"Pas de correspondance")</f>
        <v>Pas de correspondance</v>
      </c>
    </row>
    <row r="797" spans="1:8" hidden="1" x14ac:dyDescent="0.25">
      <c r="A797" s="1">
        <v>45202.868055555555</v>
      </c>
      <c r="B797">
        <f>Log_Reseau_Master[[#This Row],[Duree_Panne_Min]]/1440</f>
        <v>6.3194444444444442E-2</v>
      </c>
      <c r="C797" t="s">
        <v>1583</v>
      </c>
      <c r="D797">
        <v>91</v>
      </c>
      <c r="E797" t="s">
        <v>1312</v>
      </c>
      <c r="F797" t="str">
        <f>_xlfn.XLOOKUP(Log_Reseau_Master[[#This Row],[Cell_ID]],_29_03_2026_Registre_Maintenance_V2[ID_Antenne],_29_03_2026_Registre_Maintenance_V2[Province_RDC],"Pas de correspondance")</f>
        <v>Pas de correspondance</v>
      </c>
      <c r="G797" t="str">
        <f>_xlfn.XLOOKUP(Log_Reseau_Master[[#This Row],[Cell_ID]],_29_03_2026_Registre_Maintenance_V2[ID_Antenne],_29_03_2026_Registre_Maintenance_V2[Technologie],"Pas de correspondance")</f>
        <v>Pas de correspondance</v>
      </c>
      <c r="H797" t="str">
        <f>_xlfn.XLOOKUP(Log_Reseau_Master[[#This Row],[Cell_ID]],_29_03_2026_Registre_Maintenance_V2[ID_Antenne],_29_03_2026_Registre_Maintenance_V2[Equipementier],"Pas de correspondance")</f>
        <v>Pas de correspondance</v>
      </c>
    </row>
    <row r="798" spans="1:8" hidden="1" x14ac:dyDescent="0.25">
      <c r="A798" s="1">
        <v>45212.624305555553</v>
      </c>
      <c r="B798">
        <f>Log_Reseau_Master[[#This Row],[Duree_Panne_Min]]/1440</f>
        <v>7.8472222222222221E-2</v>
      </c>
      <c r="C798" t="s">
        <v>1583</v>
      </c>
      <c r="D798">
        <v>113</v>
      </c>
      <c r="E798" t="s">
        <v>1321</v>
      </c>
      <c r="F798" t="str">
        <f>_xlfn.XLOOKUP(Log_Reseau_Master[[#This Row],[Cell_ID]],_29_03_2026_Registre_Maintenance_V2[ID_Antenne],_29_03_2026_Registre_Maintenance_V2[Province_RDC],"Pas de correspondance")</f>
        <v>Pas de correspondance</v>
      </c>
      <c r="G798" t="str">
        <f>_xlfn.XLOOKUP(Log_Reseau_Master[[#This Row],[Cell_ID]],_29_03_2026_Registre_Maintenance_V2[ID_Antenne],_29_03_2026_Registre_Maintenance_V2[Technologie],"Pas de correspondance")</f>
        <v>Pas de correspondance</v>
      </c>
      <c r="H798" t="str">
        <f>_xlfn.XLOOKUP(Log_Reseau_Master[[#This Row],[Cell_ID]],_29_03_2026_Registre_Maintenance_V2[ID_Antenne],_29_03_2026_Registre_Maintenance_V2[Equipementier],"Pas de correspondance")</f>
        <v>Pas de correspondance</v>
      </c>
    </row>
    <row r="799" spans="1:8" hidden="1" x14ac:dyDescent="0.25">
      <c r="A799" s="1">
        <v>45221.997916666667</v>
      </c>
      <c r="B799">
        <f>Log_Reseau_Master[[#This Row],[Duree_Panne_Min]]/1440</f>
        <v>5.486111111111111E-2</v>
      </c>
      <c r="C799" t="s">
        <v>1584</v>
      </c>
      <c r="D799">
        <v>79</v>
      </c>
      <c r="E799" t="s">
        <v>1321</v>
      </c>
      <c r="F799" t="str">
        <f>_xlfn.XLOOKUP(Log_Reseau_Master[[#This Row],[Cell_ID]],_29_03_2026_Registre_Maintenance_V2[ID_Antenne],_29_03_2026_Registre_Maintenance_V2[Province_RDC],"Pas de correspondance")</f>
        <v>Pas de correspondance</v>
      </c>
      <c r="G799" t="str">
        <f>_xlfn.XLOOKUP(Log_Reseau_Master[[#This Row],[Cell_ID]],_29_03_2026_Registre_Maintenance_V2[ID_Antenne],_29_03_2026_Registre_Maintenance_V2[Technologie],"Pas de correspondance")</f>
        <v>Pas de correspondance</v>
      </c>
      <c r="H799" t="str">
        <f>_xlfn.XLOOKUP(Log_Reseau_Master[[#This Row],[Cell_ID]],_29_03_2026_Registre_Maintenance_V2[ID_Antenne],_29_03_2026_Registre_Maintenance_V2[Equipementier],"Pas de correspondance")</f>
        <v>Pas de correspondance</v>
      </c>
    </row>
    <row r="800" spans="1:8" hidden="1" x14ac:dyDescent="0.25">
      <c r="A800" s="1">
        <v>45207.304861111108</v>
      </c>
      <c r="B800">
        <f>Log_Reseau_Master[[#This Row],[Duree_Panne_Min]]/1440</f>
        <v>3.4722222222222224E-2</v>
      </c>
      <c r="C800" t="s">
        <v>1584</v>
      </c>
      <c r="D800">
        <v>50</v>
      </c>
      <c r="E800" t="s">
        <v>1312</v>
      </c>
      <c r="F800" t="str">
        <f>_xlfn.XLOOKUP(Log_Reseau_Master[[#This Row],[Cell_ID]],_29_03_2026_Registre_Maintenance_V2[ID_Antenne],_29_03_2026_Registre_Maintenance_V2[Province_RDC],"Pas de correspondance")</f>
        <v>Pas de correspondance</v>
      </c>
      <c r="G800" t="str">
        <f>_xlfn.XLOOKUP(Log_Reseau_Master[[#This Row],[Cell_ID]],_29_03_2026_Registre_Maintenance_V2[ID_Antenne],_29_03_2026_Registre_Maintenance_V2[Technologie],"Pas de correspondance")</f>
        <v>Pas de correspondance</v>
      </c>
      <c r="H800" t="str">
        <f>_xlfn.XLOOKUP(Log_Reseau_Master[[#This Row],[Cell_ID]],_29_03_2026_Registre_Maintenance_V2[ID_Antenne],_29_03_2026_Registre_Maintenance_V2[Equipementier],"Pas de correspondance")</f>
        <v>Pas de correspondance</v>
      </c>
    </row>
    <row r="801" spans="1:8" hidden="1" x14ac:dyDescent="0.25">
      <c r="A801" s="1">
        <v>45202.686111111114</v>
      </c>
      <c r="B801">
        <f>Log_Reseau_Master[[#This Row],[Duree_Panne_Min]]/1440</f>
        <v>3.6805555555555557E-2</v>
      </c>
      <c r="C801" t="s">
        <v>1585</v>
      </c>
      <c r="D801">
        <v>53</v>
      </c>
      <c r="E801" t="s">
        <v>1314</v>
      </c>
      <c r="F801" t="str">
        <f>_xlfn.XLOOKUP(Log_Reseau_Master[[#This Row],[Cell_ID]],_29_03_2026_Registre_Maintenance_V2[ID_Antenne],_29_03_2026_Registre_Maintenance_V2[Province_RDC],"Pas de correspondance")</f>
        <v>Pas de correspondance</v>
      </c>
      <c r="G801" t="str">
        <f>_xlfn.XLOOKUP(Log_Reseau_Master[[#This Row],[Cell_ID]],_29_03_2026_Registre_Maintenance_V2[ID_Antenne],_29_03_2026_Registre_Maintenance_V2[Technologie],"Pas de correspondance")</f>
        <v>Pas de correspondance</v>
      </c>
      <c r="H801" t="str">
        <f>_xlfn.XLOOKUP(Log_Reseau_Master[[#This Row],[Cell_ID]],_29_03_2026_Registre_Maintenance_V2[ID_Antenne],_29_03_2026_Registre_Maintenance_V2[Equipementier],"Pas de correspondance")</f>
        <v>Pas de correspondance</v>
      </c>
    </row>
    <row r="802" spans="1:8" hidden="1" x14ac:dyDescent="0.25">
      <c r="A802" s="1">
        <v>45201.95416666667</v>
      </c>
      <c r="B802">
        <f>Log_Reseau_Master[[#This Row],[Duree_Panne_Min]]/1440</f>
        <v>2.2222222222222223E-2</v>
      </c>
      <c r="C802" t="s">
        <v>1586</v>
      </c>
      <c r="D802">
        <v>32</v>
      </c>
      <c r="E802" t="s">
        <v>1312</v>
      </c>
      <c r="F802" t="str">
        <f>_xlfn.XLOOKUP(Log_Reseau_Master[[#This Row],[Cell_ID]],_29_03_2026_Registre_Maintenance_V2[ID_Antenne],_29_03_2026_Registre_Maintenance_V2[Province_RDC],"Pas de correspondance")</f>
        <v>Pas de correspondance</v>
      </c>
      <c r="G802" t="str">
        <f>_xlfn.XLOOKUP(Log_Reseau_Master[[#This Row],[Cell_ID]],_29_03_2026_Registre_Maintenance_V2[ID_Antenne],_29_03_2026_Registre_Maintenance_V2[Technologie],"Pas de correspondance")</f>
        <v>Pas de correspondance</v>
      </c>
      <c r="H802" t="str">
        <f>_xlfn.XLOOKUP(Log_Reseau_Master[[#This Row],[Cell_ID]],_29_03_2026_Registre_Maintenance_V2[ID_Antenne],_29_03_2026_Registre_Maintenance_V2[Equipementier],"Pas de correspondance")</f>
        <v>Pas de correspondance</v>
      </c>
    </row>
    <row r="803" spans="1:8" x14ac:dyDescent="0.25">
      <c r="A803" s="1">
        <v>45211.128472222219</v>
      </c>
      <c r="B803" s="4">
        <f>Log_Reseau_Master[[#This Row],[Duree_Panne_Min]]/1440</f>
        <v>7.6388888888888895E-2</v>
      </c>
      <c r="C803" t="s">
        <v>40</v>
      </c>
      <c r="D803">
        <v>110</v>
      </c>
      <c r="E803" t="s">
        <v>1312</v>
      </c>
      <c r="F803" t="str">
        <f>_xlfn.XLOOKUP(Log_Reseau_Master[[#This Row],[Cell_ID]],_29_03_2026_Registre_Maintenance_V2[ID_Antenne],_29_03_2026_Registre_Maintenance_V2[Province_RDC],"Pas de correspondance")</f>
        <v>Sud-Kivu</v>
      </c>
      <c r="G803" t="str">
        <f>_xlfn.XLOOKUP(Log_Reseau_Master[[#This Row],[Cell_ID]],_29_03_2026_Registre_Maintenance_V2[ID_Antenne],_29_03_2026_Registre_Maintenance_V2[Technologie],"Pas de correspondance")</f>
        <v>5G</v>
      </c>
      <c r="H803" t="str">
        <f>_xlfn.XLOOKUP(Log_Reseau_Master[[#This Row],[Cell_ID]],_29_03_2026_Registre_Maintenance_V2[ID_Antenne],_29_03_2026_Registre_Maintenance_V2[Equipementier],"Pas de correspondance")</f>
        <v>Ericsson</v>
      </c>
    </row>
    <row r="804" spans="1:8" x14ac:dyDescent="0.25">
      <c r="A804" s="1">
        <v>45207.070833333331</v>
      </c>
      <c r="B804" s="4">
        <f>Log_Reseau_Master[[#This Row],[Duree_Panne_Min]]/1440</f>
        <v>6.5277777777777782E-2</v>
      </c>
      <c r="C804" t="s">
        <v>240</v>
      </c>
      <c r="D804">
        <v>94</v>
      </c>
      <c r="E804" t="s">
        <v>1312</v>
      </c>
      <c r="F804" t="str">
        <f>_xlfn.XLOOKUP(Log_Reseau_Master[[#This Row],[Cell_ID]],_29_03_2026_Registre_Maintenance_V2[ID_Antenne],_29_03_2026_Registre_Maintenance_V2[Province_RDC],"Pas de correspondance")</f>
        <v>Equateur</v>
      </c>
      <c r="G804" t="str">
        <f>_xlfn.XLOOKUP(Log_Reseau_Master[[#This Row],[Cell_ID]],_29_03_2026_Registre_Maintenance_V2[ID_Antenne],_29_03_2026_Registre_Maintenance_V2[Technologie],"Pas de correspondance")</f>
        <v>5G</v>
      </c>
      <c r="H804" t="str">
        <f>_xlfn.XLOOKUP(Log_Reseau_Master[[#This Row],[Cell_ID]],_29_03_2026_Registre_Maintenance_V2[ID_Antenne],_29_03_2026_Registre_Maintenance_V2[Equipementier],"Pas de correspondance")</f>
        <v>Ericsson</v>
      </c>
    </row>
    <row r="805" spans="1:8" x14ac:dyDescent="0.25">
      <c r="A805" s="1">
        <v>45221.724999999999</v>
      </c>
      <c r="B805" s="4">
        <f>Log_Reseau_Master[[#This Row],[Duree_Panne_Min]]/1440</f>
        <v>3.8194444444444448E-2</v>
      </c>
      <c r="C805" t="s">
        <v>118</v>
      </c>
      <c r="D805">
        <v>55</v>
      </c>
      <c r="E805" t="s">
        <v>1312</v>
      </c>
      <c r="F805" t="str">
        <f>_xlfn.XLOOKUP(Log_Reseau_Master[[#This Row],[Cell_ID]],_29_03_2026_Registre_Maintenance_V2[ID_Antenne],_29_03_2026_Registre_Maintenance_V2[Province_RDC],"Pas de correspondance")</f>
        <v>Kasai-Oriental</v>
      </c>
      <c r="G805" t="str">
        <f>_xlfn.XLOOKUP(Log_Reseau_Master[[#This Row],[Cell_ID]],_29_03_2026_Registre_Maintenance_V2[ID_Antenne],_29_03_2026_Registre_Maintenance_V2[Technologie],"Pas de correspondance")</f>
        <v>3G</v>
      </c>
      <c r="H805" t="str">
        <f>_xlfn.XLOOKUP(Log_Reseau_Master[[#This Row],[Cell_ID]],_29_03_2026_Registre_Maintenance_V2[ID_Antenne],_29_03_2026_Registre_Maintenance_V2[Equipementier],"Pas de correspondance")</f>
        <v>Ericsson</v>
      </c>
    </row>
    <row r="806" spans="1:8" x14ac:dyDescent="0.25">
      <c r="A806" s="1">
        <v>45203.603472222225</v>
      </c>
      <c r="B806" s="4">
        <f>Log_Reseau_Master[[#This Row],[Duree_Panne_Min]]/1440</f>
        <v>7.3611111111111113E-2</v>
      </c>
      <c r="C806" t="s">
        <v>495</v>
      </c>
      <c r="D806">
        <v>106</v>
      </c>
      <c r="E806" t="s">
        <v>1312</v>
      </c>
      <c r="F806" t="str">
        <f>_xlfn.XLOOKUP(Log_Reseau_Master[[#This Row],[Cell_ID]],_29_03_2026_Registre_Maintenance_V2[ID_Antenne],_29_03_2026_Registre_Maintenance_V2[Province_RDC],"Pas de correspondance")</f>
        <v>Haut-Katanga</v>
      </c>
      <c r="G806" t="str">
        <f>_xlfn.XLOOKUP(Log_Reseau_Master[[#This Row],[Cell_ID]],_29_03_2026_Registre_Maintenance_V2[ID_Antenne],_29_03_2026_Registre_Maintenance_V2[Technologie],"Pas de correspondance")</f>
        <v>5G</v>
      </c>
      <c r="H806" t="str">
        <f>_xlfn.XLOOKUP(Log_Reseau_Master[[#This Row],[Cell_ID]],_29_03_2026_Registre_Maintenance_V2[ID_Antenne],_29_03_2026_Registre_Maintenance_V2[Equipementier],"Pas de correspondance")</f>
        <v>Huawei</v>
      </c>
    </row>
    <row r="807" spans="1:8" x14ac:dyDescent="0.25">
      <c r="A807" s="1">
        <v>45221.647916666669</v>
      </c>
      <c r="B807" s="4">
        <f>Log_Reseau_Master[[#This Row],[Duree_Panne_Min]]/1440</f>
        <v>4.6527777777777779E-2</v>
      </c>
      <c r="C807" t="s">
        <v>117</v>
      </c>
      <c r="D807">
        <v>67</v>
      </c>
      <c r="E807" t="s">
        <v>1314</v>
      </c>
      <c r="F807" t="str">
        <f>_xlfn.XLOOKUP(Log_Reseau_Master[[#This Row],[Cell_ID]],_29_03_2026_Registre_Maintenance_V2[ID_Antenne],_29_03_2026_Registre_Maintenance_V2[Province_RDC],"Pas de correspondance")</f>
        <v>Haut-Uele</v>
      </c>
      <c r="G807" t="str">
        <f>_xlfn.XLOOKUP(Log_Reseau_Master[[#This Row],[Cell_ID]],_29_03_2026_Registre_Maintenance_V2[ID_Antenne],_29_03_2026_Registre_Maintenance_V2[Technologie],"Pas de correspondance")</f>
        <v>3G</v>
      </c>
      <c r="H807" t="str">
        <f>_xlfn.XLOOKUP(Log_Reseau_Master[[#This Row],[Cell_ID]],_29_03_2026_Registre_Maintenance_V2[ID_Antenne],_29_03_2026_Registre_Maintenance_V2[Equipementier],"Pas de correspondance")</f>
        <v>Nokia</v>
      </c>
    </row>
    <row r="808" spans="1:8" hidden="1" x14ac:dyDescent="0.25">
      <c r="A808" s="1">
        <v>45217.29583333333</v>
      </c>
      <c r="B808">
        <f>Log_Reseau_Master[[#This Row],[Duree_Panne_Min]]/1440</f>
        <v>8.2638888888888887E-2</v>
      </c>
      <c r="C808" t="s">
        <v>1587</v>
      </c>
      <c r="D808">
        <v>119</v>
      </c>
      <c r="E808" t="s">
        <v>1314</v>
      </c>
      <c r="F808" t="str">
        <f>_xlfn.XLOOKUP(Log_Reseau_Master[[#This Row],[Cell_ID]],_29_03_2026_Registre_Maintenance_V2[ID_Antenne],_29_03_2026_Registre_Maintenance_V2[Province_RDC],"Pas de correspondance")</f>
        <v>Pas de correspondance</v>
      </c>
      <c r="G808" t="str">
        <f>_xlfn.XLOOKUP(Log_Reseau_Master[[#This Row],[Cell_ID]],_29_03_2026_Registre_Maintenance_V2[ID_Antenne],_29_03_2026_Registre_Maintenance_V2[Technologie],"Pas de correspondance")</f>
        <v>Pas de correspondance</v>
      </c>
      <c r="H808" t="str">
        <f>_xlfn.XLOOKUP(Log_Reseau_Master[[#This Row],[Cell_ID]],_29_03_2026_Registre_Maintenance_V2[ID_Antenne],_29_03_2026_Registre_Maintenance_V2[Equipementier],"Pas de correspondance")</f>
        <v>Pas de correspondance</v>
      </c>
    </row>
    <row r="809" spans="1:8" hidden="1" x14ac:dyDescent="0.25">
      <c r="A809" s="1">
        <v>45222.938194444447</v>
      </c>
      <c r="B809">
        <f>Log_Reseau_Master[[#This Row],[Duree_Panne_Min]]/1440</f>
        <v>2.5000000000000001E-2</v>
      </c>
      <c r="C809" t="s">
        <v>1588</v>
      </c>
      <c r="D809">
        <v>36</v>
      </c>
      <c r="E809" t="s">
        <v>1314</v>
      </c>
      <c r="F809" t="str">
        <f>_xlfn.XLOOKUP(Log_Reseau_Master[[#This Row],[Cell_ID]],_29_03_2026_Registre_Maintenance_V2[ID_Antenne],_29_03_2026_Registre_Maintenance_V2[Province_RDC],"Pas de correspondance")</f>
        <v>Pas de correspondance</v>
      </c>
      <c r="G809" t="str">
        <f>_xlfn.XLOOKUP(Log_Reseau_Master[[#This Row],[Cell_ID]],_29_03_2026_Registre_Maintenance_V2[ID_Antenne],_29_03_2026_Registre_Maintenance_V2[Technologie],"Pas de correspondance")</f>
        <v>Pas de correspondance</v>
      </c>
      <c r="H809" t="str">
        <f>_xlfn.XLOOKUP(Log_Reseau_Master[[#This Row],[Cell_ID]],_29_03_2026_Registre_Maintenance_V2[ID_Antenne],_29_03_2026_Registre_Maintenance_V2[Equipementier],"Pas de correspondance")</f>
        <v>Pas de correspondance</v>
      </c>
    </row>
    <row r="810" spans="1:8" x14ac:dyDescent="0.25">
      <c r="A810" s="1">
        <v>45213.948611111111</v>
      </c>
      <c r="B810" s="4">
        <f>Log_Reseau_Master[[#This Row],[Duree_Panne_Min]]/1440</f>
        <v>0.05</v>
      </c>
      <c r="C810" t="s">
        <v>153</v>
      </c>
      <c r="D810">
        <v>72</v>
      </c>
      <c r="E810" t="s">
        <v>1312</v>
      </c>
      <c r="F810" t="str">
        <f>_xlfn.XLOOKUP(Log_Reseau_Master[[#This Row],[Cell_ID]],_29_03_2026_Registre_Maintenance_V2[ID_Antenne],_29_03_2026_Registre_Maintenance_V2[Province_RDC],"Pas de correspondance")</f>
        <v>Sankuru</v>
      </c>
      <c r="G810" t="str">
        <f>_xlfn.XLOOKUP(Log_Reseau_Master[[#This Row],[Cell_ID]],_29_03_2026_Registre_Maintenance_V2[ID_Antenne],_29_03_2026_Registre_Maintenance_V2[Technologie],"Pas de correspondance")</f>
        <v>4G</v>
      </c>
      <c r="H810" t="str">
        <f>_xlfn.XLOOKUP(Log_Reseau_Master[[#This Row],[Cell_ID]],_29_03_2026_Registre_Maintenance_V2[ID_Antenne],_29_03_2026_Registre_Maintenance_V2[Equipementier],"Pas de correspondance")</f>
        <v>Nokia</v>
      </c>
    </row>
    <row r="811" spans="1:8" hidden="1" x14ac:dyDescent="0.25">
      <c r="A811" s="1">
        <v>45211.38958333333</v>
      </c>
      <c r="B811">
        <f>Log_Reseau_Master[[#This Row],[Duree_Panne_Min]]/1440</f>
        <v>5.2777777777777778E-2</v>
      </c>
      <c r="C811" t="s">
        <v>1589</v>
      </c>
      <c r="D811">
        <v>76</v>
      </c>
      <c r="E811" t="s">
        <v>1312</v>
      </c>
      <c r="F811" t="str">
        <f>_xlfn.XLOOKUP(Log_Reseau_Master[[#This Row],[Cell_ID]],_29_03_2026_Registre_Maintenance_V2[ID_Antenne],_29_03_2026_Registre_Maintenance_V2[Province_RDC],"Pas de correspondance")</f>
        <v>Pas de correspondance</v>
      </c>
      <c r="G811" t="str">
        <f>_xlfn.XLOOKUP(Log_Reseau_Master[[#This Row],[Cell_ID]],_29_03_2026_Registre_Maintenance_V2[ID_Antenne],_29_03_2026_Registre_Maintenance_V2[Technologie],"Pas de correspondance")</f>
        <v>Pas de correspondance</v>
      </c>
      <c r="H811" t="str">
        <f>_xlfn.XLOOKUP(Log_Reseau_Master[[#This Row],[Cell_ID]],_29_03_2026_Registre_Maintenance_V2[ID_Antenne],_29_03_2026_Registre_Maintenance_V2[Equipementier],"Pas de correspondance")</f>
        <v>Pas de correspondance</v>
      </c>
    </row>
    <row r="812" spans="1:8" hidden="1" x14ac:dyDescent="0.25">
      <c r="A812" s="1">
        <v>45212.929166666669</v>
      </c>
      <c r="B812">
        <f>Log_Reseau_Master[[#This Row],[Duree_Panne_Min]]/1440</f>
        <v>8.1944444444444445E-2</v>
      </c>
      <c r="C812" t="s">
        <v>1590</v>
      </c>
      <c r="D812">
        <v>118</v>
      </c>
      <c r="E812" t="s">
        <v>1321</v>
      </c>
      <c r="F812" t="str">
        <f>_xlfn.XLOOKUP(Log_Reseau_Master[[#This Row],[Cell_ID]],_29_03_2026_Registre_Maintenance_V2[ID_Antenne],_29_03_2026_Registre_Maintenance_V2[Province_RDC],"Pas de correspondance")</f>
        <v>Pas de correspondance</v>
      </c>
      <c r="G812" t="str">
        <f>_xlfn.XLOOKUP(Log_Reseau_Master[[#This Row],[Cell_ID]],_29_03_2026_Registre_Maintenance_V2[ID_Antenne],_29_03_2026_Registre_Maintenance_V2[Technologie],"Pas de correspondance")</f>
        <v>Pas de correspondance</v>
      </c>
      <c r="H812" t="str">
        <f>_xlfn.XLOOKUP(Log_Reseau_Master[[#This Row],[Cell_ID]],_29_03_2026_Registre_Maintenance_V2[ID_Antenne],_29_03_2026_Registre_Maintenance_V2[Equipementier],"Pas de correspondance")</f>
        <v>Pas de correspondance</v>
      </c>
    </row>
    <row r="813" spans="1:8" hidden="1" x14ac:dyDescent="0.25">
      <c r="A813" s="1">
        <v>45215.811111111114</v>
      </c>
      <c r="B813">
        <f>Log_Reseau_Master[[#This Row],[Duree_Panne_Min]]/1440</f>
        <v>4.8611111111111112E-3</v>
      </c>
      <c r="C813" t="s">
        <v>1591</v>
      </c>
      <c r="D813">
        <v>7</v>
      </c>
      <c r="E813" t="s">
        <v>1321</v>
      </c>
      <c r="F813" t="str">
        <f>_xlfn.XLOOKUP(Log_Reseau_Master[[#This Row],[Cell_ID]],_29_03_2026_Registre_Maintenance_V2[ID_Antenne],_29_03_2026_Registre_Maintenance_V2[Province_RDC],"Pas de correspondance")</f>
        <v>Pas de correspondance</v>
      </c>
      <c r="G813" t="str">
        <f>_xlfn.XLOOKUP(Log_Reseau_Master[[#This Row],[Cell_ID]],_29_03_2026_Registre_Maintenance_V2[ID_Antenne],_29_03_2026_Registre_Maintenance_V2[Technologie],"Pas de correspondance")</f>
        <v>Pas de correspondance</v>
      </c>
      <c r="H813" t="str">
        <f>_xlfn.XLOOKUP(Log_Reseau_Master[[#This Row],[Cell_ID]],_29_03_2026_Registre_Maintenance_V2[ID_Antenne],_29_03_2026_Registre_Maintenance_V2[Equipementier],"Pas de correspondance")</f>
        <v>Pas de correspondance</v>
      </c>
    </row>
    <row r="814" spans="1:8" hidden="1" x14ac:dyDescent="0.25">
      <c r="A814" s="1">
        <v>45215.143750000003</v>
      </c>
      <c r="B814">
        <f>Log_Reseau_Master[[#This Row],[Duree_Panne_Min]]/1440</f>
        <v>7.4305555555555555E-2</v>
      </c>
      <c r="C814" t="s">
        <v>1591</v>
      </c>
      <c r="D814">
        <v>107</v>
      </c>
      <c r="E814" t="s">
        <v>1312</v>
      </c>
      <c r="F814" t="str">
        <f>_xlfn.XLOOKUP(Log_Reseau_Master[[#This Row],[Cell_ID]],_29_03_2026_Registre_Maintenance_V2[ID_Antenne],_29_03_2026_Registre_Maintenance_V2[Province_RDC],"Pas de correspondance")</f>
        <v>Pas de correspondance</v>
      </c>
      <c r="G814" t="str">
        <f>_xlfn.XLOOKUP(Log_Reseau_Master[[#This Row],[Cell_ID]],_29_03_2026_Registre_Maintenance_V2[ID_Antenne],_29_03_2026_Registre_Maintenance_V2[Technologie],"Pas de correspondance")</f>
        <v>Pas de correspondance</v>
      </c>
      <c r="H814" t="str">
        <f>_xlfn.XLOOKUP(Log_Reseau_Master[[#This Row],[Cell_ID]],_29_03_2026_Registre_Maintenance_V2[ID_Antenne],_29_03_2026_Registre_Maintenance_V2[Equipementier],"Pas de correspondance")</f>
        <v>Pas de correspondance</v>
      </c>
    </row>
    <row r="815" spans="1:8" hidden="1" x14ac:dyDescent="0.25">
      <c r="A815" s="1">
        <v>45218.906944444447</v>
      </c>
      <c r="B815">
        <f>Log_Reseau_Master[[#This Row],[Duree_Panne_Min]]/1440</f>
        <v>5.5555555555555558E-3</v>
      </c>
      <c r="C815" t="s">
        <v>1592</v>
      </c>
      <c r="D815">
        <v>8</v>
      </c>
      <c r="E815" t="s">
        <v>1321</v>
      </c>
      <c r="F815" t="str">
        <f>_xlfn.XLOOKUP(Log_Reseau_Master[[#This Row],[Cell_ID]],_29_03_2026_Registre_Maintenance_V2[ID_Antenne],_29_03_2026_Registre_Maintenance_V2[Province_RDC],"Pas de correspondance")</f>
        <v>Pas de correspondance</v>
      </c>
      <c r="G815" t="str">
        <f>_xlfn.XLOOKUP(Log_Reseau_Master[[#This Row],[Cell_ID]],_29_03_2026_Registre_Maintenance_V2[ID_Antenne],_29_03_2026_Registre_Maintenance_V2[Technologie],"Pas de correspondance")</f>
        <v>Pas de correspondance</v>
      </c>
      <c r="H815" t="str">
        <f>_xlfn.XLOOKUP(Log_Reseau_Master[[#This Row],[Cell_ID]],_29_03_2026_Registre_Maintenance_V2[ID_Antenne],_29_03_2026_Registre_Maintenance_V2[Equipementier],"Pas de correspondance")</f>
        <v>Pas de correspondance</v>
      </c>
    </row>
    <row r="816" spans="1:8" hidden="1" x14ac:dyDescent="0.25">
      <c r="A816" s="1">
        <v>45223.102083333331</v>
      </c>
      <c r="B816">
        <f>Log_Reseau_Master[[#This Row],[Duree_Panne_Min]]/1440</f>
        <v>7.2222222222222215E-2</v>
      </c>
      <c r="C816" t="s">
        <v>1592</v>
      </c>
      <c r="D816">
        <v>104</v>
      </c>
      <c r="E816" t="s">
        <v>1312</v>
      </c>
      <c r="F816" t="str">
        <f>_xlfn.XLOOKUP(Log_Reseau_Master[[#This Row],[Cell_ID]],_29_03_2026_Registre_Maintenance_V2[ID_Antenne],_29_03_2026_Registre_Maintenance_V2[Province_RDC],"Pas de correspondance")</f>
        <v>Pas de correspondance</v>
      </c>
      <c r="G816" t="str">
        <f>_xlfn.XLOOKUP(Log_Reseau_Master[[#This Row],[Cell_ID]],_29_03_2026_Registre_Maintenance_V2[ID_Antenne],_29_03_2026_Registre_Maintenance_V2[Technologie],"Pas de correspondance")</f>
        <v>Pas de correspondance</v>
      </c>
      <c r="H816" t="str">
        <f>_xlfn.XLOOKUP(Log_Reseau_Master[[#This Row],[Cell_ID]],_29_03_2026_Registre_Maintenance_V2[ID_Antenne],_29_03_2026_Registre_Maintenance_V2[Equipementier],"Pas de correspondance")</f>
        <v>Pas de correspondance</v>
      </c>
    </row>
    <row r="817" spans="1:8" hidden="1" x14ac:dyDescent="0.25">
      <c r="A817" s="1">
        <v>45201.04583333333</v>
      </c>
      <c r="B817">
        <f>Log_Reseau_Master[[#This Row],[Duree_Panne_Min]]/1440</f>
        <v>5.7638888888888892E-2</v>
      </c>
      <c r="C817" t="s">
        <v>1592</v>
      </c>
      <c r="D817">
        <v>83</v>
      </c>
      <c r="E817" t="s">
        <v>1312</v>
      </c>
      <c r="F817" t="str">
        <f>_xlfn.XLOOKUP(Log_Reseau_Master[[#This Row],[Cell_ID]],_29_03_2026_Registre_Maintenance_V2[ID_Antenne],_29_03_2026_Registre_Maintenance_V2[Province_RDC],"Pas de correspondance")</f>
        <v>Pas de correspondance</v>
      </c>
      <c r="G817" t="str">
        <f>_xlfn.XLOOKUP(Log_Reseau_Master[[#This Row],[Cell_ID]],_29_03_2026_Registre_Maintenance_V2[ID_Antenne],_29_03_2026_Registre_Maintenance_V2[Technologie],"Pas de correspondance")</f>
        <v>Pas de correspondance</v>
      </c>
      <c r="H817" t="str">
        <f>_xlfn.XLOOKUP(Log_Reseau_Master[[#This Row],[Cell_ID]],_29_03_2026_Registre_Maintenance_V2[ID_Antenne],_29_03_2026_Registre_Maintenance_V2[Equipementier],"Pas de correspondance")</f>
        <v>Pas de correspondance</v>
      </c>
    </row>
    <row r="818" spans="1:8" x14ac:dyDescent="0.25">
      <c r="A818" s="1">
        <v>45210.168055555558</v>
      </c>
      <c r="B818" s="4">
        <f>Log_Reseau_Master[[#This Row],[Duree_Panne_Min]]/1440</f>
        <v>7.6388888888888895E-2</v>
      </c>
      <c r="C818" t="s">
        <v>332</v>
      </c>
      <c r="D818">
        <v>110</v>
      </c>
      <c r="E818" t="s">
        <v>1314</v>
      </c>
      <c r="F818" t="str">
        <f>_xlfn.XLOOKUP(Log_Reseau_Master[[#This Row],[Cell_ID]],_29_03_2026_Registre_Maintenance_V2[ID_Antenne],_29_03_2026_Registre_Maintenance_V2[Province_RDC],"Pas de correspondance")</f>
        <v>Tanganyika</v>
      </c>
      <c r="G818" t="str">
        <f>_xlfn.XLOOKUP(Log_Reseau_Master[[#This Row],[Cell_ID]],_29_03_2026_Registre_Maintenance_V2[ID_Antenne],_29_03_2026_Registre_Maintenance_V2[Technologie],"Pas de correspondance")</f>
        <v>4G</v>
      </c>
      <c r="H818" t="str">
        <f>_xlfn.XLOOKUP(Log_Reseau_Master[[#This Row],[Cell_ID]],_29_03_2026_Registre_Maintenance_V2[ID_Antenne],_29_03_2026_Registre_Maintenance_V2[Equipementier],"Pas de correspondance")</f>
        <v>Huawei</v>
      </c>
    </row>
    <row r="819" spans="1:8" x14ac:dyDescent="0.25">
      <c r="A819" s="1">
        <v>45212.754861111112</v>
      </c>
      <c r="B819" s="4">
        <f>Log_Reseau_Master[[#This Row],[Duree_Panne_Min]]/1440</f>
        <v>7.7777777777777779E-2</v>
      </c>
      <c r="C819" t="s">
        <v>540</v>
      </c>
      <c r="D819">
        <v>112</v>
      </c>
      <c r="E819" t="s">
        <v>1321</v>
      </c>
      <c r="F819" t="str">
        <f>_xlfn.XLOOKUP(Log_Reseau_Master[[#This Row],[Cell_ID]],_29_03_2026_Registre_Maintenance_V2[ID_Antenne],_29_03_2026_Registre_Maintenance_V2[Province_RDC],"Pas de correspondance")</f>
        <v>Kwilu</v>
      </c>
      <c r="G819" t="str">
        <f>_xlfn.XLOOKUP(Log_Reseau_Master[[#This Row],[Cell_ID]],_29_03_2026_Registre_Maintenance_V2[ID_Antenne],_29_03_2026_Registre_Maintenance_V2[Technologie],"Pas de correspondance")</f>
        <v>4G</v>
      </c>
      <c r="H819" t="str">
        <f>_xlfn.XLOOKUP(Log_Reseau_Master[[#This Row],[Cell_ID]],_29_03_2026_Registre_Maintenance_V2[ID_Antenne],_29_03_2026_Registre_Maintenance_V2[Equipementier],"Pas de correspondance")</f>
        <v>Ericsson</v>
      </c>
    </row>
    <row r="820" spans="1:8" x14ac:dyDescent="0.25">
      <c r="A820" s="1">
        <v>45221.167361111111</v>
      </c>
      <c r="B820" s="4">
        <f>Log_Reseau_Master[[#This Row],[Duree_Panne_Min]]/1440</f>
        <v>5.4166666666666669E-2</v>
      </c>
      <c r="C820" t="s">
        <v>540</v>
      </c>
      <c r="D820">
        <v>78</v>
      </c>
      <c r="E820" t="s">
        <v>1312</v>
      </c>
      <c r="F820" t="str">
        <f>_xlfn.XLOOKUP(Log_Reseau_Master[[#This Row],[Cell_ID]],_29_03_2026_Registre_Maintenance_V2[ID_Antenne],_29_03_2026_Registre_Maintenance_V2[Province_RDC],"Pas de correspondance")</f>
        <v>Kwilu</v>
      </c>
      <c r="G820" t="str">
        <f>_xlfn.XLOOKUP(Log_Reseau_Master[[#This Row],[Cell_ID]],_29_03_2026_Registre_Maintenance_V2[ID_Antenne],_29_03_2026_Registre_Maintenance_V2[Technologie],"Pas de correspondance")</f>
        <v>4G</v>
      </c>
      <c r="H820" t="str">
        <f>_xlfn.XLOOKUP(Log_Reseau_Master[[#This Row],[Cell_ID]],_29_03_2026_Registre_Maintenance_V2[ID_Antenne],_29_03_2026_Registre_Maintenance_V2[Equipementier],"Pas de correspondance")</f>
        <v>Ericsson</v>
      </c>
    </row>
    <row r="821" spans="1:8" x14ac:dyDescent="0.25">
      <c r="A821" s="1">
        <v>45209.524305555555</v>
      </c>
      <c r="B821" s="4">
        <f>Log_Reseau_Master[[#This Row],[Duree_Panne_Min]]/1440</f>
        <v>1.8749999999999999E-2</v>
      </c>
      <c r="C821" t="s">
        <v>540</v>
      </c>
      <c r="D821">
        <v>27</v>
      </c>
      <c r="E821" t="s">
        <v>1321</v>
      </c>
      <c r="F821" t="str">
        <f>_xlfn.XLOOKUP(Log_Reseau_Master[[#This Row],[Cell_ID]],_29_03_2026_Registre_Maintenance_V2[ID_Antenne],_29_03_2026_Registre_Maintenance_V2[Province_RDC],"Pas de correspondance")</f>
        <v>Kwilu</v>
      </c>
      <c r="G821" t="str">
        <f>_xlfn.XLOOKUP(Log_Reseau_Master[[#This Row],[Cell_ID]],_29_03_2026_Registre_Maintenance_V2[ID_Antenne],_29_03_2026_Registre_Maintenance_V2[Technologie],"Pas de correspondance")</f>
        <v>4G</v>
      </c>
      <c r="H821" t="str">
        <f>_xlfn.XLOOKUP(Log_Reseau_Master[[#This Row],[Cell_ID]],_29_03_2026_Registre_Maintenance_V2[ID_Antenne],_29_03_2026_Registre_Maintenance_V2[Equipementier],"Pas de correspondance")</f>
        <v>Ericsson</v>
      </c>
    </row>
    <row r="822" spans="1:8" hidden="1" x14ac:dyDescent="0.25">
      <c r="A822" s="1">
        <v>45230.767361111109</v>
      </c>
      <c r="B822">
        <f>Log_Reseau_Master[[#This Row],[Duree_Panne_Min]]/1440</f>
        <v>1.1111111111111112E-2</v>
      </c>
      <c r="C822" t="s">
        <v>1593</v>
      </c>
      <c r="D822">
        <v>16</v>
      </c>
      <c r="E822" t="s">
        <v>1321</v>
      </c>
      <c r="F822" t="str">
        <f>_xlfn.XLOOKUP(Log_Reseau_Master[[#This Row],[Cell_ID]],_29_03_2026_Registre_Maintenance_V2[ID_Antenne],_29_03_2026_Registre_Maintenance_V2[Province_RDC],"Pas de correspondance")</f>
        <v>Pas de correspondance</v>
      </c>
      <c r="G822" t="str">
        <f>_xlfn.XLOOKUP(Log_Reseau_Master[[#This Row],[Cell_ID]],_29_03_2026_Registre_Maintenance_V2[ID_Antenne],_29_03_2026_Registre_Maintenance_V2[Technologie],"Pas de correspondance")</f>
        <v>Pas de correspondance</v>
      </c>
      <c r="H822" t="str">
        <f>_xlfn.XLOOKUP(Log_Reseau_Master[[#This Row],[Cell_ID]],_29_03_2026_Registre_Maintenance_V2[ID_Antenne],_29_03_2026_Registre_Maintenance_V2[Equipementier],"Pas de correspondance")</f>
        <v>Pas de correspondance</v>
      </c>
    </row>
    <row r="823" spans="1:8" hidden="1" x14ac:dyDescent="0.25">
      <c r="A823" s="1">
        <v>45211.993055555555</v>
      </c>
      <c r="B823">
        <f>Log_Reseau_Master[[#This Row],[Duree_Panne_Min]]/1440</f>
        <v>2.013888888888889E-2</v>
      </c>
      <c r="C823" t="s">
        <v>1594</v>
      </c>
      <c r="D823">
        <v>29</v>
      </c>
      <c r="E823" t="s">
        <v>1312</v>
      </c>
      <c r="F823" t="str">
        <f>_xlfn.XLOOKUP(Log_Reseau_Master[[#This Row],[Cell_ID]],_29_03_2026_Registre_Maintenance_V2[ID_Antenne],_29_03_2026_Registre_Maintenance_V2[Province_RDC],"Pas de correspondance")</f>
        <v>Pas de correspondance</v>
      </c>
      <c r="G823" t="str">
        <f>_xlfn.XLOOKUP(Log_Reseau_Master[[#This Row],[Cell_ID]],_29_03_2026_Registre_Maintenance_V2[ID_Antenne],_29_03_2026_Registre_Maintenance_V2[Technologie],"Pas de correspondance")</f>
        <v>Pas de correspondance</v>
      </c>
      <c r="H823" t="str">
        <f>_xlfn.XLOOKUP(Log_Reseau_Master[[#This Row],[Cell_ID]],_29_03_2026_Registre_Maintenance_V2[ID_Antenne],_29_03_2026_Registre_Maintenance_V2[Equipementier],"Pas de correspondance")</f>
        <v>Pas de correspondance</v>
      </c>
    </row>
    <row r="824" spans="1:8" x14ac:dyDescent="0.25">
      <c r="A824" s="1">
        <v>45201.922222222223</v>
      </c>
      <c r="B824" s="4">
        <f>Log_Reseau_Master[[#This Row],[Duree_Panne_Min]]/1440</f>
        <v>2.2222222222222223E-2</v>
      </c>
      <c r="C824" t="s">
        <v>375</v>
      </c>
      <c r="D824">
        <v>32</v>
      </c>
      <c r="E824" t="s">
        <v>1314</v>
      </c>
      <c r="F824" t="str">
        <f>_xlfn.XLOOKUP(Log_Reseau_Master[[#This Row],[Cell_ID]],_29_03_2026_Registre_Maintenance_V2[ID_Antenne],_29_03_2026_Registre_Maintenance_V2[Province_RDC],"Pas de correspondance")</f>
        <v>Bas-Uele</v>
      </c>
      <c r="G824" t="str">
        <f>_xlfn.XLOOKUP(Log_Reseau_Master[[#This Row],[Cell_ID]],_29_03_2026_Registre_Maintenance_V2[ID_Antenne],_29_03_2026_Registre_Maintenance_V2[Technologie],"Pas de correspondance")</f>
        <v>3G</v>
      </c>
      <c r="H824" t="str">
        <f>_xlfn.XLOOKUP(Log_Reseau_Master[[#This Row],[Cell_ID]],_29_03_2026_Registre_Maintenance_V2[ID_Antenne],_29_03_2026_Registre_Maintenance_V2[Equipementier],"Pas de correspondance")</f>
        <v>Huawei</v>
      </c>
    </row>
    <row r="825" spans="1:8" x14ac:dyDescent="0.25">
      <c r="A825" s="1">
        <v>45209.921527777777</v>
      </c>
      <c r="B825" s="4">
        <f>Log_Reseau_Master[[#This Row],[Duree_Panne_Min]]/1440</f>
        <v>8.2638888888888887E-2</v>
      </c>
      <c r="C825" t="s">
        <v>375</v>
      </c>
      <c r="D825">
        <v>119</v>
      </c>
      <c r="E825" t="s">
        <v>1314</v>
      </c>
      <c r="F825" t="str">
        <f>_xlfn.XLOOKUP(Log_Reseau_Master[[#This Row],[Cell_ID]],_29_03_2026_Registre_Maintenance_V2[ID_Antenne],_29_03_2026_Registre_Maintenance_V2[Province_RDC],"Pas de correspondance")</f>
        <v>Bas-Uele</v>
      </c>
      <c r="G825" t="str">
        <f>_xlfn.XLOOKUP(Log_Reseau_Master[[#This Row],[Cell_ID]],_29_03_2026_Registre_Maintenance_V2[ID_Antenne],_29_03_2026_Registre_Maintenance_V2[Technologie],"Pas de correspondance")</f>
        <v>3G</v>
      </c>
      <c r="H825" t="str">
        <f>_xlfn.XLOOKUP(Log_Reseau_Master[[#This Row],[Cell_ID]],_29_03_2026_Registre_Maintenance_V2[ID_Antenne],_29_03_2026_Registre_Maintenance_V2[Equipementier],"Pas de correspondance")</f>
        <v>Huawei</v>
      </c>
    </row>
    <row r="826" spans="1:8" x14ac:dyDescent="0.25">
      <c r="A826" s="1">
        <v>45200.98541666667</v>
      </c>
      <c r="B826" s="4">
        <f>Log_Reseau_Master[[#This Row],[Duree_Panne_Min]]/1440</f>
        <v>2.013888888888889E-2</v>
      </c>
      <c r="C826" t="s">
        <v>375</v>
      </c>
      <c r="D826">
        <v>29</v>
      </c>
      <c r="E826" t="s">
        <v>1321</v>
      </c>
      <c r="F826" t="str">
        <f>_xlfn.XLOOKUP(Log_Reseau_Master[[#This Row],[Cell_ID]],_29_03_2026_Registre_Maintenance_V2[ID_Antenne],_29_03_2026_Registre_Maintenance_V2[Province_RDC],"Pas de correspondance")</f>
        <v>Bas-Uele</v>
      </c>
      <c r="G826" t="str">
        <f>_xlfn.XLOOKUP(Log_Reseau_Master[[#This Row],[Cell_ID]],_29_03_2026_Registre_Maintenance_V2[ID_Antenne],_29_03_2026_Registre_Maintenance_V2[Technologie],"Pas de correspondance")</f>
        <v>3G</v>
      </c>
      <c r="H826" t="str">
        <f>_xlfn.XLOOKUP(Log_Reseau_Master[[#This Row],[Cell_ID]],_29_03_2026_Registre_Maintenance_V2[ID_Antenne],_29_03_2026_Registre_Maintenance_V2[Equipementier],"Pas de correspondance")</f>
        <v>Huawei</v>
      </c>
    </row>
    <row r="827" spans="1:8" x14ac:dyDescent="0.25">
      <c r="A827" s="1">
        <v>45223.436111111114</v>
      </c>
      <c r="B827" s="4">
        <f>Log_Reseau_Master[[#This Row],[Duree_Panne_Min]]/1440</f>
        <v>1.8055555555555554E-2</v>
      </c>
      <c r="C827" t="s">
        <v>375</v>
      </c>
      <c r="D827">
        <v>26</v>
      </c>
      <c r="E827" t="s">
        <v>1314</v>
      </c>
      <c r="F827" t="str">
        <f>_xlfn.XLOOKUP(Log_Reseau_Master[[#This Row],[Cell_ID]],_29_03_2026_Registre_Maintenance_V2[ID_Antenne],_29_03_2026_Registre_Maintenance_V2[Province_RDC],"Pas de correspondance")</f>
        <v>Bas-Uele</v>
      </c>
      <c r="G827" t="str">
        <f>_xlfn.XLOOKUP(Log_Reseau_Master[[#This Row],[Cell_ID]],_29_03_2026_Registre_Maintenance_V2[ID_Antenne],_29_03_2026_Registre_Maintenance_V2[Technologie],"Pas de correspondance")</f>
        <v>3G</v>
      </c>
      <c r="H827" t="str">
        <f>_xlfn.XLOOKUP(Log_Reseau_Master[[#This Row],[Cell_ID]],_29_03_2026_Registre_Maintenance_V2[ID_Antenne],_29_03_2026_Registre_Maintenance_V2[Equipementier],"Pas de correspondance")</f>
        <v>Huawei</v>
      </c>
    </row>
    <row r="828" spans="1:8" x14ac:dyDescent="0.25">
      <c r="A828" s="1">
        <v>45205.018055555556</v>
      </c>
      <c r="B828" s="4">
        <f>Log_Reseau_Master[[#This Row],[Duree_Panne_Min]]/1440</f>
        <v>4.6527777777777779E-2</v>
      </c>
      <c r="C828" t="s">
        <v>375</v>
      </c>
      <c r="D828">
        <v>67</v>
      </c>
      <c r="E828" t="s">
        <v>1321</v>
      </c>
      <c r="F828" t="str">
        <f>_xlfn.XLOOKUP(Log_Reseau_Master[[#This Row],[Cell_ID]],_29_03_2026_Registre_Maintenance_V2[ID_Antenne],_29_03_2026_Registre_Maintenance_V2[Province_RDC],"Pas de correspondance")</f>
        <v>Bas-Uele</v>
      </c>
      <c r="G828" t="str">
        <f>_xlfn.XLOOKUP(Log_Reseau_Master[[#This Row],[Cell_ID]],_29_03_2026_Registre_Maintenance_V2[ID_Antenne],_29_03_2026_Registre_Maintenance_V2[Technologie],"Pas de correspondance")</f>
        <v>3G</v>
      </c>
      <c r="H828" t="str">
        <f>_xlfn.XLOOKUP(Log_Reseau_Master[[#This Row],[Cell_ID]],_29_03_2026_Registre_Maintenance_V2[ID_Antenne],_29_03_2026_Registre_Maintenance_V2[Equipementier],"Pas de correspondance")</f>
        <v>Huawei</v>
      </c>
    </row>
    <row r="829" spans="1:8" hidden="1" x14ac:dyDescent="0.25">
      <c r="A829" s="1">
        <v>45220.117361111108</v>
      </c>
      <c r="B829">
        <f>Log_Reseau_Master[[#This Row],[Duree_Panne_Min]]/1440</f>
        <v>2.7083333333333334E-2</v>
      </c>
      <c r="C829" t="s">
        <v>1595</v>
      </c>
      <c r="D829">
        <v>39</v>
      </c>
      <c r="E829" t="s">
        <v>1314</v>
      </c>
      <c r="F829" t="str">
        <f>_xlfn.XLOOKUP(Log_Reseau_Master[[#This Row],[Cell_ID]],_29_03_2026_Registre_Maintenance_V2[ID_Antenne],_29_03_2026_Registre_Maintenance_V2[Province_RDC],"Pas de correspondance")</f>
        <v>Pas de correspondance</v>
      </c>
      <c r="G829" t="str">
        <f>_xlfn.XLOOKUP(Log_Reseau_Master[[#This Row],[Cell_ID]],_29_03_2026_Registre_Maintenance_V2[ID_Antenne],_29_03_2026_Registre_Maintenance_V2[Technologie],"Pas de correspondance")</f>
        <v>Pas de correspondance</v>
      </c>
      <c r="H829" t="str">
        <f>_xlfn.XLOOKUP(Log_Reseau_Master[[#This Row],[Cell_ID]],_29_03_2026_Registre_Maintenance_V2[ID_Antenne],_29_03_2026_Registre_Maintenance_V2[Equipementier],"Pas de correspondance")</f>
        <v>Pas de correspondance</v>
      </c>
    </row>
    <row r="830" spans="1:8" hidden="1" x14ac:dyDescent="0.25">
      <c r="A830" s="1">
        <v>45209.954861111109</v>
      </c>
      <c r="B830">
        <f>Log_Reseau_Master[[#This Row],[Duree_Panne_Min]]/1440</f>
        <v>3.9583333333333331E-2</v>
      </c>
      <c r="C830" t="s">
        <v>1596</v>
      </c>
      <c r="D830">
        <v>57</v>
      </c>
      <c r="E830" t="s">
        <v>1314</v>
      </c>
      <c r="F830" t="str">
        <f>_xlfn.XLOOKUP(Log_Reseau_Master[[#This Row],[Cell_ID]],_29_03_2026_Registre_Maintenance_V2[ID_Antenne],_29_03_2026_Registre_Maintenance_V2[Province_RDC],"Pas de correspondance")</f>
        <v>Pas de correspondance</v>
      </c>
      <c r="G830" t="str">
        <f>_xlfn.XLOOKUP(Log_Reseau_Master[[#This Row],[Cell_ID]],_29_03_2026_Registre_Maintenance_V2[ID_Antenne],_29_03_2026_Registre_Maintenance_V2[Technologie],"Pas de correspondance")</f>
        <v>Pas de correspondance</v>
      </c>
      <c r="H830" t="str">
        <f>_xlfn.XLOOKUP(Log_Reseau_Master[[#This Row],[Cell_ID]],_29_03_2026_Registre_Maintenance_V2[ID_Antenne],_29_03_2026_Registre_Maintenance_V2[Equipementier],"Pas de correspondance")</f>
        <v>Pas de correspondance</v>
      </c>
    </row>
    <row r="831" spans="1:8" hidden="1" x14ac:dyDescent="0.25">
      <c r="A831" s="1">
        <v>45218.558333333334</v>
      </c>
      <c r="B831">
        <f>Log_Reseau_Master[[#This Row],[Duree_Panne_Min]]/1440</f>
        <v>3.7499999999999999E-2</v>
      </c>
      <c r="C831" t="s">
        <v>1596</v>
      </c>
      <c r="D831">
        <v>54</v>
      </c>
      <c r="E831" t="s">
        <v>1321</v>
      </c>
      <c r="F831" t="str">
        <f>_xlfn.XLOOKUP(Log_Reseau_Master[[#This Row],[Cell_ID]],_29_03_2026_Registre_Maintenance_V2[ID_Antenne],_29_03_2026_Registre_Maintenance_V2[Province_RDC],"Pas de correspondance")</f>
        <v>Pas de correspondance</v>
      </c>
      <c r="G831" t="str">
        <f>_xlfn.XLOOKUP(Log_Reseau_Master[[#This Row],[Cell_ID]],_29_03_2026_Registre_Maintenance_V2[ID_Antenne],_29_03_2026_Registre_Maintenance_V2[Technologie],"Pas de correspondance")</f>
        <v>Pas de correspondance</v>
      </c>
      <c r="H831" t="str">
        <f>_xlfn.XLOOKUP(Log_Reseau_Master[[#This Row],[Cell_ID]],_29_03_2026_Registre_Maintenance_V2[ID_Antenne],_29_03_2026_Registre_Maintenance_V2[Equipementier],"Pas de correspondance")</f>
        <v>Pas de correspondance</v>
      </c>
    </row>
    <row r="832" spans="1:8" hidden="1" x14ac:dyDescent="0.25">
      <c r="A832" s="1">
        <v>45220.94027777778</v>
      </c>
      <c r="B832">
        <f>Log_Reseau_Master[[#This Row],[Duree_Panne_Min]]/1440</f>
        <v>2.2916666666666665E-2</v>
      </c>
      <c r="C832" t="s">
        <v>1597</v>
      </c>
      <c r="D832">
        <v>33</v>
      </c>
      <c r="E832" t="s">
        <v>1321</v>
      </c>
      <c r="F832" t="str">
        <f>_xlfn.XLOOKUP(Log_Reseau_Master[[#This Row],[Cell_ID]],_29_03_2026_Registre_Maintenance_V2[ID_Antenne],_29_03_2026_Registre_Maintenance_V2[Province_RDC],"Pas de correspondance")</f>
        <v>Pas de correspondance</v>
      </c>
      <c r="G832" t="str">
        <f>_xlfn.XLOOKUP(Log_Reseau_Master[[#This Row],[Cell_ID]],_29_03_2026_Registre_Maintenance_V2[ID_Antenne],_29_03_2026_Registre_Maintenance_V2[Technologie],"Pas de correspondance")</f>
        <v>Pas de correspondance</v>
      </c>
      <c r="H832" t="str">
        <f>_xlfn.XLOOKUP(Log_Reseau_Master[[#This Row],[Cell_ID]],_29_03_2026_Registre_Maintenance_V2[ID_Antenne],_29_03_2026_Registre_Maintenance_V2[Equipementier],"Pas de correspondance")</f>
        <v>Pas de correspondance</v>
      </c>
    </row>
    <row r="833" spans="1:8" hidden="1" x14ac:dyDescent="0.25">
      <c r="A833" s="1">
        <v>45227.48333333333</v>
      </c>
      <c r="B833">
        <f>Log_Reseau_Master[[#This Row],[Duree_Panne_Min]]/1440</f>
        <v>5.6250000000000001E-2</v>
      </c>
      <c r="C833" t="s">
        <v>1597</v>
      </c>
      <c r="D833">
        <v>81</v>
      </c>
      <c r="E833" t="s">
        <v>1312</v>
      </c>
      <c r="F833" t="str">
        <f>_xlfn.XLOOKUP(Log_Reseau_Master[[#This Row],[Cell_ID]],_29_03_2026_Registre_Maintenance_V2[ID_Antenne],_29_03_2026_Registre_Maintenance_V2[Province_RDC],"Pas de correspondance")</f>
        <v>Pas de correspondance</v>
      </c>
      <c r="G833" t="str">
        <f>_xlfn.XLOOKUP(Log_Reseau_Master[[#This Row],[Cell_ID]],_29_03_2026_Registre_Maintenance_V2[ID_Antenne],_29_03_2026_Registre_Maintenance_V2[Technologie],"Pas de correspondance")</f>
        <v>Pas de correspondance</v>
      </c>
      <c r="H833" t="str">
        <f>_xlfn.XLOOKUP(Log_Reseau_Master[[#This Row],[Cell_ID]],_29_03_2026_Registre_Maintenance_V2[ID_Antenne],_29_03_2026_Registre_Maintenance_V2[Equipementier],"Pas de correspondance")</f>
        <v>Pas de correspondance</v>
      </c>
    </row>
    <row r="834" spans="1:8" hidden="1" x14ac:dyDescent="0.25">
      <c r="A834" s="1">
        <v>45203.67291666667</v>
      </c>
      <c r="B834">
        <f>Log_Reseau_Master[[#This Row],[Duree_Panne_Min]]/1440</f>
        <v>5.6944444444444443E-2</v>
      </c>
      <c r="C834" t="s">
        <v>1598</v>
      </c>
      <c r="D834">
        <v>82</v>
      </c>
      <c r="E834" t="s">
        <v>1314</v>
      </c>
      <c r="F834" t="str">
        <f>_xlfn.XLOOKUP(Log_Reseau_Master[[#This Row],[Cell_ID]],_29_03_2026_Registre_Maintenance_V2[ID_Antenne],_29_03_2026_Registre_Maintenance_V2[Province_RDC],"Pas de correspondance")</f>
        <v>Pas de correspondance</v>
      </c>
      <c r="G834" t="str">
        <f>_xlfn.XLOOKUP(Log_Reseau_Master[[#This Row],[Cell_ID]],_29_03_2026_Registre_Maintenance_V2[ID_Antenne],_29_03_2026_Registre_Maintenance_V2[Technologie],"Pas de correspondance")</f>
        <v>Pas de correspondance</v>
      </c>
      <c r="H834" t="str">
        <f>_xlfn.XLOOKUP(Log_Reseau_Master[[#This Row],[Cell_ID]],_29_03_2026_Registre_Maintenance_V2[ID_Antenne],_29_03_2026_Registre_Maintenance_V2[Equipementier],"Pas de correspondance")</f>
        <v>Pas de correspondance</v>
      </c>
    </row>
    <row r="835" spans="1:8" hidden="1" x14ac:dyDescent="0.25">
      <c r="A835" s="1">
        <v>45225.061805555553</v>
      </c>
      <c r="B835">
        <f>Log_Reseau_Master[[#This Row],[Duree_Panne_Min]]/1440</f>
        <v>1.0416666666666666E-2</v>
      </c>
      <c r="C835" t="s">
        <v>1599</v>
      </c>
      <c r="D835">
        <v>15</v>
      </c>
      <c r="E835" t="s">
        <v>1321</v>
      </c>
      <c r="F835" t="str">
        <f>_xlfn.XLOOKUP(Log_Reseau_Master[[#This Row],[Cell_ID]],_29_03_2026_Registre_Maintenance_V2[ID_Antenne],_29_03_2026_Registre_Maintenance_V2[Province_RDC],"Pas de correspondance")</f>
        <v>Pas de correspondance</v>
      </c>
      <c r="G835" t="str">
        <f>_xlfn.XLOOKUP(Log_Reseau_Master[[#This Row],[Cell_ID]],_29_03_2026_Registre_Maintenance_V2[ID_Antenne],_29_03_2026_Registre_Maintenance_V2[Technologie],"Pas de correspondance")</f>
        <v>Pas de correspondance</v>
      </c>
      <c r="H835" t="str">
        <f>_xlfn.XLOOKUP(Log_Reseau_Master[[#This Row],[Cell_ID]],_29_03_2026_Registre_Maintenance_V2[ID_Antenne],_29_03_2026_Registre_Maintenance_V2[Equipementier],"Pas de correspondance")</f>
        <v>Pas de correspondance</v>
      </c>
    </row>
    <row r="836" spans="1:8" hidden="1" x14ac:dyDescent="0.25">
      <c r="A836" s="1">
        <v>45205.365972222222</v>
      </c>
      <c r="B836">
        <f>Log_Reseau_Master[[#This Row],[Duree_Panne_Min]]/1440</f>
        <v>2.2222222222222223E-2</v>
      </c>
      <c r="C836" t="s">
        <v>1599</v>
      </c>
      <c r="D836">
        <v>32</v>
      </c>
      <c r="E836" t="s">
        <v>1314</v>
      </c>
      <c r="F836" t="str">
        <f>_xlfn.XLOOKUP(Log_Reseau_Master[[#This Row],[Cell_ID]],_29_03_2026_Registre_Maintenance_V2[ID_Antenne],_29_03_2026_Registre_Maintenance_V2[Province_RDC],"Pas de correspondance")</f>
        <v>Pas de correspondance</v>
      </c>
      <c r="G836" t="str">
        <f>_xlfn.XLOOKUP(Log_Reseau_Master[[#This Row],[Cell_ID]],_29_03_2026_Registre_Maintenance_V2[ID_Antenne],_29_03_2026_Registre_Maintenance_V2[Technologie],"Pas de correspondance")</f>
        <v>Pas de correspondance</v>
      </c>
      <c r="H836" t="str">
        <f>_xlfn.XLOOKUP(Log_Reseau_Master[[#This Row],[Cell_ID]],_29_03_2026_Registre_Maintenance_V2[ID_Antenne],_29_03_2026_Registre_Maintenance_V2[Equipementier],"Pas de correspondance")</f>
        <v>Pas de correspondance</v>
      </c>
    </row>
    <row r="837" spans="1:8" hidden="1" x14ac:dyDescent="0.25">
      <c r="A837" s="1">
        <v>45214.613194444442</v>
      </c>
      <c r="B837">
        <f>Log_Reseau_Master[[#This Row],[Duree_Panne_Min]]/1440</f>
        <v>7.6388888888888886E-3</v>
      </c>
      <c r="C837" t="s">
        <v>1600</v>
      </c>
      <c r="D837">
        <v>11</v>
      </c>
      <c r="E837" t="s">
        <v>1321</v>
      </c>
      <c r="F837" t="str">
        <f>_xlfn.XLOOKUP(Log_Reseau_Master[[#This Row],[Cell_ID]],_29_03_2026_Registre_Maintenance_V2[ID_Antenne],_29_03_2026_Registre_Maintenance_V2[Province_RDC],"Pas de correspondance")</f>
        <v>Pas de correspondance</v>
      </c>
      <c r="G837" t="str">
        <f>_xlfn.XLOOKUP(Log_Reseau_Master[[#This Row],[Cell_ID]],_29_03_2026_Registre_Maintenance_V2[ID_Antenne],_29_03_2026_Registre_Maintenance_V2[Technologie],"Pas de correspondance")</f>
        <v>Pas de correspondance</v>
      </c>
      <c r="H837" t="str">
        <f>_xlfn.XLOOKUP(Log_Reseau_Master[[#This Row],[Cell_ID]],_29_03_2026_Registre_Maintenance_V2[ID_Antenne],_29_03_2026_Registre_Maintenance_V2[Equipementier],"Pas de correspondance")</f>
        <v>Pas de correspondance</v>
      </c>
    </row>
    <row r="838" spans="1:8" hidden="1" x14ac:dyDescent="0.25">
      <c r="A838" s="1">
        <v>45215.479166666664</v>
      </c>
      <c r="B838">
        <f>Log_Reseau_Master[[#This Row],[Duree_Panne_Min]]/1440</f>
        <v>4.6527777777777779E-2</v>
      </c>
      <c r="C838" t="s">
        <v>1600</v>
      </c>
      <c r="D838">
        <v>67</v>
      </c>
      <c r="E838" t="s">
        <v>1321</v>
      </c>
      <c r="F838" t="str">
        <f>_xlfn.XLOOKUP(Log_Reseau_Master[[#This Row],[Cell_ID]],_29_03_2026_Registre_Maintenance_V2[ID_Antenne],_29_03_2026_Registre_Maintenance_V2[Province_RDC],"Pas de correspondance")</f>
        <v>Pas de correspondance</v>
      </c>
      <c r="G838" t="str">
        <f>_xlfn.XLOOKUP(Log_Reseau_Master[[#This Row],[Cell_ID]],_29_03_2026_Registre_Maintenance_V2[ID_Antenne],_29_03_2026_Registre_Maintenance_V2[Technologie],"Pas de correspondance")</f>
        <v>Pas de correspondance</v>
      </c>
      <c r="H838" t="str">
        <f>_xlfn.XLOOKUP(Log_Reseau_Master[[#This Row],[Cell_ID]],_29_03_2026_Registre_Maintenance_V2[ID_Antenne],_29_03_2026_Registre_Maintenance_V2[Equipementier],"Pas de correspondance")</f>
        <v>Pas de correspondance</v>
      </c>
    </row>
    <row r="839" spans="1:8" x14ac:dyDescent="0.25">
      <c r="A839" s="1">
        <v>45211.904861111114</v>
      </c>
      <c r="B839" s="4">
        <f>Log_Reseau_Master[[#This Row],[Duree_Panne_Min]]/1440</f>
        <v>3.125E-2</v>
      </c>
      <c r="C839" t="s">
        <v>256</v>
      </c>
      <c r="D839">
        <v>45</v>
      </c>
      <c r="E839" t="s">
        <v>1321</v>
      </c>
      <c r="F839" t="str">
        <f>_xlfn.XLOOKUP(Log_Reseau_Master[[#This Row],[Cell_ID]],_29_03_2026_Registre_Maintenance_V2[ID_Antenne],_29_03_2026_Registre_Maintenance_V2[Province_RDC],"Pas de correspondance")</f>
        <v>Sud-Ubangi</v>
      </c>
      <c r="G839" t="str">
        <f>_xlfn.XLOOKUP(Log_Reseau_Master[[#This Row],[Cell_ID]],_29_03_2026_Registre_Maintenance_V2[ID_Antenne],_29_03_2026_Registre_Maintenance_V2[Technologie],"Pas de correspondance")</f>
        <v>3G</v>
      </c>
      <c r="H839" t="str">
        <f>_xlfn.XLOOKUP(Log_Reseau_Master[[#This Row],[Cell_ID]],_29_03_2026_Registre_Maintenance_V2[ID_Antenne],_29_03_2026_Registre_Maintenance_V2[Equipementier],"Pas de correspondance")</f>
        <v>Ericsson</v>
      </c>
    </row>
    <row r="840" spans="1:8" x14ac:dyDescent="0.25">
      <c r="A840" s="1">
        <v>45210.280555555553</v>
      </c>
      <c r="B840" s="4">
        <f>Log_Reseau_Master[[#This Row],[Duree_Panne_Min]]/1440</f>
        <v>2.9861111111111113E-2</v>
      </c>
      <c r="C840" t="s">
        <v>256</v>
      </c>
      <c r="D840">
        <v>43</v>
      </c>
      <c r="E840" t="s">
        <v>1312</v>
      </c>
      <c r="F840" t="str">
        <f>_xlfn.XLOOKUP(Log_Reseau_Master[[#This Row],[Cell_ID]],_29_03_2026_Registre_Maintenance_V2[ID_Antenne],_29_03_2026_Registre_Maintenance_V2[Province_RDC],"Pas de correspondance")</f>
        <v>Sud-Ubangi</v>
      </c>
      <c r="G840" t="str">
        <f>_xlfn.XLOOKUP(Log_Reseau_Master[[#This Row],[Cell_ID]],_29_03_2026_Registre_Maintenance_V2[ID_Antenne],_29_03_2026_Registre_Maintenance_V2[Technologie],"Pas de correspondance")</f>
        <v>3G</v>
      </c>
      <c r="H840" t="str">
        <f>_xlfn.XLOOKUP(Log_Reseau_Master[[#This Row],[Cell_ID]],_29_03_2026_Registre_Maintenance_V2[ID_Antenne],_29_03_2026_Registre_Maintenance_V2[Equipementier],"Pas de correspondance")</f>
        <v>Ericsson</v>
      </c>
    </row>
    <row r="841" spans="1:8" hidden="1" x14ac:dyDescent="0.25">
      <c r="A841" s="1">
        <v>45202.095138888886</v>
      </c>
      <c r="B841">
        <f>Log_Reseau_Master[[#This Row],[Duree_Panne_Min]]/1440</f>
        <v>4.2361111111111113E-2</v>
      </c>
      <c r="C841" t="s">
        <v>1601</v>
      </c>
      <c r="D841">
        <v>61</v>
      </c>
      <c r="E841" t="s">
        <v>1312</v>
      </c>
      <c r="F841" t="str">
        <f>_xlfn.XLOOKUP(Log_Reseau_Master[[#This Row],[Cell_ID]],_29_03_2026_Registre_Maintenance_V2[ID_Antenne],_29_03_2026_Registre_Maintenance_V2[Province_RDC],"Pas de correspondance")</f>
        <v>Pas de correspondance</v>
      </c>
      <c r="G841" t="str">
        <f>_xlfn.XLOOKUP(Log_Reseau_Master[[#This Row],[Cell_ID]],_29_03_2026_Registre_Maintenance_V2[ID_Antenne],_29_03_2026_Registre_Maintenance_V2[Technologie],"Pas de correspondance")</f>
        <v>Pas de correspondance</v>
      </c>
      <c r="H841" t="str">
        <f>_xlfn.XLOOKUP(Log_Reseau_Master[[#This Row],[Cell_ID]],_29_03_2026_Registre_Maintenance_V2[ID_Antenne],_29_03_2026_Registre_Maintenance_V2[Equipementier],"Pas de correspondance")</f>
        <v>Pas de correspondance</v>
      </c>
    </row>
    <row r="842" spans="1:8" x14ac:dyDescent="0.25">
      <c r="A842" s="1">
        <v>45205.052083333336</v>
      </c>
      <c r="B842" s="4">
        <f>Log_Reseau_Master[[#This Row],[Duree_Panne_Min]]/1440</f>
        <v>5.6250000000000001E-2</v>
      </c>
      <c r="C842" t="s">
        <v>59</v>
      </c>
      <c r="D842">
        <v>81</v>
      </c>
      <c r="E842" t="s">
        <v>1321</v>
      </c>
      <c r="F842" t="str">
        <f>_xlfn.XLOOKUP(Log_Reseau_Master[[#This Row],[Cell_ID]],_29_03_2026_Registre_Maintenance_V2[ID_Antenne],_29_03_2026_Registre_Maintenance_V2[Province_RDC],"Pas de correspondance")</f>
        <v>Kasai</v>
      </c>
      <c r="G842" t="str">
        <f>_xlfn.XLOOKUP(Log_Reseau_Master[[#This Row],[Cell_ID]],_29_03_2026_Registre_Maintenance_V2[ID_Antenne],_29_03_2026_Registre_Maintenance_V2[Technologie],"Pas de correspondance")</f>
        <v>4G</v>
      </c>
      <c r="H842" t="str">
        <f>_xlfn.XLOOKUP(Log_Reseau_Master[[#This Row],[Cell_ID]],_29_03_2026_Registre_Maintenance_V2[ID_Antenne],_29_03_2026_Registre_Maintenance_V2[Equipementier],"Pas de correspondance")</f>
        <v>ZTE</v>
      </c>
    </row>
    <row r="843" spans="1:8" x14ac:dyDescent="0.25">
      <c r="A843" s="1">
        <v>45220.927777777775</v>
      </c>
      <c r="B843" s="4">
        <f>Log_Reseau_Master[[#This Row],[Duree_Panne_Min]]/1440</f>
        <v>1.5277777777777777E-2</v>
      </c>
      <c r="C843" t="s">
        <v>59</v>
      </c>
      <c r="D843">
        <v>22</v>
      </c>
      <c r="E843" t="s">
        <v>1312</v>
      </c>
      <c r="F843" t="str">
        <f>_xlfn.XLOOKUP(Log_Reseau_Master[[#This Row],[Cell_ID]],_29_03_2026_Registre_Maintenance_V2[ID_Antenne],_29_03_2026_Registre_Maintenance_V2[Province_RDC],"Pas de correspondance")</f>
        <v>Kasai</v>
      </c>
      <c r="G843" t="str">
        <f>_xlfn.XLOOKUP(Log_Reseau_Master[[#This Row],[Cell_ID]],_29_03_2026_Registre_Maintenance_V2[ID_Antenne],_29_03_2026_Registre_Maintenance_V2[Technologie],"Pas de correspondance")</f>
        <v>4G</v>
      </c>
      <c r="H843" t="str">
        <f>_xlfn.XLOOKUP(Log_Reseau_Master[[#This Row],[Cell_ID]],_29_03_2026_Registre_Maintenance_V2[ID_Antenne],_29_03_2026_Registre_Maintenance_V2[Equipementier],"Pas de correspondance")</f>
        <v>ZTE</v>
      </c>
    </row>
    <row r="844" spans="1:8" x14ac:dyDescent="0.25">
      <c r="A844" s="1">
        <v>45222.834027777775</v>
      </c>
      <c r="B844" s="4">
        <f>Log_Reseau_Master[[#This Row],[Duree_Panne_Min]]/1440</f>
        <v>7.5694444444444439E-2</v>
      </c>
      <c r="C844" t="s">
        <v>445</v>
      </c>
      <c r="D844">
        <v>109</v>
      </c>
      <c r="E844" t="s">
        <v>1312</v>
      </c>
      <c r="F844" t="str">
        <f>_xlfn.XLOOKUP(Log_Reseau_Master[[#This Row],[Cell_ID]],_29_03_2026_Registre_Maintenance_V2[ID_Antenne],_29_03_2026_Registre_Maintenance_V2[Province_RDC],"Pas de correspondance")</f>
        <v>Haut-Katanga</v>
      </c>
      <c r="G844" t="str">
        <f>_xlfn.XLOOKUP(Log_Reseau_Master[[#This Row],[Cell_ID]],_29_03_2026_Registre_Maintenance_V2[ID_Antenne],_29_03_2026_Registre_Maintenance_V2[Technologie],"Pas de correspondance")</f>
        <v>5G</v>
      </c>
      <c r="H844" t="str">
        <f>_xlfn.XLOOKUP(Log_Reseau_Master[[#This Row],[Cell_ID]],_29_03_2026_Registre_Maintenance_V2[ID_Antenne],_29_03_2026_Registre_Maintenance_V2[Equipementier],"Pas de correspondance")</f>
        <v>Ericsson</v>
      </c>
    </row>
    <row r="845" spans="1:8" x14ac:dyDescent="0.25">
      <c r="A845" s="1">
        <v>45213.645833333336</v>
      </c>
      <c r="B845" s="4">
        <f>Log_Reseau_Master[[#This Row],[Duree_Panne_Min]]/1440</f>
        <v>6.5972222222222224E-2</v>
      </c>
      <c r="C845" t="s">
        <v>445</v>
      </c>
      <c r="D845">
        <v>95</v>
      </c>
      <c r="E845" t="s">
        <v>1314</v>
      </c>
      <c r="F845" t="str">
        <f>_xlfn.XLOOKUP(Log_Reseau_Master[[#This Row],[Cell_ID]],_29_03_2026_Registre_Maintenance_V2[ID_Antenne],_29_03_2026_Registre_Maintenance_V2[Province_RDC],"Pas de correspondance")</f>
        <v>Haut-Katanga</v>
      </c>
      <c r="G845" t="str">
        <f>_xlfn.XLOOKUP(Log_Reseau_Master[[#This Row],[Cell_ID]],_29_03_2026_Registre_Maintenance_V2[ID_Antenne],_29_03_2026_Registre_Maintenance_V2[Technologie],"Pas de correspondance")</f>
        <v>5G</v>
      </c>
      <c r="H845" t="str">
        <f>_xlfn.XLOOKUP(Log_Reseau_Master[[#This Row],[Cell_ID]],_29_03_2026_Registre_Maintenance_V2[ID_Antenne],_29_03_2026_Registre_Maintenance_V2[Equipementier],"Pas de correspondance")</f>
        <v>Ericsson</v>
      </c>
    </row>
    <row r="846" spans="1:8" hidden="1" x14ac:dyDescent="0.25">
      <c r="A846" s="1">
        <v>45214.272916666669</v>
      </c>
      <c r="B846">
        <f>Log_Reseau_Master[[#This Row],[Duree_Panne_Min]]/1440</f>
        <v>1.8055555555555554E-2</v>
      </c>
      <c r="C846" t="s">
        <v>1602</v>
      </c>
      <c r="D846">
        <v>26</v>
      </c>
      <c r="E846" t="s">
        <v>1312</v>
      </c>
      <c r="F846" t="str">
        <f>_xlfn.XLOOKUP(Log_Reseau_Master[[#This Row],[Cell_ID]],_29_03_2026_Registre_Maintenance_V2[ID_Antenne],_29_03_2026_Registre_Maintenance_V2[Province_RDC],"Pas de correspondance")</f>
        <v>Pas de correspondance</v>
      </c>
      <c r="G846" t="str">
        <f>_xlfn.XLOOKUP(Log_Reseau_Master[[#This Row],[Cell_ID]],_29_03_2026_Registre_Maintenance_V2[ID_Antenne],_29_03_2026_Registre_Maintenance_V2[Technologie],"Pas de correspondance")</f>
        <v>Pas de correspondance</v>
      </c>
      <c r="H846" t="str">
        <f>_xlfn.XLOOKUP(Log_Reseau_Master[[#This Row],[Cell_ID]],_29_03_2026_Registre_Maintenance_V2[ID_Antenne],_29_03_2026_Registre_Maintenance_V2[Equipementier],"Pas de correspondance")</f>
        <v>Pas de correspondance</v>
      </c>
    </row>
    <row r="847" spans="1:8" hidden="1" x14ac:dyDescent="0.25">
      <c r="A847" s="1">
        <v>45215.10833333333</v>
      </c>
      <c r="B847">
        <f>Log_Reseau_Master[[#This Row],[Duree_Panne_Min]]/1440</f>
        <v>2.7083333333333334E-2</v>
      </c>
      <c r="C847" t="s">
        <v>1602</v>
      </c>
      <c r="D847">
        <v>39</v>
      </c>
      <c r="E847" t="s">
        <v>1321</v>
      </c>
      <c r="F847" t="str">
        <f>_xlfn.XLOOKUP(Log_Reseau_Master[[#This Row],[Cell_ID]],_29_03_2026_Registre_Maintenance_V2[ID_Antenne],_29_03_2026_Registre_Maintenance_V2[Province_RDC],"Pas de correspondance")</f>
        <v>Pas de correspondance</v>
      </c>
      <c r="G847" t="str">
        <f>_xlfn.XLOOKUP(Log_Reseau_Master[[#This Row],[Cell_ID]],_29_03_2026_Registre_Maintenance_V2[ID_Antenne],_29_03_2026_Registre_Maintenance_V2[Technologie],"Pas de correspondance")</f>
        <v>Pas de correspondance</v>
      </c>
      <c r="H847" t="str">
        <f>_xlfn.XLOOKUP(Log_Reseau_Master[[#This Row],[Cell_ID]],_29_03_2026_Registre_Maintenance_V2[ID_Antenne],_29_03_2026_Registre_Maintenance_V2[Equipementier],"Pas de correspondance")</f>
        <v>Pas de correspondance</v>
      </c>
    </row>
    <row r="848" spans="1:8" hidden="1" x14ac:dyDescent="0.25">
      <c r="A848" s="1">
        <v>45217.944444444445</v>
      </c>
      <c r="B848">
        <f>Log_Reseau_Master[[#This Row],[Duree_Panne_Min]]/1440</f>
        <v>2.2916666666666665E-2</v>
      </c>
      <c r="C848" t="s">
        <v>1603</v>
      </c>
      <c r="D848">
        <v>33</v>
      </c>
      <c r="E848" t="s">
        <v>1314</v>
      </c>
      <c r="F848" t="str">
        <f>_xlfn.XLOOKUP(Log_Reseau_Master[[#This Row],[Cell_ID]],_29_03_2026_Registre_Maintenance_V2[ID_Antenne],_29_03_2026_Registre_Maintenance_V2[Province_RDC],"Pas de correspondance")</f>
        <v>Pas de correspondance</v>
      </c>
      <c r="G848" t="str">
        <f>_xlfn.XLOOKUP(Log_Reseau_Master[[#This Row],[Cell_ID]],_29_03_2026_Registre_Maintenance_V2[ID_Antenne],_29_03_2026_Registre_Maintenance_V2[Technologie],"Pas de correspondance")</f>
        <v>Pas de correspondance</v>
      </c>
      <c r="H848" t="str">
        <f>_xlfn.XLOOKUP(Log_Reseau_Master[[#This Row],[Cell_ID]],_29_03_2026_Registre_Maintenance_V2[ID_Antenne],_29_03_2026_Registre_Maintenance_V2[Equipementier],"Pas de correspondance")</f>
        <v>Pas de correspondance</v>
      </c>
    </row>
    <row r="849" spans="1:8" x14ac:dyDescent="0.25">
      <c r="A849" s="1">
        <v>45216.232638888891</v>
      </c>
      <c r="B849" s="4">
        <f>Log_Reseau_Master[[#This Row],[Duree_Panne_Min]]/1440</f>
        <v>7.6388888888888886E-3</v>
      </c>
      <c r="C849" t="s">
        <v>73</v>
      </c>
      <c r="D849">
        <v>11</v>
      </c>
      <c r="E849" t="s">
        <v>1321</v>
      </c>
      <c r="F849" t="str">
        <f>_xlfn.XLOOKUP(Log_Reseau_Master[[#This Row],[Cell_ID]],_29_03_2026_Registre_Maintenance_V2[ID_Antenne],_29_03_2026_Registre_Maintenance_V2[Province_RDC],"Pas de correspondance")</f>
        <v>Kasai</v>
      </c>
      <c r="G849" t="str">
        <f>_xlfn.XLOOKUP(Log_Reseau_Master[[#This Row],[Cell_ID]],_29_03_2026_Registre_Maintenance_V2[ID_Antenne],_29_03_2026_Registre_Maintenance_V2[Technologie],"Pas de correspondance")</f>
        <v>3G</v>
      </c>
      <c r="H849" t="str">
        <f>_xlfn.XLOOKUP(Log_Reseau_Master[[#This Row],[Cell_ID]],_29_03_2026_Registre_Maintenance_V2[ID_Antenne],_29_03_2026_Registre_Maintenance_V2[Equipementier],"Pas de correspondance")</f>
        <v>ZTE</v>
      </c>
    </row>
    <row r="850" spans="1:8" x14ac:dyDescent="0.25">
      <c r="A850" s="1">
        <v>45216.693749999999</v>
      </c>
      <c r="B850" s="4">
        <f>Log_Reseau_Master[[#This Row],[Duree_Panne_Min]]/1440</f>
        <v>1.6666666666666666E-2</v>
      </c>
      <c r="C850" t="s">
        <v>392</v>
      </c>
      <c r="D850">
        <v>24</v>
      </c>
      <c r="E850" t="s">
        <v>1321</v>
      </c>
      <c r="F850" t="str">
        <f>_xlfn.XLOOKUP(Log_Reseau_Master[[#This Row],[Cell_ID]],_29_03_2026_Registre_Maintenance_V2[ID_Antenne],_29_03_2026_Registre_Maintenance_V2[Province_RDC],"Pas de correspondance")</f>
        <v>Haut-Uele</v>
      </c>
      <c r="G850" t="str">
        <f>_xlfn.XLOOKUP(Log_Reseau_Master[[#This Row],[Cell_ID]],_29_03_2026_Registre_Maintenance_V2[ID_Antenne],_29_03_2026_Registre_Maintenance_V2[Technologie],"Pas de correspondance")</f>
        <v>4G</v>
      </c>
      <c r="H850" t="str">
        <f>_xlfn.XLOOKUP(Log_Reseau_Master[[#This Row],[Cell_ID]],_29_03_2026_Registre_Maintenance_V2[ID_Antenne],_29_03_2026_Registre_Maintenance_V2[Equipementier],"Pas de correspondance")</f>
        <v>Huawei</v>
      </c>
    </row>
    <row r="851" spans="1:8" x14ac:dyDescent="0.25">
      <c r="A851" s="1">
        <v>45206.6875</v>
      </c>
      <c r="B851" s="4">
        <f>Log_Reseau_Master[[#This Row],[Duree_Panne_Min]]/1440</f>
        <v>5.2777777777777778E-2</v>
      </c>
      <c r="C851" t="s">
        <v>392</v>
      </c>
      <c r="D851">
        <v>76</v>
      </c>
      <c r="E851" t="s">
        <v>1321</v>
      </c>
      <c r="F851" t="str">
        <f>_xlfn.XLOOKUP(Log_Reseau_Master[[#This Row],[Cell_ID]],_29_03_2026_Registre_Maintenance_V2[ID_Antenne],_29_03_2026_Registre_Maintenance_V2[Province_RDC],"Pas de correspondance")</f>
        <v>Haut-Uele</v>
      </c>
      <c r="G851" t="str">
        <f>_xlfn.XLOOKUP(Log_Reseau_Master[[#This Row],[Cell_ID]],_29_03_2026_Registre_Maintenance_V2[ID_Antenne],_29_03_2026_Registre_Maintenance_V2[Technologie],"Pas de correspondance")</f>
        <v>4G</v>
      </c>
      <c r="H851" t="str">
        <f>_xlfn.XLOOKUP(Log_Reseau_Master[[#This Row],[Cell_ID]],_29_03_2026_Registre_Maintenance_V2[ID_Antenne],_29_03_2026_Registre_Maintenance_V2[Equipementier],"Pas de correspondance")</f>
        <v>Huawei</v>
      </c>
    </row>
    <row r="852" spans="1:8" hidden="1" x14ac:dyDescent="0.25">
      <c r="A852" s="1">
        <v>45220.428472222222</v>
      </c>
      <c r="B852">
        <f>Log_Reseau_Master[[#This Row],[Duree_Panne_Min]]/1440</f>
        <v>1.8055555555555554E-2</v>
      </c>
      <c r="C852" t="s">
        <v>1604</v>
      </c>
      <c r="D852">
        <v>26</v>
      </c>
      <c r="E852" t="s">
        <v>1321</v>
      </c>
      <c r="F852" t="str">
        <f>_xlfn.XLOOKUP(Log_Reseau_Master[[#This Row],[Cell_ID]],_29_03_2026_Registre_Maintenance_V2[ID_Antenne],_29_03_2026_Registre_Maintenance_V2[Province_RDC],"Pas de correspondance")</f>
        <v>Pas de correspondance</v>
      </c>
      <c r="G852" t="str">
        <f>_xlfn.XLOOKUP(Log_Reseau_Master[[#This Row],[Cell_ID]],_29_03_2026_Registre_Maintenance_V2[ID_Antenne],_29_03_2026_Registre_Maintenance_V2[Technologie],"Pas de correspondance")</f>
        <v>Pas de correspondance</v>
      </c>
      <c r="H852" t="str">
        <f>_xlfn.XLOOKUP(Log_Reseau_Master[[#This Row],[Cell_ID]],_29_03_2026_Registre_Maintenance_V2[ID_Antenne],_29_03_2026_Registre_Maintenance_V2[Equipementier],"Pas de correspondance")</f>
        <v>Pas de correspondance</v>
      </c>
    </row>
    <row r="853" spans="1:8" hidden="1" x14ac:dyDescent="0.25">
      <c r="A853" s="1">
        <v>45222.478472222225</v>
      </c>
      <c r="B853">
        <f>Log_Reseau_Master[[#This Row],[Duree_Panne_Min]]/1440</f>
        <v>0.05</v>
      </c>
      <c r="C853" t="s">
        <v>1604</v>
      </c>
      <c r="D853">
        <v>72</v>
      </c>
      <c r="E853" t="s">
        <v>1312</v>
      </c>
      <c r="F853" t="str">
        <f>_xlfn.XLOOKUP(Log_Reseau_Master[[#This Row],[Cell_ID]],_29_03_2026_Registre_Maintenance_V2[ID_Antenne],_29_03_2026_Registre_Maintenance_V2[Province_RDC],"Pas de correspondance")</f>
        <v>Pas de correspondance</v>
      </c>
      <c r="G853" t="str">
        <f>_xlfn.XLOOKUP(Log_Reseau_Master[[#This Row],[Cell_ID]],_29_03_2026_Registre_Maintenance_V2[ID_Antenne],_29_03_2026_Registre_Maintenance_V2[Technologie],"Pas de correspondance")</f>
        <v>Pas de correspondance</v>
      </c>
      <c r="H853" t="str">
        <f>_xlfn.XLOOKUP(Log_Reseau_Master[[#This Row],[Cell_ID]],_29_03_2026_Registre_Maintenance_V2[ID_Antenne],_29_03_2026_Registre_Maintenance_V2[Equipementier],"Pas de correspondance")</f>
        <v>Pas de correspondance</v>
      </c>
    </row>
    <row r="854" spans="1:8" hidden="1" x14ac:dyDescent="0.25">
      <c r="A854" s="1">
        <v>45227.329861111109</v>
      </c>
      <c r="B854">
        <f>Log_Reseau_Master[[#This Row],[Duree_Panne_Min]]/1440</f>
        <v>5.6250000000000001E-2</v>
      </c>
      <c r="C854" t="s">
        <v>1604</v>
      </c>
      <c r="D854">
        <v>81</v>
      </c>
      <c r="E854" t="s">
        <v>1312</v>
      </c>
      <c r="F854" t="str">
        <f>_xlfn.XLOOKUP(Log_Reseau_Master[[#This Row],[Cell_ID]],_29_03_2026_Registre_Maintenance_V2[ID_Antenne],_29_03_2026_Registre_Maintenance_V2[Province_RDC],"Pas de correspondance")</f>
        <v>Pas de correspondance</v>
      </c>
      <c r="G854" t="str">
        <f>_xlfn.XLOOKUP(Log_Reseau_Master[[#This Row],[Cell_ID]],_29_03_2026_Registre_Maintenance_V2[ID_Antenne],_29_03_2026_Registre_Maintenance_V2[Technologie],"Pas de correspondance")</f>
        <v>Pas de correspondance</v>
      </c>
      <c r="H854" t="str">
        <f>_xlfn.XLOOKUP(Log_Reseau_Master[[#This Row],[Cell_ID]],_29_03_2026_Registre_Maintenance_V2[ID_Antenne],_29_03_2026_Registre_Maintenance_V2[Equipementier],"Pas de correspondance")</f>
        <v>Pas de correspondance</v>
      </c>
    </row>
    <row r="855" spans="1:8" hidden="1" x14ac:dyDescent="0.25">
      <c r="A855" s="1">
        <v>45209.904861111114</v>
      </c>
      <c r="B855">
        <f>Log_Reseau_Master[[#This Row],[Duree_Panne_Min]]/1440</f>
        <v>3.125E-2</v>
      </c>
      <c r="C855" t="s">
        <v>1604</v>
      </c>
      <c r="D855">
        <v>45</v>
      </c>
      <c r="E855" t="s">
        <v>1321</v>
      </c>
      <c r="F855" t="str">
        <f>_xlfn.XLOOKUP(Log_Reseau_Master[[#This Row],[Cell_ID]],_29_03_2026_Registre_Maintenance_V2[ID_Antenne],_29_03_2026_Registre_Maintenance_V2[Province_RDC],"Pas de correspondance")</f>
        <v>Pas de correspondance</v>
      </c>
      <c r="G855" t="str">
        <f>_xlfn.XLOOKUP(Log_Reseau_Master[[#This Row],[Cell_ID]],_29_03_2026_Registre_Maintenance_V2[ID_Antenne],_29_03_2026_Registre_Maintenance_V2[Technologie],"Pas de correspondance")</f>
        <v>Pas de correspondance</v>
      </c>
      <c r="H855" t="str">
        <f>_xlfn.XLOOKUP(Log_Reseau_Master[[#This Row],[Cell_ID]],_29_03_2026_Registre_Maintenance_V2[ID_Antenne],_29_03_2026_Registre_Maintenance_V2[Equipementier],"Pas de correspondance")</f>
        <v>Pas de correspondance</v>
      </c>
    </row>
    <row r="856" spans="1:8" hidden="1" x14ac:dyDescent="0.25">
      <c r="A856" s="1">
        <v>45209.581944444442</v>
      </c>
      <c r="B856">
        <f>Log_Reseau_Master[[#This Row],[Duree_Panne_Min]]/1440</f>
        <v>6.458333333333334E-2</v>
      </c>
      <c r="C856" t="s">
        <v>1605</v>
      </c>
      <c r="D856">
        <v>93</v>
      </c>
      <c r="E856" t="s">
        <v>1312</v>
      </c>
      <c r="F856" t="str">
        <f>_xlfn.XLOOKUP(Log_Reseau_Master[[#This Row],[Cell_ID]],_29_03_2026_Registre_Maintenance_V2[ID_Antenne],_29_03_2026_Registre_Maintenance_V2[Province_RDC],"Pas de correspondance")</f>
        <v>Pas de correspondance</v>
      </c>
      <c r="G856" t="str">
        <f>_xlfn.XLOOKUP(Log_Reseau_Master[[#This Row],[Cell_ID]],_29_03_2026_Registre_Maintenance_V2[ID_Antenne],_29_03_2026_Registre_Maintenance_V2[Technologie],"Pas de correspondance")</f>
        <v>Pas de correspondance</v>
      </c>
      <c r="H856" t="str">
        <f>_xlfn.XLOOKUP(Log_Reseau_Master[[#This Row],[Cell_ID]],_29_03_2026_Registre_Maintenance_V2[ID_Antenne],_29_03_2026_Registre_Maintenance_V2[Equipementier],"Pas de correspondance")</f>
        <v>Pas de correspondance</v>
      </c>
    </row>
    <row r="857" spans="1:8" hidden="1" x14ac:dyDescent="0.25">
      <c r="A857" s="1">
        <v>45201.457638888889</v>
      </c>
      <c r="B857">
        <f>Log_Reseau_Master[[#This Row],[Duree_Panne_Min]]/1440</f>
        <v>2.9166666666666667E-2</v>
      </c>
      <c r="C857" t="s">
        <v>1606</v>
      </c>
      <c r="D857">
        <v>42</v>
      </c>
      <c r="E857" t="s">
        <v>1321</v>
      </c>
      <c r="F857" t="str">
        <f>_xlfn.XLOOKUP(Log_Reseau_Master[[#This Row],[Cell_ID]],_29_03_2026_Registre_Maintenance_V2[ID_Antenne],_29_03_2026_Registre_Maintenance_V2[Province_RDC],"Pas de correspondance")</f>
        <v>Pas de correspondance</v>
      </c>
      <c r="G857" t="str">
        <f>_xlfn.XLOOKUP(Log_Reseau_Master[[#This Row],[Cell_ID]],_29_03_2026_Registre_Maintenance_V2[ID_Antenne],_29_03_2026_Registre_Maintenance_V2[Technologie],"Pas de correspondance")</f>
        <v>Pas de correspondance</v>
      </c>
      <c r="H857" t="str">
        <f>_xlfn.XLOOKUP(Log_Reseau_Master[[#This Row],[Cell_ID]],_29_03_2026_Registre_Maintenance_V2[ID_Antenne],_29_03_2026_Registre_Maintenance_V2[Equipementier],"Pas de correspondance")</f>
        <v>Pas de correspondance</v>
      </c>
    </row>
    <row r="858" spans="1:8" hidden="1" x14ac:dyDescent="0.25">
      <c r="A858" s="1">
        <v>45221.339583333334</v>
      </c>
      <c r="B858">
        <f>Log_Reseau_Master[[#This Row],[Duree_Panne_Min]]/1440</f>
        <v>6.7361111111111108E-2</v>
      </c>
      <c r="C858" t="s">
        <v>1607</v>
      </c>
      <c r="D858">
        <v>97</v>
      </c>
      <c r="E858" t="s">
        <v>1312</v>
      </c>
      <c r="F858" t="str">
        <f>_xlfn.XLOOKUP(Log_Reseau_Master[[#This Row],[Cell_ID]],_29_03_2026_Registre_Maintenance_V2[ID_Antenne],_29_03_2026_Registre_Maintenance_V2[Province_RDC],"Pas de correspondance")</f>
        <v>Pas de correspondance</v>
      </c>
      <c r="G858" t="str">
        <f>_xlfn.XLOOKUP(Log_Reseau_Master[[#This Row],[Cell_ID]],_29_03_2026_Registre_Maintenance_V2[ID_Antenne],_29_03_2026_Registre_Maintenance_V2[Technologie],"Pas de correspondance")</f>
        <v>Pas de correspondance</v>
      </c>
      <c r="H858" t="str">
        <f>_xlfn.XLOOKUP(Log_Reseau_Master[[#This Row],[Cell_ID]],_29_03_2026_Registre_Maintenance_V2[ID_Antenne],_29_03_2026_Registre_Maintenance_V2[Equipementier],"Pas de correspondance")</f>
        <v>Pas de correspondance</v>
      </c>
    </row>
    <row r="859" spans="1:8" hidden="1" x14ac:dyDescent="0.25">
      <c r="A859" s="1">
        <v>45204.84652777778</v>
      </c>
      <c r="B859">
        <f>Log_Reseau_Master[[#This Row],[Duree_Panne_Min]]/1440</f>
        <v>1.1111111111111112E-2</v>
      </c>
      <c r="C859" t="s">
        <v>1607</v>
      </c>
      <c r="D859">
        <v>16</v>
      </c>
      <c r="E859" t="s">
        <v>1321</v>
      </c>
      <c r="F859" t="str">
        <f>_xlfn.XLOOKUP(Log_Reseau_Master[[#This Row],[Cell_ID]],_29_03_2026_Registre_Maintenance_V2[ID_Antenne],_29_03_2026_Registre_Maintenance_V2[Province_RDC],"Pas de correspondance")</f>
        <v>Pas de correspondance</v>
      </c>
      <c r="G859" t="str">
        <f>_xlfn.XLOOKUP(Log_Reseau_Master[[#This Row],[Cell_ID]],_29_03_2026_Registre_Maintenance_V2[ID_Antenne],_29_03_2026_Registre_Maintenance_V2[Technologie],"Pas de correspondance")</f>
        <v>Pas de correspondance</v>
      </c>
      <c r="H859" t="str">
        <f>_xlfn.XLOOKUP(Log_Reseau_Master[[#This Row],[Cell_ID]],_29_03_2026_Registre_Maintenance_V2[ID_Antenne],_29_03_2026_Registre_Maintenance_V2[Equipementier],"Pas de correspondance")</f>
        <v>Pas de correspondance</v>
      </c>
    </row>
    <row r="860" spans="1:8" x14ac:dyDescent="0.25">
      <c r="A860" s="1">
        <v>45220.11041666667</v>
      </c>
      <c r="B860" s="4">
        <f>Log_Reseau_Master[[#This Row],[Duree_Panne_Min]]/1440</f>
        <v>7.7083333333333337E-2</v>
      </c>
      <c r="C860" t="s">
        <v>490</v>
      </c>
      <c r="D860">
        <v>111</v>
      </c>
      <c r="E860" t="s">
        <v>1321</v>
      </c>
      <c r="F860" t="str">
        <f>_xlfn.XLOOKUP(Log_Reseau_Master[[#This Row],[Cell_ID]],_29_03_2026_Registre_Maintenance_V2[ID_Antenne],_29_03_2026_Registre_Maintenance_V2[Province_RDC],"Pas de correspondance")</f>
        <v>Ituri</v>
      </c>
      <c r="G860" t="str">
        <f>_xlfn.XLOOKUP(Log_Reseau_Master[[#This Row],[Cell_ID]],_29_03_2026_Registre_Maintenance_V2[ID_Antenne],_29_03_2026_Registre_Maintenance_V2[Technologie],"Pas de correspondance")</f>
        <v>3G</v>
      </c>
      <c r="H860" t="str">
        <f>_xlfn.XLOOKUP(Log_Reseau_Master[[#This Row],[Cell_ID]],_29_03_2026_Registre_Maintenance_V2[ID_Antenne],_29_03_2026_Registre_Maintenance_V2[Equipementier],"Pas de correspondance")</f>
        <v>Nokia</v>
      </c>
    </row>
    <row r="861" spans="1:8" x14ac:dyDescent="0.25">
      <c r="A861" s="1">
        <v>45228.880555555559</v>
      </c>
      <c r="B861" s="4">
        <f>Log_Reseau_Master[[#This Row],[Duree_Panne_Min]]/1440</f>
        <v>7.7777777777777779E-2</v>
      </c>
      <c r="C861" t="s">
        <v>490</v>
      </c>
      <c r="D861">
        <v>112</v>
      </c>
      <c r="E861" t="s">
        <v>1321</v>
      </c>
      <c r="F861" t="str">
        <f>_xlfn.XLOOKUP(Log_Reseau_Master[[#This Row],[Cell_ID]],_29_03_2026_Registre_Maintenance_V2[ID_Antenne],_29_03_2026_Registre_Maintenance_V2[Province_RDC],"Pas de correspondance")</f>
        <v>Ituri</v>
      </c>
      <c r="G861" t="str">
        <f>_xlfn.XLOOKUP(Log_Reseau_Master[[#This Row],[Cell_ID]],_29_03_2026_Registre_Maintenance_V2[ID_Antenne],_29_03_2026_Registre_Maintenance_V2[Technologie],"Pas de correspondance")</f>
        <v>3G</v>
      </c>
      <c r="H861" t="str">
        <f>_xlfn.XLOOKUP(Log_Reseau_Master[[#This Row],[Cell_ID]],_29_03_2026_Registre_Maintenance_V2[ID_Antenne],_29_03_2026_Registre_Maintenance_V2[Equipementier],"Pas de correspondance")</f>
        <v>Nokia</v>
      </c>
    </row>
    <row r="862" spans="1:8" hidden="1" x14ac:dyDescent="0.25">
      <c r="A862" s="1">
        <v>45213.328472222223</v>
      </c>
      <c r="B862">
        <f>Log_Reseau_Master[[#This Row],[Duree_Panne_Min]]/1440</f>
        <v>1.5277777777777777E-2</v>
      </c>
      <c r="C862" t="s">
        <v>1608</v>
      </c>
      <c r="D862">
        <v>22</v>
      </c>
      <c r="E862" t="s">
        <v>1321</v>
      </c>
      <c r="F862" t="str">
        <f>_xlfn.XLOOKUP(Log_Reseau_Master[[#This Row],[Cell_ID]],_29_03_2026_Registre_Maintenance_V2[ID_Antenne],_29_03_2026_Registre_Maintenance_V2[Province_RDC],"Pas de correspondance")</f>
        <v>Pas de correspondance</v>
      </c>
      <c r="G862" t="str">
        <f>_xlfn.XLOOKUP(Log_Reseau_Master[[#This Row],[Cell_ID]],_29_03_2026_Registre_Maintenance_V2[ID_Antenne],_29_03_2026_Registre_Maintenance_V2[Technologie],"Pas de correspondance")</f>
        <v>Pas de correspondance</v>
      </c>
      <c r="H862" t="str">
        <f>_xlfn.XLOOKUP(Log_Reseau_Master[[#This Row],[Cell_ID]],_29_03_2026_Registre_Maintenance_V2[ID_Antenne],_29_03_2026_Registre_Maintenance_V2[Equipementier],"Pas de correspondance")</f>
        <v>Pas de correspondance</v>
      </c>
    </row>
    <row r="863" spans="1:8" hidden="1" x14ac:dyDescent="0.25">
      <c r="A863" s="1">
        <v>45210.054166666669</v>
      </c>
      <c r="B863">
        <f>Log_Reseau_Master[[#This Row],[Duree_Panne_Min]]/1440</f>
        <v>4.7222222222222221E-2</v>
      </c>
      <c r="C863" t="s">
        <v>1609</v>
      </c>
      <c r="D863">
        <v>68</v>
      </c>
      <c r="E863" t="s">
        <v>1321</v>
      </c>
      <c r="F863" t="str">
        <f>_xlfn.XLOOKUP(Log_Reseau_Master[[#This Row],[Cell_ID]],_29_03_2026_Registre_Maintenance_V2[ID_Antenne],_29_03_2026_Registre_Maintenance_V2[Province_RDC],"Pas de correspondance")</f>
        <v>Pas de correspondance</v>
      </c>
      <c r="G863" t="str">
        <f>_xlfn.XLOOKUP(Log_Reseau_Master[[#This Row],[Cell_ID]],_29_03_2026_Registre_Maintenance_V2[ID_Antenne],_29_03_2026_Registre_Maintenance_V2[Technologie],"Pas de correspondance")</f>
        <v>Pas de correspondance</v>
      </c>
      <c r="H863" t="str">
        <f>_xlfn.XLOOKUP(Log_Reseau_Master[[#This Row],[Cell_ID]],_29_03_2026_Registre_Maintenance_V2[ID_Antenne],_29_03_2026_Registre_Maintenance_V2[Equipementier],"Pas de correspondance")</f>
        <v>Pas de correspondance</v>
      </c>
    </row>
    <row r="864" spans="1:8" hidden="1" x14ac:dyDescent="0.25">
      <c r="A864" s="1">
        <v>45227.839583333334</v>
      </c>
      <c r="B864">
        <f>Log_Reseau_Master[[#This Row],[Duree_Panne_Min]]/1440</f>
        <v>6.5277777777777782E-2</v>
      </c>
      <c r="C864" t="s">
        <v>1610</v>
      </c>
      <c r="D864">
        <v>94</v>
      </c>
      <c r="E864" t="s">
        <v>1321</v>
      </c>
      <c r="F864" t="str">
        <f>_xlfn.XLOOKUP(Log_Reseau_Master[[#This Row],[Cell_ID]],_29_03_2026_Registre_Maintenance_V2[ID_Antenne],_29_03_2026_Registre_Maintenance_V2[Province_RDC],"Pas de correspondance")</f>
        <v>Pas de correspondance</v>
      </c>
      <c r="G864" t="str">
        <f>_xlfn.XLOOKUP(Log_Reseau_Master[[#This Row],[Cell_ID]],_29_03_2026_Registre_Maintenance_V2[ID_Antenne],_29_03_2026_Registre_Maintenance_V2[Technologie],"Pas de correspondance")</f>
        <v>Pas de correspondance</v>
      </c>
      <c r="H864" t="str">
        <f>_xlfn.XLOOKUP(Log_Reseau_Master[[#This Row],[Cell_ID]],_29_03_2026_Registre_Maintenance_V2[ID_Antenne],_29_03_2026_Registre_Maintenance_V2[Equipementier],"Pas de correspondance")</f>
        <v>Pas de correspondance</v>
      </c>
    </row>
    <row r="865" spans="1:8" x14ac:dyDescent="0.25">
      <c r="A865" s="1">
        <v>45200.67083333333</v>
      </c>
      <c r="B865" s="4">
        <f>Log_Reseau_Master[[#This Row],[Duree_Panne_Min]]/1440</f>
        <v>5.1388888888888887E-2</v>
      </c>
      <c r="C865" t="s">
        <v>420</v>
      </c>
      <c r="D865">
        <v>74</v>
      </c>
      <c r="E865" t="s">
        <v>1321</v>
      </c>
      <c r="F865" t="str">
        <f>_xlfn.XLOOKUP(Log_Reseau_Master[[#This Row],[Cell_ID]],_29_03_2026_Registre_Maintenance_V2[ID_Antenne],_29_03_2026_Registre_Maintenance_V2[Province_RDC],"Pas de correspondance")</f>
        <v>Ituri</v>
      </c>
      <c r="G865" t="str">
        <f>_xlfn.XLOOKUP(Log_Reseau_Master[[#This Row],[Cell_ID]],_29_03_2026_Registre_Maintenance_V2[ID_Antenne],_29_03_2026_Registre_Maintenance_V2[Technologie],"Pas de correspondance")</f>
        <v>4G</v>
      </c>
      <c r="H865" t="str">
        <f>_xlfn.XLOOKUP(Log_Reseau_Master[[#This Row],[Cell_ID]],_29_03_2026_Registre_Maintenance_V2[ID_Antenne],_29_03_2026_Registre_Maintenance_V2[Equipementier],"Pas de correspondance")</f>
        <v>ZTE</v>
      </c>
    </row>
    <row r="866" spans="1:8" x14ac:dyDescent="0.25">
      <c r="A866" s="1">
        <v>45227.660416666666</v>
      </c>
      <c r="B866" s="4">
        <f>Log_Reseau_Master[[#This Row],[Duree_Panne_Min]]/1440</f>
        <v>4.6527777777777779E-2</v>
      </c>
      <c r="C866" t="s">
        <v>135</v>
      </c>
      <c r="D866">
        <v>67</v>
      </c>
      <c r="E866" t="s">
        <v>1321</v>
      </c>
      <c r="F866" t="str">
        <f>_xlfn.XLOOKUP(Log_Reseau_Master[[#This Row],[Cell_ID]],_29_03_2026_Registre_Maintenance_V2[ID_Antenne],_29_03_2026_Registre_Maintenance_V2[Province_RDC],"Pas de correspondance")</f>
        <v>Kasai</v>
      </c>
      <c r="G866" t="str">
        <f>_xlfn.XLOOKUP(Log_Reseau_Master[[#This Row],[Cell_ID]],_29_03_2026_Registre_Maintenance_V2[ID_Antenne],_29_03_2026_Registre_Maintenance_V2[Technologie],"Pas de correspondance")</f>
        <v>5G</v>
      </c>
      <c r="H866" t="str">
        <f>_xlfn.XLOOKUP(Log_Reseau_Master[[#This Row],[Cell_ID]],_29_03_2026_Registre_Maintenance_V2[ID_Antenne],_29_03_2026_Registre_Maintenance_V2[Equipementier],"Pas de correspondance")</f>
        <v>Huawei</v>
      </c>
    </row>
    <row r="867" spans="1:8" x14ac:dyDescent="0.25">
      <c r="A867" s="1">
        <v>45211.106249999997</v>
      </c>
      <c r="B867" s="4">
        <f>Log_Reseau_Master[[#This Row],[Duree_Panne_Min]]/1440</f>
        <v>7.4305555555555555E-2</v>
      </c>
      <c r="C867" t="s">
        <v>135</v>
      </c>
      <c r="D867">
        <v>107</v>
      </c>
      <c r="E867" t="s">
        <v>1314</v>
      </c>
      <c r="F867" t="str">
        <f>_xlfn.XLOOKUP(Log_Reseau_Master[[#This Row],[Cell_ID]],_29_03_2026_Registre_Maintenance_V2[ID_Antenne],_29_03_2026_Registre_Maintenance_V2[Province_RDC],"Pas de correspondance")</f>
        <v>Kasai</v>
      </c>
      <c r="G867" t="str">
        <f>_xlfn.XLOOKUP(Log_Reseau_Master[[#This Row],[Cell_ID]],_29_03_2026_Registre_Maintenance_V2[ID_Antenne],_29_03_2026_Registre_Maintenance_V2[Technologie],"Pas de correspondance")</f>
        <v>5G</v>
      </c>
      <c r="H867" t="str">
        <f>_xlfn.XLOOKUP(Log_Reseau_Master[[#This Row],[Cell_ID]],_29_03_2026_Registre_Maintenance_V2[ID_Antenne],_29_03_2026_Registre_Maintenance_V2[Equipementier],"Pas de correspondance")</f>
        <v>Huawei</v>
      </c>
    </row>
    <row r="868" spans="1:8" x14ac:dyDescent="0.25">
      <c r="A868" s="1">
        <v>45211.234722222223</v>
      </c>
      <c r="B868" s="4">
        <f>Log_Reseau_Master[[#This Row],[Duree_Panne_Min]]/1440</f>
        <v>4.3055555555555555E-2</v>
      </c>
      <c r="C868" t="s">
        <v>177</v>
      </c>
      <c r="D868">
        <v>62</v>
      </c>
      <c r="E868" t="s">
        <v>1321</v>
      </c>
      <c r="F868" t="str">
        <f>_xlfn.XLOOKUP(Log_Reseau_Master[[#This Row],[Cell_ID]],_29_03_2026_Registre_Maintenance_V2[ID_Antenne],_29_03_2026_Registre_Maintenance_V2[Province_RDC],"Pas de correspondance")</f>
        <v>Nord-Kivu</v>
      </c>
      <c r="G868" t="str">
        <f>_xlfn.XLOOKUP(Log_Reseau_Master[[#This Row],[Cell_ID]],_29_03_2026_Registre_Maintenance_V2[ID_Antenne],_29_03_2026_Registre_Maintenance_V2[Technologie],"Pas de correspondance")</f>
        <v>5G</v>
      </c>
      <c r="H868" t="str">
        <f>_xlfn.XLOOKUP(Log_Reseau_Master[[#This Row],[Cell_ID]],_29_03_2026_Registre_Maintenance_V2[ID_Antenne],_29_03_2026_Registre_Maintenance_V2[Equipementier],"Pas de correspondance")</f>
        <v>Nokia</v>
      </c>
    </row>
    <row r="869" spans="1:8" x14ac:dyDescent="0.25">
      <c r="A869" s="1">
        <v>45220.469444444447</v>
      </c>
      <c r="B869" s="4">
        <f>Log_Reseau_Master[[#This Row],[Duree_Panne_Min]]/1440</f>
        <v>1.1805555555555555E-2</v>
      </c>
      <c r="C869" t="s">
        <v>481</v>
      </c>
      <c r="D869">
        <v>17</v>
      </c>
      <c r="E869" t="s">
        <v>1312</v>
      </c>
      <c r="F869" t="str">
        <f>_xlfn.XLOOKUP(Log_Reseau_Master[[#This Row],[Cell_ID]],_29_03_2026_Registre_Maintenance_V2[ID_Antenne],_29_03_2026_Registre_Maintenance_V2[Province_RDC],"Pas de correspondance")</f>
        <v>Sud-Kivu</v>
      </c>
      <c r="G869" t="str">
        <f>_xlfn.XLOOKUP(Log_Reseau_Master[[#This Row],[Cell_ID]],_29_03_2026_Registre_Maintenance_V2[ID_Antenne],_29_03_2026_Registre_Maintenance_V2[Technologie],"Pas de correspondance")</f>
        <v>3G</v>
      </c>
      <c r="H869" t="str">
        <f>_xlfn.XLOOKUP(Log_Reseau_Master[[#This Row],[Cell_ID]],_29_03_2026_Registre_Maintenance_V2[ID_Antenne],_29_03_2026_Registre_Maintenance_V2[Equipementier],"Pas de correspondance")</f>
        <v>ZTE</v>
      </c>
    </row>
    <row r="870" spans="1:8" x14ac:dyDescent="0.25">
      <c r="A870" s="1">
        <v>45200.493055555555</v>
      </c>
      <c r="B870" s="4">
        <f>Log_Reseau_Master[[#This Row],[Duree_Panne_Min]]/1440</f>
        <v>7.8472222222222221E-2</v>
      </c>
      <c r="C870" t="s">
        <v>481</v>
      </c>
      <c r="D870">
        <v>113</v>
      </c>
      <c r="E870" t="s">
        <v>1314</v>
      </c>
      <c r="F870" t="str">
        <f>_xlfn.XLOOKUP(Log_Reseau_Master[[#This Row],[Cell_ID]],_29_03_2026_Registre_Maintenance_V2[ID_Antenne],_29_03_2026_Registre_Maintenance_V2[Province_RDC],"Pas de correspondance")</f>
        <v>Sud-Kivu</v>
      </c>
      <c r="G870" t="str">
        <f>_xlfn.XLOOKUP(Log_Reseau_Master[[#This Row],[Cell_ID]],_29_03_2026_Registre_Maintenance_V2[ID_Antenne],_29_03_2026_Registre_Maintenance_V2[Technologie],"Pas de correspondance")</f>
        <v>3G</v>
      </c>
      <c r="H870" t="str">
        <f>_xlfn.XLOOKUP(Log_Reseau_Master[[#This Row],[Cell_ID]],_29_03_2026_Registre_Maintenance_V2[ID_Antenne],_29_03_2026_Registre_Maintenance_V2[Equipementier],"Pas de correspondance")</f>
        <v>ZTE</v>
      </c>
    </row>
    <row r="871" spans="1:8" hidden="1" x14ac:dyDescent="0.25">
      <c r="A871" s="1">
        <v>45211.705555555556</v>
      </c>
      <c r="B871">
        <f>Log_Reseau_Master[[#This Row],[Duree_Panne_Min]]/1440</f>
        <v>6.5972222222222224E-2</v>
      </c>
      <c r="C871" t="s">
        <v>1611</v>
      </c>
      <c r="D871">
        <v>95</v>
      </c>
      <c r="E871" t="s">
        <v>1312</v>
      </c>
      <c r="F871" t="str">
        <f>_xlfn.XLOOKUP(Log_Reseau_Master[[#This Row],[Cell_ID]],_29_03_2026_Registre_Maintenance_V2[ID_Antenne],_29_03_2026_Registre_Maintenance_V2[Province_RDC],"Pas de correspondance")</f>
        <v>Pas de correspondance</v>
      </c>
      <c r="G871" t="str">
        <f>_xlfn.XLOOKUP(Log_Reseau_Master[[#This Row],[Cell_ID]],_29_03_2026_Registre_Maintenance_V2[ID_Antenne],_29_03_2026_Registre_Maintenance_V2[Technologie],"Pas de correspondance")</f>
        <v>Pas de correspondance</v>
      </c>
      <c r="H871" t="str">
        <f>_xlfn.XLOOKUP(Log_Reseau_Master[[#This Row],[Cell_ID]],_29_03_2026_Registre_Maintenance_V2[ID_Antenne],_29_03_2026_Registre_Maintenance_V2[Equipementier],"Pas de correspondance")</f>
        <v>Pas de correspondance</v>
      </c>
    </row>
    <row r="872" spans="1:8" hidden="1" x14ac:dyDescent="0.25">
      <c r="A872" s="1">
        <v>45207.772916666669</v>
      </c>
      <c r="B872">
        <f>Log_Reseau_Master[[#This Row],[Duree_Panne_Min]]/1440</f>
        <v>3.8194444444444448E-2</v>
      </c>
      <c r="C872" t="s">
        <v>1611</v>
      </c>
      <c r="D872">
        <v>55</v>
      </c>
      <c r="E872" t="s">
        <v>1312</v>
      </c>
      <c r="F872" t="str">
        <f>_xlfn.XLOOKUP(Log_Reseau_Master[[#This Row],[Cell_ID]],_29_03_2026_Registre_Maintenance_V2[ID_Antenne],_29_03_2026_Registre_Maintenance_V2[Province_RDC],"Pas de correspondance")</f>
        <v>Pas de correspondance</v>
      </c>
      <c r="G872" t="str">
        <f>_xlfn.XLOOKUP(Log_Reseau_Master[[#This Row],[Cell_ID]],_29_03_2026_Registre_Maintenance_V2[ID_Antenne],_29_03_2026_Registre_Maintenance_V2[Technologie],"Pas de correspondance")</f>
        <v>Pas de correspondance</v>
      </c>
      <c r="H872" t="str">
        <f>_xlfn.XLOOKUP(Log_Reseau_Master[[#This Row],[Cell_ID]],_29_03_2026_Registre_Maintenance_V2[ID_Antenne],_29_03_2026_Registre_Maintenance_V2[Equipementier],"Pas de correspondance")</f>
        <v>Pas de correspondance</v>
      </c>
    </row>
    <row r="873" spans="1:8" hidden="1" x14ac:dyDescent="0.25">
      <c r="A873" s="1">
        <v>45205.89166666667</v>
      </c>
      <c r="B873">
        <f>Log_Reseau_Master[[#This Row],[Duree_Panne_Min]]/1440</f>
        <v>3.125E-2</v>
      </c>
      <c r="C873" t="s">
        <v>1611</v>
      </c>
      <c r="D873">
        <v>45</v>
      </c>
      <c r="E873" t="s">
        <v>1312</v>
      </c>
      <c r="F873" t="str">
        <f>_xlfn.XLOOKUP(Log_Reseau_Master[[#This Row],[Cell_ID]],_29_03_2026_Registre_Maintenance_V2[ID_Antenne],_29_03_2026_Registre_Maintenance_V2[Province_RDC],"Pas de correspondance")</f>
        <v>Pas de correspondance</v>
      </c>
      <c r="G873" t="str">
        <f>_xlfn.XLOOKUP(Log_Reseau_Master[[#This Row],[Cell_ID]],_29_03_2026_Registre_Maintenance_V2[ID_Antenne],_29_03_2026_Registre_Maintenance_V2[Technologie],"Pas de correspondance")</f>
        <v>Pas de correspondance</v>
      </c>
      <c r="H873" t="str">
        <f>_xlfn.XLOOKUP(Log_Reseau_Master[[#This Row],[Cell_ID]],_29_03_2026_Registre_Maintenance_V2[ID_Antenne],_29_03_2026_Registre_Maintenance_V2[Equipementier],"Pas de correspondance")</f>
        <v>Pas de correspondance</v>
      </c>
    </row>
    <row r="874" spans="1:8" hidden="1" x14ac:dyDescent="0.25">
      <c r="A874" s="1">
        <v>45203.003472222219</v>
      </c>
      <c r="B874">
        <f>Log_Reseau_Master[[#This Row],[Duree_Panne_Min]]/1440</f>
        <v>3.1944444444444442E-2</v>
      </c>
      <c r="C874" t="s">
        <v>1612</v>
      </c>
      <c r="D874">
        <v>46</v>
      </c>
      <c r="E874" t="s">
        <v>1312</v>
      </c>
      <c r="F874" t="str">
        <f>_xlfn.XLOOKUP(Log_Reseau_Master[[#This Row],[Cell_ID]],_29_03_2026_Registre_Maintenance_V2[ID_Antenne],_29_03_2026_Registre_Maintenance_V2[Province_RDC],"Pas de correspondance")</f>
        <v>Pas de correspondance</v>
      </c>
      <c r="G874" t="str">
        <f>_xlfn.XLOOKUP(Log_Reseau_Master[[#This Row],[Cell_ID]],_29_03_2026_Registre_Maintenance_V2[ID_Antenne],_29_03_2026_Registre_Maintenance_V2[Technologie],"Pas de correspondance")</f>
        <v>Pas de correspondance</v>
      </c>
      <c r="H874" t="str">
        <f>_xlfn.XLOOKUP(Log_Reseau_Master[[#This Row],[Cell_ID]],_29_03_2026_Registre_Maintenance_V2[ID_Antenne],_29_03_2026_Registre_Maintenance_V2[Equipementier],"Pas de correspondance")</f>
        <v>Pas de correspondance</v>
      </c>
    </row>
    <row r="875" spans="1:8" hidden="1" x14ac:dyDescent="0.25">
      <c r="A875" s="1">
        <v>45210.802777777775</v>
      </c>
      <c r="B875">
        <f>Log_Reseau_Master[[#This Row],[Duree_Panne_Min]]/1440</f>
        <v>6.2500000000000003E-3</v>
      </c>
      <c r="C875" t="s">
        <v>1613</v>
      </c>
      <c r="D875">
        <v>9</v>
      </c>
      <c r="E875" t="s">
        <v>1312</v>
      </c>
      <c r="F875" t="str">
        <f>_xlfn.XLOOKUP(Log_Reseau_Master[[#This Row],[Cell_ID]],_29_03_2026_Registre_Maintenance_V2[ID_Antenne],_29_03_2026_Registre_Maintenance_V2[Province_RDC],"Pas de correspondance")</f>
        <v>Pas de correspondance</v>
      </c>
      <c r="G875" t="str">
        <f>_xlfn.XLOOKUP(Log_Reseau_Master[[#This Row],[Cell_ID]],_29_03_2026_Registre_Maintenance_V2[ID_Antenne],_29_03_2026_Registre_Maintenance_V2[Technologie],"Pas de correspondance")</f>
        <v>Pas de correspondance</v>
      </c>
      <c r="H875" t="str">
        <f>_xlfn.XLOOKUP(Log_Reseau_Master[[#This Row],[Cell_ID]],_29_03_2026_Registre_Maintenance_V2[ID_Antenne],_29_03_2026_Registre_Maintenance_V2[Equipementier],"Pas de correspondance")</f>
        <v>Pas de correspondance</v>
      </c>
    </row>
    <row r="876" spans="1:8" hidden="1" x14ac:dyDescent="0.25">
      <c r="A876" s="1">
        <v>45221.578472222223</v>
      </c>
      <c r="B876">
        <f>Log_Reseau_Master[[#This Row],[Duree_Panne_Min]]/1440</f>
        <v>5.2777777777777778E-2</v>
      </c>
      <c r="C876" t="s">
        <v>1613</v>
      </c>
      <c r="D876">
        <v>76</v>
      </c>
      <c r="E876" t="s">
        <v>1321</v>
      </c>
      <c r="F876" t="str">
        <f>_xlfn.XLOOKUP(Log_Reseau_Master[[#This Row],[Cell_ID]],_29_03_2026_Registre_Maintenance_V2[ID_Antenne],_29_03_2026_Registre_Maintenance_V2[Province_RDC],"Pas de correspondance")</f>
        <v>Pas de correspondance</v>
      </c>
      <c r="G876" t="str">
        <f>_xlfn.XLOOKUP(Log_Reseau_Master[[#This Row],[Cell_ID]],_29_03_2026_Registre_Maintenance_V2[ID_Antenne],_29_03_2026_Registre_Maintenance_V2[Technologie],"Pas de correspondance")</f>
        <v>Pas de correspondance</v>
      </c>
      <c r="H876" t="str">
        <f>_xlfn.XLOOKUP(Log_Reseau_Master[[#This Row],[Cell_ID]],_29_03_2026_Registre_Maintenance_V2[ID_Antenne],_29_03_2026_Registre_Maintenance_V2[Equipementier],"Pas de correspondance")</f>
        <v>Pas de correspondance</v>
      </c>
    </row>
    <row r="877" spans="1:8" hidden="1" x14ac:dyDescent="0.25">
      <c r="A877" s="1">
        <v>45212.774305555555</v>
      </c>
      <c r="B877">
        <f>Log_Reseau_Master[[#This Row],[Duree_Panne_Min]]/1440</f>
        <v>2.2916666666666665E-2</v>
      </c>
      <c r="C877" t="s">
        <v>1614</v>
      </c>
      <c r="D877">
        <v>33</v>
      </c>
      <c r="E877" t="s">
        <v>1314</v>
      </c>
      <c r="F877" t="str">
        <f>_xlfn.XLOOKUP(Log_Reseau_Master[[#This Row],[Cell_ID]],_29_03_2026_Registre_Maintenance_V2[ID_Antenne],_29_03_2026_Registre_Maintenance_V2[Province_RDC],"Pas de correspondance")</f>
        <v>Pas de correspondance</v>
      </c>
      <c r="G877" t="str">
        <f>_xlfn.XLOOKUP(Log_Reseau_Master[[#This Row],[Cell_ID]],_29_03_2026_Registre_Maintenance_V2[ID_Antenne],_29_03_2026_Registre_Maintenance_V2[Technologie],"Pas de correspondance")</f>
        <v>Pas de correspondance</v>
      </c>
      <c r="H877" t="str">
        <f>_xlfn.XLOOKUP(Log_Reseau_Master[[#This Row],[Cell_ID]],_29_03_2026_Registre_Maintenance_V2[ID_Antenne],_29_03_2026_Registre_Maintenance_V2[Equipementier],"Pas de correspondance")</f>
        <v>Pas de correspondance</v>
      </c>
    </row>
    <row r="878" spans="1:8" x14ac:dyDescent="0.25">
      <c r="A878" s="1">
        <v>45207.57916666667</v>
      </c>
      <c r="B878" s="4">
        <f>Log_Reseau_Master[[#This Row],[Duree_Panne_Min]]/1440</f>
        <v>4.7222222222222221E-2</v>
      </c>
      <c r="C878" t="s">
        <v>318</v>
      </c>
      <c r="D878">
        <v>68</v>
      </c>
      <c r="E878" t="s">
        <v>1314</v>
      </c>
      <c r="F878" t="str">
        <f>_xlfn.XLOOKUP(Log_Reseau_Master[[#This Row],[Cell_ID]],_29_03_2026_Registre_Maintenance_V2[ID_Antenne],_29_03_2026_Registre_Maintenance_V2[Province_RDC],"Pas de correspondance")</f>
        <v>Ituri</v>
      </c>
      <c r="G878" t="str">
        <f>_xlfn.XLOOKUP(Log_Reseau_Master[[#This Row],[Cell_ID]],_29_03_2026_Registre_Maintenance_V2[ID_Antenne],_29_03_2026_Registre_Maintenance_V2[Technologie],"Pas de correspondance")</f>
        <v>5G</v>
      </c>
      <c r="H878" t="str">
        <f>_xlfn.XLOOKUP(Log_Reseau_Master[[#This Row],[Cell_ID]],_29_03_2026_Registre_Maintenance_V2[ID_Antenne],_29_03_2026_Registre_Maintenance_V2[Equipementier],"Pas de correspondance")</f>
        <v>ZTE</v>
      </c>
    </row>
    <row r="879" spans="1:8" x14ac:dyDescent="0.25">
      <c r="A879" s="1">
        <v>45218.991666666669</v>
      </c>
      <c r="B879" s="4">
        <f>Log_Reseau_Master[[#This Row],[Duree_Panne_Min]]/1440</f>
        <v>5.6944444444444443E-2</v>
      </c>
      <c r="C879" t="s">
        <v>318</v>
      </c>
      <c r="D879">
        <v>82</v>
      </c>
      <c r="E879" t="s">
        <v>1314</v>
      </c>
      <c r="F879" t="str">
        <f>_xlfn.XLOOKUP(Log_Reseau_Master[[#This Row],[Cell_ID]],_29_03_2026_Registre_Maintenance_V2[ID_Antenne],_29_03_2026_Registre_Maintenance_V2[Province_RDC],"Pas de correspondance")</f>
        <v>Ituri</v>
      </c>
      <c r="G879" t="str">
        <f>_xlfn.XLOOKUP(Log_Reseau_Master[[#This Row],[Cell_ID]],_29_03_2026_Registre_Maintenance_V2[ID_Antenne],_29_03_2026_Registre_Maintenance_V2[Technologie],"Pas de correspondance")</f>
        <v>5G</v>
      </c>
      <c r="H879" t="str">
        <f>_xlfn.XLOOKUP(Log_Reseau_Master[[#This Row],[Cell_ID]],_29_03_2026_Registre_Maintenance_V2[ID_Antenne],_29_03_2026_Registre_Maintenance_V2[Equipementier],"Pas de correspondance")</f>
        <v>ZTE</v>
      </c>
    </row>
    <row r="880" spans="1:8" x14ac:dyDescent="0.25">
      <c r="A880" s="1">
        <v>45227.915277777778</v>
      </c>
      <c r="B880" s="4">
        <f>Log_Reseau_Master[[#This Row],[Duree_Panne_Min]]/1440</f>
        <v>1.8055555555555554E-2</v>
      </c>
      <c r="C880" t="s">
        <v>318</v>
      </c>
      <c r="D880">
        <v>26</v>
      </c>
      <c r="E880" t="s">
        <v>1312</v>
      </c>
      <c r="F880" t="str">
        <f>_xlfn.XLOOKUP(Log_Reseau_Master[[#This Row],[Cell_ID]],_29_03_2026_Registre_Maintenance_V2[ID_Antenne],_29_03_2026_Registre_Maintenance_V2[Province_RDC],"Pas de correspondance")</f>
        <v>Ituri</v>
      </c>
      <c r="G880" t="str">
        <f>_xlfn.XLOOKUP(Log_Reseau_Master[[#This Row],[Cell_ID]],_29_03_2026_Registre_Maintenance_V2[ID_Antenne],_29_03_2026_Registre_Maintenance_V2[Technologie],"Pas de correspondance")</f>
        <v>5G</v>
      </c>
      <c r="H880" t="str">
        <f>_xlfn.XLOOKUP(Log_Reseau_Master[[#This Row],[Cell_ID]],_29_03_2026_Registre_Maintenance_V2[ID_Antenne],_29_03_2026_Registre_Maintenance_V2[Equipementier],"Pas de correspondance")</f>
        <v>ZTE</v>
      </c>
    </row>
    <row r="881" spans="1:8" hidden="1" x14ac:dyDescent="0.25">
      <c r="A881" s="1">
        <v>45218.287499999999</v>
      </c>
      <c r="B881">
        <f>Log_Reseau_Master[[#This Row],[Duree_Panne_Min]]/1440</f>
        <v>4.9305555555555554E-2</v>
      </c>
      <c r="C881" t="s">
        <v>1615</v>
      </c>
      <c r="D881">
        <v>71</v>
      </c>
      <c r="E881" t="s">
        <v>1321</v>
      </c>
      <c r="F881" t="str">
        <f>_xlfn.XLOOKUP(Log_Reseau_Master[[#This Row],[Cell_ID]],_29_03_2026_Registre_Maintenance_V2[ID_Antenne],_29_03_2026_Registre_Maintenance_V2[Province_RDC],"Pas de correspondance")</f>
        <v>Pas de correspondance</v>
      </c>
      <c r="G881" t="str">
        <f>_xlfn.XLOOKUP(Log_Reseau_Master[[#This Row],[Cell_ID]],_29_03_2026_Registre_Maintenance_V2[ID_Antenne],_29_03_2026_Registre_Maintenance_V2[Technologie],"Pas de correspondance")</f>
        <v>Pas de correspondance</v>
      </c>
      <c r="H881" t="str">
        <f>_xlfn.XLOOKUP(Log_Reseau_Master[[#This Row],[Cell_ID]],_29_03_2026_Registre_Maintenance_V2[ID_Antenne],_29_03_2026_Registre_Maintenance_V2[Equipementier],"Pas de correspondance")</f>
        <v>Pas de correspondance</v>
      </c>
    </row>
    <row r="882" spans="1:8" x14ac:dyDescent="0.25">
      <c r="A882" s="1">
        <v>45223.252083333333</v>
      </c>
      <c r="B882" s="4">
        <f>Log_Reseau_Master[[#This Row],[Duree_Panne_Min]]/1440</f>
        <v>8.3333333333333332E-3</v>
      </c>
      <c r="C882" t="s">
        <v>102</v>
      </c>
      <c r="D882">
        <v>12</v>
      </c>
      <c r="E882" t="s">
        <v>1312</v>
      </c>
      <c r="F882" t="str">
        <f>_xlfn.XLOOKUP(Log_Reseau_Master[[#This Row],[Cell_ID]],_29_03_2026_Registre_Maintenance_V2[ID_Antenne],_29_03_2026_Registre_Maintenance_V2[Province_RDC],"Pas de correspondance")</f>
        <v>Nord-Kivu</v>
      </c>
      <c r="G882" t="str">
        <f>_xlfn.XLOOKUP(Log_Reseau_Master[[#This Row],[Cell_ID]],_29_03_2026_Registre_Maintenance_V2[ID_Antenne],_29_03_2026_Registre_Maintenance_V2[Technologie],"Pas de correspondance")</f>
        <v>4G</v>
      </c>
      <c r="H882" t="str">
        <f>_xlfn.XLOOKUP(Log_Reseau_Master[[#This Row],[Cell_ID]],_29_03_2026_Registre_Maintenance_V2[ID_Antenne],_29_03_2026_Registre_Maintenance_V2[Equipementier],"Pas de correspondance")</f>
        <v>Ericsson</v>
      </c>
    </row>
    <row r="883" spans="1:8" x14ac:dyDescent="0.25">
      <c r="A883" s="1">
        <v>45222.353472222225</v>
      </c>
      <c r="B883" s="4">
        <f>Log_Reseau_Master[[#This Row],[Duree_Panne_Min]]/1440</f>
        <v>7.013888888888889E-2</v>
      </c>
      <c r="C883" t="s">
        <v>102</v>
      </c>
      <c r="D883">
        <v>101</v>
      </c>
      <c r="E883" t="s">
        <v>1312</v>
      </c>
      <c r="F883" t="str">
        <f>_xlfn.XLOOKUP(Log_Reseau_Master[[#This Row],[Cell_ID]],_29_03_2026_Registre_Maintenance_V2[ID_Antenne],_29_03_2026_Registre_Maintenance_V2[Province_RDC],"Pas de correspondance")</f>
        <v>Nord-Kivu</v>
      </c>
      <c r="G883" t="str">
        <f>_xlfn.XLOOKUP(Log_Reseau_Master[[#This Row],[Cell_ID]],_29_03_2026_Registre_Maintenance_V2[ID_Antenne],_29_03_2026_Registre_Maintenance_V2[Technologie],"Pas de correspondance")</f>
        <v>4G</v>
      </c>
      <c r="H883" t="str">
        <f>_xlfn.XLOOKUP(Log_Reseau_Master[[#This Row],[Cell_ID]],_29_03_2026_Registre_Maintenance_V2[ID_Antenne],_29_03_2026_Registre_Maintenance_V2[Equipementier],"Pas de correspondance")</f>
        <v>Ericsson</v>
      </c>
    </row>
    <row r="884" spans="1:8" x14ac:dyDescent="0.25">
      <c r="A884" s="1">
        <v>45214.740972222222</v>
      </c>
      <c r="B884" s="4">
        <f>Log_Reseau_Master[[#This Row],[Duree_Panne_Min]]/1440</f>
        <v>5.5555555555555558E-3</v>
      </c>
      <c r="C884" t="s">
        <v>102</v>
      </c>
      <c r="D884">
        <v>8</v>
      </c>
      <c r="E884" t="s">
        <v>1314</v>
      </c>
      <c r="F884" t="str">
        <f>_xlfn.XLOOKUP(Log_Reseau_Master[[#This Row],[Cell_ID]],_29_03_2026_Registre_Maintenance_V2[ID_Antenne],_29_03_2026_Registre_Maintenance_V2[Province_RDC],"Pas de correspondance")</f>
        <v>Nord-Kivu</v>
      </c>
      <c r="G884" t="str">
        <f>_xlfn.XLOOKUP(Log_Reseau_Master[[#This Row],[Cell_ID]],_29_03_2026_Registre_Maintenance_V2[ID_Antenne],_29_03_2026_Registre_Maintenance_V2[Technologie],"Pas de correspondance")</f>
        <v>4G</v>
      </c>
      <c r="H884" t="str">
        <f>_xlfn.XLOOKUP(Log_Reseau_Master[[#This Row],[Cell_ID]],_29_03_2026_Registre_Maintenance_V2[ID_Antenne],_29_03_2026_Registre_Maintenance_V2[Equipementier],"Pas de correspondance")</f>
        <v>Ericsson</v>
      </c>
    </row>
    <row r="885" spans="1:8" hidden="1" x14ac:dyDescent="0.25">
      <c r="A885" s="1">
        <v>45207.472222222219</v>
      </c>
      <c r="B885">
        <f>Log_Reseau_Master[[#This Row],[Duree_Panne_Min]]/1440</f>
        <v>2.0833333333333332E-2</v>
      </c>
      <c r="C885" t="s">
        <v>1616</v>
      </c>
      <c r="D885">
        <v>30</v>
      </c>
      <c r="E885" t="s">
        <v>1321</v>
      </c>
      <c r="F885" t="str">
        <f>_xlfn.XLOOKUP(Log_Reseau_Master[[#This Row],[Cell_ID]],_29_03_2026_Registre_Maintenance_V2[ID_Antenne],_29_03_2026_Registre_Maintenance_V2[Province_RDC],"Pas de correspondance")</f>
        <v>Pas de correspondance</v>
      </c>
      <c r="G885" t="str">
        <f>_xlfn.XLOOKUP(Log_Reseau_Master[[#This Row],[Cell_ID]],_29_03_2026_Registre_Maintenance_V2[ID_Antenne],_29_03_2026_Registre_Maintenance_V2[Technologie],"Pas de correspondance")</f>
        <v>Pas de correspondance</v>
      </c>
      <c r="H885" t="str">
        <f>_xlfn.XLOOKUP(Log_Reseau_Master[[#This Row],[Cell_ID]],_29_03_2026_Registre_Maintenance_V2[ID_Antenne],_29_03_2026_Registre_Maintenance_V2[Equipementier],"Pas de correspondance")</f>
        <v>Pas de correspondance</v>
      </c>
    </row>
    <row r="886" spans="1:8" x14ac:dyDescent="0.25">
      <c r="A886" s="1">
        <v>45226.37777777778</v>
      </c>
      <c r="B886" s="4">
        <f>Log_Reseau_Master[[#This Row],[Duree_Panne_Min]]/1440</f>
        <v>5.1388888888888887E-2</v>
      </c>
      <c r="C886" t="s">
        <v>252</v>
      </c>
      <c r="D886">
        <v>74</v>
      </c>
      <c r="E886" t="s">
        <v>1321</v>
      </c>
      <c r="F886" t="str">
        <f>_xlfn.XLOOKUP(Log_Reseau_Master[[#This Row],[Cell_ID]],_29_03_2026_Registre_Maintenance_V2[ID_Antenne],_29_03_2026_Registre_Maintenance_V2[Province_RDC],"Pas de correspondance")</f>
        <v>Mongala</v>
      </c>
      <c r="G886" t="str">
        <f>_xlfn.XLOOKUP(Log_Reseau_Master[[#This Row],[Cell_ID]],_29_03_2026_Registre_Maintenance_V2[ID_Antenne],_29_03_2026_Registre_Maintenance_V2[Technologie],"Pas de correspondance")</f>
        <v>5G</v>
      </c>
      <c r="H886" t="str">
        <f>_xlfn.XLOOKUP(Log_Reseau_Master[[#This Row],[Cell_ID]],_29_03_2026_Registre_Maintenance_V2[ID_Antenne],_29_03_2026_Registre_Maintenance_V2[Equipementier],"Pas de correspondance")</f>
        <v>Nokia</v>
      </c>
    </row>
    <row r="887" spans="1:8" hidden="1" x14ac:dyDescent="0.25">
      <c r="A887" s="1">
        <v>45221.549305555556</v>
      </c>
      <c r="B887">
        <f>Log_Reseau_Master[[#This Row],[Duree_Panne_Min]]/1440</f>
        <v>2.7083333333333334E-2</v>
      </c>
      <c r="C887" t="s">
        <v>1617</v>
      </c>
      <c r="D887">
        <v>39</v>
      </c>
      <c r="E887" t="s">
        <v>1312</v>
      </c>
      <c r="F887" t="str">
        <f>_xlfn.XLOOKUP(Log_Reseau_Master[[#This Row],[Cell_ID]],_29_03_2026_Registre_Maintenance_V2[ID_Antenne],_29_03_2026_Registre_Maintenance_V2[Province_RDC],"Pas de correspondance")</f>
        <v>Pas de correspondance</v>
      </c>
      <c r="G887" t="str">
        <f>_xlfn.XLOOKUP(Log_Reseau_Master[[#This Row],[Cell_ID]],_29_03_2026_Registre_Maintenance_V2[ID_Antenne],_29_03_2026_Registre_Maintenance_V2[Technologie],"Pas de correspondance")</f>
        <v>Pas de correspondance</v>
      </c>
      <c r="H887" t="str">
        <f>_xlfn.XLOOKUP(Log_Reseau_Master[[#This Row],[Cell_ID]],_29_03_2026_Registre_Maintenance_V2[ID_Antenne],_29_03_2026_Registre_Maintenance_V2[Equipementier],"Pas de correspondance")</f>
        <v>Pas de correspondance</v>
      </c>
    </row>
    <row r="888" spans="1:8" x14ac:dyDescent="0.25">
      <c r="A888" s="1">
        <v>45207.342361111114</v>
      </c>
      <c r="B888" s="4">
        <f>Log_Reseau_Master[[#This Row],[Duree_Panne_Min]]/1440</f>
        <v>1.9444444444444445E-2</v>
      </c>
      <c r="C888" t="s">
        <v>54</v>
      </c>
      <c r="D888">
        <v>28</v>
      </c>
      <c r="E888" t="s">
        <v>1314</v>
      </c>
      <c r="F888" t="str">
        <f>_xlfn.XLOOKUP(Log_Reseau_Master[[#This Row],[Cell_ID]],_29_03_2026_Registre_Maintenance_V2[ID_Antenne],_29_03_2026_Registre_Maintenance_V2[Province_RDC],"Pas de correspondance")</f>
        <v>Bas-Uele</v>
      </c>
      <c r="G888" t="str">
        <f>_xlfn.XLOOKUP(Log_Reseau_Master[[#This Row],[Cell_ID]],_29_03_2026_Registre_Maintenance_V2[ID_Antenne],_29_03_2026_Registre_Maintenance_V2[Technologie],"Pas de correspondance")</f>
        <v>3G</v>
      </c>
      <c r="H888" t="str">
        <f>_xlfn.XLOOKUP(Log_Reseau_Master[[#This Row],[Cell_ID]],_29_03_2026_Registre_Maintenance_V2[ID_Antenne],_29_03_2026_Registre_Maintenance_V2[Equipementier],"Pas de correspondance")</f>
        <v>Nokia</v>
      </c>
    </row>
    <row r="889" spans="1:8" hidden="1" x14ac:dyDescent="0.25">
      <c r="A889" s="1">
        <v>45210.836111111108</v>
      </c>
      <c r="B889">
        <f>Log_Reseau_Master[[#This Row],[Duree_Panne_Min]]/1440</f>
        <v>1.7361111111111112E-2</v>
      </c>
      <c r="C889" t="s">
        <v>1618</v>
      </c>
      <c r="D889">
        <v>25</v>
      </c>
      <c r="E889" t="s">
        <v>1321</v>
      </c>
      <c r="F889" t="str">
        <f>_xlfn.XLOOKUP(Log_Reseau_Master[[#This Row],[Cell_ID]],_29_03_2026_Registre_Maintenance_V2[ID_Antenne],_29_03_2026_Registre_Maintenance_V2[Province_RDC],"Pas de correspondance")</f>
        <v>Pas de correspondance</v>
      </c>
      <c r="G889" t="str">
        <f>_xlfn.XLOOKUP(Log_Reseau_Master[[#This Row],[Cell_ID]],_29_03_2026_Registre_Maintenance_V2[ID_Antenne],_29_03_2026_Registre_Maintenance_V2[Technologie],"Pas de correspondance")</f>
        <v>Pas de correspondance</v>
      </c>
      <c r="H889" t="str">
        <f>_xlfn.XLOOKUP(Log_Reseau_Master[[#This Row],[Cell_ID]],_29_03_2026_Registre_Maintenance_V2[ID_Antenne],_29_03_2026_Registre_Maintenance_V2[Equipementier],"Pas de correspondance")</f>
        <v>Pas de correspondance</v>
      </c>
    </row>
    <row r="890" spans="1:8" x14ac:dyDescent="0.25">
      <c r="A890" s="1">
        <v>45210.39166666667</v>
      </c>
      <c r="B890" s="4">
        <f>Log_Reseau_Master[[#This Row],[Duree_Panne_Min]]/1440</f>
        <v>5.9027777777777776E-2</v>
      </c>
      <c r="C890" t="s">
        <v>210</v>
      </c>
      <c r="D890">
        <v>85</v>
      </c>
      <c r="E890" t="s">
        <v>1312</v>
      </c>
      <c r="F890" t="str">
        <f>_xlfn.XLOOKUP(Log_Reseau_Master[[#This Row],[Cell_ID]],_29_03_2026_Registre_Maintenance_V2[ID_Antenne],_29_03_2026_Registre_Maintenance_V2[Province_RDC],"Pas de correspondance")</f>
        <v>Nord-Kivu</v>
      </c>
      <c r="G890" t="str">
        <f>_xlfn.XLOOKUP(Log_Reseau_Master[[#This Row],[Cell_ID]],_29_03_2026_Registre_Maintenance_V2[ID_Antenne],_29_03_2026_Registre_Maintenance_V2[Technologie],"Pas de correspondance")</f>
        <v>3G</v>
      </c>
      <c r="H890" t="str">
        <f>_xlfn.XLOOKUP(Log_Reseau_Master[[#This Row],[Cell_ID]],_29_03_2026_Registre_Maintenance_V2[ID_Antenne],_29_03_2026_Registre_Maintenance_V2[Equipementier],"Pas de correspondance")</f>
        <v>Nokia</v>
      </c>
    </row>
    <row r="891" spans="1:8" x14ac:dyDescent="0.25">
      <c r="A891" s="1">
        <v>45208.072916666664</v>
      </c>
      <c r="B891" s="4">
        <f>Log_Reseau_Master[[#This Row],[Duree_Panne_Min]]/1440</f>
        <v>4.7222222222222221E-2</v>
      </c>
      <c r="C891" t="s">
        <v>210</v>
      </c>
      <c r="D891">
        <v>68</v>
      </c>
      <c r="E891" t="s">
        <v>1314</v>
      </c>
      <c r="F891" t="str">
        <f>_xlfn.XLOOKUP(Log_Reseau_Master[[#This Row],[Cell_ID]],_29_03_2026_Registre_Maintenance_V2[ID_Antenne],_29_03_2026_Registre_Maintenance_V2[Province_RDC],"Pas de correspondance")</f>
        <v>Nord-Kivu</v>
      </c>
      <c r="G891" t="str">
        <f>_xlfn.XLOOKUP(Log_Reseau_Master[[#This Row],[Cell_ID]],_29_03_2026_Registre_Maintenance_V2[ID_Antenne],_29_03_2026_Registre_Maintenance_V2[Technologie],"Pas de correspondance")</f>
        <v>3G</v>
      </c>
      <c r="H891" t="str">
        <f>_xlfn.XLOOKUP(Log_Reseau_Master[[#This Row],[Cell_ID]],_29_03_2026_Registre_Maintenance_V2[ID_Antenne],_29_03_2026_Registre_Maintenance_V2[Equipementier],"Pas de correspondance")</f>
        <v>Nokia</v>
      </c>
    </row>
    <row r="892" spans="1:8" x14ac:dyDescent="0.25">
      <c r="A892" s="1">
        <v>45211.04583333333</v>
      </c>
      <c r="B892" s="4">
        <f>Log_Reseau_Master[[#This Row],[Duree_Panne_Min]]/1440</f>
        <v>1.2500000000000001E-2</v>
      </c>
      <c r="C892" t="s">
        <v>174</v>
      </c>
      <c r="D892">
        <v>18</v>
      </c>
      <c r="E892" t="s">
        <v>1321</v>
      </c>
      <c r="F892" t="str">
        <f>_xlfn.XLOOKUP(Log_Reseau_Master[[#This Row],[Cell_ID]],_29_03_2026_Registre_Maintenance_V2[ID_Antenne],_29_03_2026_Registre_Maintenance_V2[Province_RDC],"Pas de correspondance")</f>
        <v>Mongala</v>
      </c>
      <c r="G892" t="str">
        <f>_xlfn.XLOOKUP(Log_Reseau_Master[[#This Row],[Cell_ID]],_29_03_2026_Registre_Maintenance_V2[ID_Antenne],_29_03_2026_Registre_Maintenance_V2[Technologie],"Pas de correspondance")</f>
        <v>5G</v>
      </c>
      <c r="H892" t="str">
        <f>_xlfn.XLOOKUP(Log_Reseau_Master[[#This Row],[Cell_ID]],_29_03_2026_Registre_Maintenance_V2[ID_Antenne],_29_03_2026_Registre_Maintenance_V2[Equipementier],"Pas de correspondance")</f>
        <v>Huawei</v>
      </c>
    </row>
    <row r="893" spans="1:8" x14ac:dyDescent="0.25">
      <c r="A893" s="1">
        <v>45223.759722222225</v>
      </c>
      <c r="B893" s="4">
        <f>Log_Reseau_Master[[#This Row],[Duree_Panne_Min]]/1440</f>
        <v>5.4166666666666669E-2</v>
      </c>
      <c r="C893" t="s">
        <v>174</v>
      </c>
      <c r="D893">
        <v>78</v>
      </c>
      <c r="E893" t="s">
        <v>1312</v>
      </c>
      <c r="F893" t="str">
        <f>_xlfn.XLOOKUP(Log_Reseau_Master[[#This Row],[Cell_ID]],_29_03_2026_Registre_Maintenance_V2[ID_Antenne],_29_03_2026_Registre_Maintenance_V2[Province_RDC],"Pas de correspondance")</f>
        <v>Mongala</v>
      </c>
      <c r="G893" t="str">
        <f>_xlfn.XLOOKUP(Log_Reseau_Master[[#This Row],[Cell_ID]],_29_03_2026_Registre_Maintenance_V2[ID_Antenne],_29_03_2026_Registre_Maintenance_V2[Technologie],"Pas de correspondance")</f>
        <v>5G</v>
      </c>
      <c r="H893" t="str">
        <f>_xlfn.XLOOKUP(Log_Reseau_Master[[#This Row],[Cell_ID]],_29_03_2026_Registre_Maintenance_V2[ID_Antenne],_29_03_2026_Registre_Maintenance_V2[Equipementier],"Pas de correspondance")</f>
        <v>Huawei</v>
      </c>
    </row>
    <row r="894" spans="1:8" x14ac:dyDescent="0.25">
      <c r="A894" s="1">
        <v>45222.188888888886</v>
      </c>
      <c r="B894" s="4">
        <f>Log_Reseau_Master[[#This Row],[Duree_Panne_Min]]/1440</f>
        <v>2.2916666666666665E-2</v>
      </c>
      <c r="C894" t="s">
        <v>174</v>
      </c>
      <c r="D894">
        <v>33</v>
      </c>
      <c r="E894" t="s">
        <v>1314</v>
      </c>
      <c r="F894" t="str">
        <f>_xlfn.XLOOKUP(Log_Reseau_Master[[#This Row],[Cell_ID]],_29_03_2026_Registre_Maintenance_V2[ID_Antenne],_29_03_2026_Registre_Maintenance_V2[Province_RDC],"Pas de correspondance")</f>
        <v>Mongala</v>
      </c>
      <c r="G894" t="str">
        <f>_xlfn.XLOOKUP(Log_Reseau_Master[[#This Row],[Cell_ID]],_29_03_2026_Registre_Maintenance_V2[ID_Antenne],_29_03_2026_Registre_Maintenance_V2[Technologie],"Pas de correspondance")</f>
        <v>5G</v>
      </c>
      <c r="H894" t="str">
        <f>_xlfn.XLOOKUP(Log_Reseau_Master[[#This Row],[Cell_ID]],_29_03_2026_Registre_Maintenance_V2[ID_Antenne],_29_03_2026_Registre_Maintenance_V2[Equipementier],"Pas de correspondance")</f>
        <v>Huawei</v>
      </c>
    </row>
    <row r="895" spans="1:8" x14ac:dyDescent="0.25">
      <c r="A895" s="1">
        <v>45217.89166666667</v>
      </c>
      <c r="B895" s="4">
        <f>Log_Reseau_Master[[#This Row],[Duree_Panne_Min]]/1440</f>
        <v>7.4999999999999997E-2</v>
      </c>
      <c r="C895" t="s">
        <v>174</v>
      </c>
      <c r="D895">
        <v>108</v>
      </c>
      <c r="E895" t="s">
        <v>1321</v>
      </c>
      <c r="F895" t="str">
        <f>_xlfn.XLOOKUP(Log_Reseau_Master[[#This Row],[Cell_ID]],_29_03_2026_Registre_Maintenance_V2[ID_Antenne],_29_03_2026_Registre_Maintenance_V2[Province_RDC],"Pas de correspondance")</f>
        <v>Mongala</v>
      </c>
      <c r="G895" t="str">
        <f>_xlfn.XLOOKUP(Log_Reseau_Master[[#This Row],[Cell_ID]],_29_03_2026_Registre_Maintenance_V2[ID_Antenne],_29_03_2026_Registre_Maintenance_V2[Technologie],"Pas de correspondance")</f>
        <v>5G</v>
      </c>
      <c r="H895" t="str">
        <f>_xlfn.XLOOKUP(Log_Reseau_Master[[#This Row],[Cell_ID]],_29_03_2026_Registre_Maintenance_V2[ID_Antenne],_29_03_2026_Registre_Maintenance_V2[Equipementier],"Pas de correspondance")</f>
        <v>Huawei</v>
      </c>
    </row>
    <row r="896" spans="1:8" x14ac:dyDescent="0.25">
      <c r="A896" s="1">
        <v>45224.115277777775</v>
      </c>
      <c r="B896" s="4">
        <f>Log_Reseau_Master[[#This Row],[Duree_Panne_Min]]/1440</f>
        <v>3.125E-2</v>
      </c>
      <c r="C896" t="s">
        <v>530</v>
      </c>
      <c r="D896">
        <v>45</v>
      </c>
      <c r="E896" t="s">
        <v>1312</v>
      </c>
      <c r="F896" t="str">
        <f>_xlfn.XLOOKUP(Log_Reseau_Master[[#This Row],[Cell_ID]],_29_03_2026_Registre_Maintenance_V2[ID_Antenne],_29_03_2026_Registre_Maintenance_V2[Province_RDC],"Pas de correspondance")</f>
        <v>Tshopo</v>
      </c>
      <c r="G896" t="str">
        <f>_xlfn.XLOOKUP(Log_Reseau_Master[[#This Row],[Cell_ID]],_29_03_2026_Registre_Maintenance_V2[ID_Antenne],_29_03_2026_Registre_Maintenance_V2[Technologie],"Pas de correspondance")</f>
        <v>4G</v>
      </c>
      <c r="H896" t="str">
        <f>_xlfn.XLOOKUP(Log_Reseau_Master[[#This Row],[Cell_ID]],_29_03_2026_Registre_Maintenance_V2[ID_Antenne],_29_03_2026_Registre_Maintenance_V2[Equipementier],"Pas de correspondance")</f>
        <v>Ericsson</v>
      </c>
    </row>
    <row r="897" spans="1:8" x14ac:dyDescent="0.25">
      <c r="A897" s="1">
        <v>45228.563194444447</v>
      </c>
      <c r="B897" s="4">
        <f>Log_Reseau_Master[[#This Row],[Duree_Panne_Min]]/1440</f>
        <v>3.0555555555555555E-2</v>
      </c>
      <c r="C897" t="s">
        <v>530</v>
      </c>
      <c r="D897">
        <v>44</v>
      </c>
      <c r="E897" t="s">
        <v>1314</v>
      </c>
      <c r="F897" t="str">
        <f>_xlfn.XLOOKUP(Log_Reseau_Master[[#This Row],[Cell_ID]],_29_03_2026_Registre_Maintenance_V2[ID_Antenne],_29_03_2026_Registre_Maintenance_V2[Province_RDC],"Pas de correspondance")</f>
        <v>Tshopo</v>
      </c>
      <c r="G897" t="str">
        <f>_xlfn.XLOOKUP(Log_Reseau_Master[[#This Row],[Cell_ID]],_29_03_2026_Registre_Maintenance_V2[ID_Antenne],_29_03_2026_Registre_Maintenance_V2[Technologie],"Pas de correspondance")</f>
        <v>4G</v>
      </c>
      <c r="H897" t="str">
        <f>_xlfn.XLOOKUP(Log_Reseau_Master[[#This Row],[Cell_ID]],_29_03_2026_Registre_Maintenance_V2[ID_Antenne],_29_03_2026_Registre_Maintenance_V2[Equipementier],"Pas de correspondance")</f>
        <v>Ericsson</v>
      </c>
    </row>
    <row r="898" spans="1:8" hidden="1" x14ac:dyDescent="0.25">
      <c r="A898" s="1">
        <v>45225.949305555558</v>
      </c>
      <c r="B898">
        <f>Log_Reseau_Master[[#This Row],[Duree_Panne_Min]]/1440</f>
        <v>8.1250000000000003E-2</v>
      </c>
      <c r="C898" t="s">
        <v>1619</v>
      </c>
      <c r="D898">
        <v>117</v>
      </c>
      <c r="E898" t="s">
        <v>1314</v>
      </c>
      <c r="F898" t="str">
        <f>_xlfn.XLOOKUP(Log_Reseau_Master[[#This Row],[Cell_ID]],_29_03_2026_Registre_Maintenance_V2[ID_Antenne],_29_03_2026_Registre_Maintenance_V2[Province_RDC],"Pas de correspondance")</f>
        <v>Pas de correspondance</v>
      </c>
      <c r="G898" t="str">
        <f>_xlfn.XLOOKUP(Log_Reseau_Master[[#This Row],[Cell_ID]],_29_03_2026_Registre_Maintenance_V2[ID_Antenne],_29_03_2026_Registre_Maintenance_V2[Technologie],"Pas de correspondance")</f>
        <v>Pas de correspondance</v>
      </c>
      <c r="H898" t="str">
        <f>_xlfn.XLOOKUP(Log_Reseau_Master[[#This Row],[Cell_ID]],_29_03_2026_Registre_Maintenance_V2[ID_Antenne],_29_03_2026_Registre_Maintenance_V2[Equipementier],"Pas de correspondance")</f>
        <v>Pas de correspondance</v>
      </c>
    </row>
    <row r="899" spans="1:8" x14ac:dyDescent="0.25">
      <c r="A899" s="1">
        <v>45221.559027777781</v>
      </c>
      <c r="B899" s="4">
        <f>Log_Reseau_Master[[#This Row],[Duree_Panne_Min]]/1440</f>
        <v>1.5277777777777777E-2</v>
      </c>
      <c r="C899" t="s">
        <v>270</v>
      </c>
      <c r="D899">
        <v>22</v>
      </c>
      <c r="E899" t="s">
        <v>1314</v>
      </c>
      <c r="F899" t="str">
        <f>_xlfn.XLOOKUP(Log_Reseau_Master[[#This Row],[Cell_ID]],_29_03_2026_Registre_Maintenance_V2[ID_Antenne],_29_03_2026_Registre_Maintenance_V2[Province_RDC],"Pas de correspondance")</f>
        <v>Kwango</v>
      </c>
      <c r="G899" t="str">
        <f>_xlfn.XLOOKUP(Log_Reseau_Master[[#This Row],[Cell_ID]],_29_03_2026_Registre_Maintenance_V2[ID_Antenne],_29_03_2026_Registre_Maintenance_V2[Technologie],"Pas de correspondance")</f>
        <v>5G</v>
      </c>
      <c r="H899" t="str">
        <f>_xlfn.XLOOKUP(Log_Reseau_Master[[#This Row],[Cell_ID]],_29_03_2026_Registre_Maintenance_V2[ID_Antenne],_29_03_2026_Registre_Maintenance_V2[Equipementier],"Pas de correspondance")</f>
        <v>Ericsson</v>
      </c>
    </row>
    <row r="900" spans="1:8" hidden="1" x14ac:dyDescent="0.25">
      <c r="A900" s="1">
        <v>45219.106249999997</v>
      </c>
      <c r="B900">
        <f>Log_Reseau_Master[[#This Row],[Duree_Panne_Min]]/1440</f>
        <v>6.0416666666666667E-2</v>
      </c>
      <c r="C900" t="s">
        <v>1620</v>
      </c>
      <c r="D900">
        <v>87</v>
      </c>
      <c r="E900" t="s">
        <v>1312</v>
      </c>
      <c r="F900" t="str">
        <f>_xlfn.XLOOKUP(Log_Reseau_Master[[#This Row],[Cell_ID]],_29_03_2026_Registre_Maintenance_V2[ID_Antenne],_29_03_2026_Registre_Maintenance_V2[Province_RDC],"Pas de correspondance")</f>
        <v>Pas de correspondance</v>
      </c>
      <c r="G900" t="str">
        <f>_xlfn.XLOOKUP(Log_Reseau_Master[[#This Row],[Cell_ID]],_29_03_2026_Registre_Maintenance_V2[ID_Antenne],_29_03_2026_Registre_Maintenance_V2[Technologie],"Pas de correspondance")</f>
        <v>Pas de correspondance</v>
      </c>
      <c r="H900" t="str">
        <f>_xlfn.XLOOKUP(Log_Reseau_Master[[#This Row],[Cell_ID]],_29_03_2026_Registre_Maintenance_V2[ID_Antenne],_29_03_2026_Registre_Maintenance_V2[Equipementier],"Pas de correspondance")</f>
        <v>Pas de correspondance</v>
      </c>
    </row>
    <row r="901" spans="1:8" hidden="1" x14ac:dyDescent="0.25">
      <c r="A901" s="1">
        <v>45213.593055555553</v>
      </c>
      <c r="B901">
        <f>Log_Reseau_Master[[#This Row],[Duree_Panne_Min]]/1440</f>
        <v>3.4722222222222224E-2</v>
      </c>
      <c r="C901" t="s">
        <v>1620</v>
      </c>
      <c r="D901">
        <v>50</v>
      </c>
      <c r="E901" t="s">
        <v>1321</v>
      </c>
      <c r="F901" t="str">
        <f>_xlfn.XLOOKUP(Log_Reseau_Master[[#This Row],[Cell_ID]],_29_03_2026_Registre_Maintenance_V2[ID_Antenne],_29_03_2026_Registre_Maintenance_V2[Province_RDC],"Pas de correspondance")</f>
        <v>Pas de correspondance</v>
      </c>
      <c r="G901" t="str">
        <f>_xlfn.XLOOKUP(Log_Reseau_Master[[#This Row],[Cell_ID]],_29_03_2026_Registre_Maintenance_V2[ID_Antenne],_29_03_2026_Registre_Maintenance_V2[Technologie],"Pas de correspondance")</f>
        <v>Pas de correspondance</v>
      </c>
      <c r="H901" t="str">
        <f>_xlfn.XLOOKUP(Log_Reseau_Master[[#This Row],[Cell_ID]],_29_03_2026_Registre_Maintenance_V2[ID_Antenne],_29_03_2026_Registre_Maintenance_V2[Equipementier],"Pas de correspondance")</f>
        <v>Pas de correspondance</v>
      </c>
    </row>
    <row r="902" spans="1:8" x14ac:dyDescent="0.25">
      <c r="A902" s="1">
        <v>45209.898611111108</v>
      </c>
      <c r="B902" s="4">
        <f>Log_Reseau_Master[[#This Row],[Duree_Panne_Min]]/1440</f>
        <v>2.013888888888889E-2</v>
      </c>
      <c r="C902" t="s">
        <v>374</v>
      </c>
      <c r="D902">
        <v>29</v>
      </c>
      <c r="E902" t="s">
        <v>1312</v>
      </c>
      <c r="F902" t="str">
        <f>_xlfn.XLOOKUP(Log_Reseau_Master[[#This Row],[Cell_ID]],_29_03_2026_Registre_Maintenance_V2[ID_Antenne],_29_03_2026_Registre_Maintenance_V2[Province_RDC],"Pas de correspondance")</f>
        <v>Lualaba</v>
      </c>
      <c r="G902" t="str">
        <f>_xlfn.XLOOKUP(Log_Reseau_Master[[#This Row],[Cell_ID]],_29_03_2026_Registre_Maintenance_V2[ID_Antenne],_29_03_2026_Registre_Maintenance_V2[Technologie],"Pas de correspondance")</f>
        <v>3G</v>
      </c>
      <c r="H902" t="str">
        <f>_xlfn.XLOOKUP(Log_Reseau_Master[[#This Row],[Cell_ID]],_29_03_2026_Registre_Maintenance_V2[ID_Antenne],_29_03_2026_Registre_Maintenance_V2[Equipementier],"Pas de correspondance")</f>
        <v>ZTE</v>
      </c>
    </row>
    <row r="903" spans="1:8" x14ac:dyDescent="0.25">
      <c r="A903" s="1">
        <v>45207.149305555555</v>
      </c>
      <c r="B903" s="4">
        <f>Log_Reseau_Master[[#This Row],[Duree_Panne_Min]]/1440</f>
        <v>7.013888888888889E-2</v>
      </c>
      <c r="C903" t="s">
        <v>374</v>
      </c>
      <c r="D903">
        <v>101</v>
      </c>
      <c r="E903" t="s">
        <v>1321</v>
      </c>
      <c r="F903" t="str">
        <f>_xlfn.XLOOKUP(Log_Reseau_Master[[#This Row],[Cell_ID]],_29_03_2026_Registre_Maintenance_V2[ID_Antenne],_29_03_2026_Registre_Maintenance_V2[Province_RDC],"Pas de correspondance")</f>
        <v>Lualaba</v>
      </c>
      <c r="G903" t="str">
        <f>_xlfn.XLOOKUP(Log_Reseau_Master[[#This Row],[Cell_ID]],_29_03_2026_Registre_Maintenance_V2[ID_Antenne],_29_03_2026_Registre_Maintenance_V2[Technologie],"Pas de correspondance")</f>
        <v>3G</v>
      </c>
      <c r="H903" t="str">
        <f>_xlfn.XLOOKUP(Log_Reseau_Master[[#This Row],[Cell_ID]],_29_03_2026_Registre_Maintenance_V2[ID_Antenne],_29_03_2026_Registre_Maintenance_V2[Equipementier],"Pas de correspondance")</f>
        <v>ZTE</v>
      </c>
    </row>
    <row r="904" spans="1:8" x14ac:dyDescent="0.25">
      <c r="A904" s="1">
        <v>45208.52847222222</v>
      </c>
      <c r="B904" s="4">
        <f>Log_Reseau_Master[[#This Row],[Duree_Panne_Min]]/1440</f>
        <v>2.2916666666666665E-2</v>
      </c>
      <c r="C904" t="s">
        <v>374</v>
      </c>
      <c r="D904">
        <v>33</v>
      </c>
      <c r="E904" t="s">
        <v>1312</v>
      </c>
      <c r="F904" t="str">
        <f>_xlfn.XLOOKUP(Log_Reseau_Master[[#This Row],[Cell_ID]],_29_03_2026_Registre_Maintenance_V2[ID_Antenne],_29_03_2026_Registre_Maintenance_V2[Province_RDC],"Pas de correspondance")</f>
        <v>Lualaba</v>
      </c>
      <c r="G904" t="str">
        <f>_xlfn.XLOOKUP(Log_Reseau_Master[[#This Row],[Cell_ID]],_29_03_2026_Registre_Maintenance_V2[ID_Antenne],_29_03_2026_Registre_Maintenance_V2[Technologie],"Pas de correspondance")</f>
        <v>3G</v>
      </c>
      <c r="H904" t="str">
        <f>_xlfn.XLOOKUP(Log_Reseau_Master[[#This Row],[Cell_ID]],_29_03_2026_Registre_Maintenance_V2[ID_Antenne],_29_03_2026_Registre_Maintenance_V2[Equipementier],"Pas de correspondance")</f>
        <v>ZTE</v>
      </c>
    </row>
    <row r="905" spans="1:8" x14ac:dyDescent="0.25">
      <c r="A905" s="1">
        <v>45227.897916666669</v>
      </c>
      <c r="B905" s="4">
        <f>Log_Reseau_Master[[#This Row],[Duree_Panne_Min]]/1440</f>
        <v>4.2361111111111113E-2</v>
      </c>
      <c r="C905" t="s">
        <v>249</v>
      </c>
      <c r="D905">
        <v>61</v>
      </c>
      <c r="E905" t="s">
        <v>1314</v>
      </c>
      <c r="F905" t="str">
        <f>_xlfn.XLOOKUP(Log_Reseau_Master[[#This Row],[Cell_ID]],_29_03_2026_Registre_Maintenance_V2[ID_Antenne],_29_03_2026_Registre_Maintenance_V2[Province_RDC],"Pas de correspondance")</f>
        <v>Kinshasa</v>
      </c>
      <c r="G905" t="str">
        <f>_xlfn.XLOOKUP(Log_Reseau_Master[[#This Row],[Cell_ID]],_29_03_2026_Registre_Maintenance_V2[ID_Antenne],_29_03_2026_Registre_Maintenance_V2[Technologie],"Pas de correspondance")</f>
        <v>5G</v>
      </c>
      <c r="H905" t="str">
        <f>_xlfn.XLOOKUP(Log_Reseau_Master[[#This Row],[Cell_ID]],_29_03_2026_Registre_Maintenance_V2[ID_Antenne],_29_03_2026_Registre_Maintenance_V2[Equipementier],"Pas de correspondance")</f>
        <v>Nokia</v>
      </c>
    </row>
    <row r="906" spans="1:8" x14ac:dyDescent="0.25">
      <c r="A906" s="1">
        <v>45230.595138888886</v>
      </c>
      <c r="B906" s="4">
        <f>Log_Reseau_Master[[#This Row],[Duree_Panne_Min]]/1440</f>
        <v>9.7222222222222224E-3</v>
      </c>
      <c r="C906" t="s">
        <v>249</v>
      </c>
      <c r="D906">
        <v>14</v>
      </c>
      <c r="E906" t="s">
        <v>1314</v>
      </c>
      <c r="F906" t="str">
        <f>_xlfn.XLOOKUP(Log_Reseau_Master[[#This Row],[Cell_ID]],_29_03_2026_Registre_Maintenance_V2[ID_Antenne],_29_03_2026_Registre_Maintenance_V2[Province_RDC],"Pas de correspondance")</f>
        <v>Kinshasa</v>
      </c>
      <c r="G906" t="str">
        <f>_xlfn.XLOOKUP(Log_Reseau_Master[[#This Row],[Cell_ID]],_29_03_2026_Registre_Maintenance_V2[ID_Antenne],_29_03_2026_Registre_Maintenance_V2[Technologie],"Pas de correspondance")</f>
        <v>5G</v>
      </c>
      <c r="H906" t="str">
        <f>_xlfn.XLOOKUP(Log_Reseau_Master[[#This Row],[Cell_ID]],_29_03_2026_Registre_Maintenance_V2[ID_Antenne],_29_03_2026_Registre_Maintenance_V2[Equipementier],"Pas de correspondance")</f>
        <v>Nokia</v>
      </c>
    </row>
    <row r="907" spans="1:8" hidden="1" x14ac:dyDescent="0.25">
      <c r="A907" s="1">
        <v>45217.863194444442</v>
      </c>
      <c r="B907">
        <f>Log_Reseau_Master[[#This Row],[Duree_Panne_Min]]/1440</f>
        <v>6.1805555555555558E-2</v>
      </c>
      <c r="C907" t="s">
        <v>1621</v>
      </c>
      <c r="D907">
        <v>89</v>
      </c>
      <c r="E907" t="s">
        <v>1314</v>
      </c>
      <c r="F907" t="str">
        <f>_xlfn.XLOOKUP(Log_Reseau_Master[[#This Row],[Cell_ID]],_29_03_2026_Registre_Maintenance_V2[ID_Antenne],_29_03_2026_Registre_Maintenance_V2[Province_RDC],"Pas de correspondance")</f>
        <v>Pas de correspondance</v>
      </c>
      <c r="G907" t="str">
        <f>_xlfn.XLOOKUP(Log_Reseau_Master[[#This Row],[Cell_ID]],_29_03_2026_Registre_Maintenance_V2[ID_Antenne],_29_03_2026_Registre_Maintenance_V2[Technologie],"Pas de correspondance")</f>
        <v>Pas de correspondance</v>
      </c>
      <c r="H907" t="str">
        <f>_xlfn.XLOOKUP(Log_Reseau_Master[[#This Row],[Cell_ID]],_29_03_2026_Registre_Maintenance_V2[ID_Antenne],_29_03_2026_Registre_Maintenance_V2[Equipementier],"Pas de correspondance")</f>
        <v>Pas de correspondance</v>
      </c>
    </row>
    <row r="908" spans="1:8" x14ac:dyDescent="0.25">
      <c r="A908" s="1">
        <v>45230.847222222219</v>
      </c>
      <c r="B908" s="4">
        <f>Log_Reseau_Master[[#This Row],[Duree_Panne_Min]]/1440</f>
        <v>4.027777777777778E-2</v>
      </c>
      <c r="C908" t="s">
        <v>150</v>
      </c>
      <c r="D908">
        <v>58</v>
      </c>
      <c r="E908" t="s">
        <v>1321</v>
      </c>
      <c r="F908" t="str">
        <f>_xlfn.XLOOKUP(Log_Reseau_Master[[#This Row],[Cell_ID]],_29_03_2026_Registre_Maintenance_V2[ID_Antenne],_29_03_2026_Registre_Maintenance_V2[Province_RDC],"Pas de correspondance")</f>
        <v>Kwilu</v>
      </c>
      <c r="G908" t="str">
        <f>_xlfn.XLOOKUP(Log_Reseau_Master[[#This Row],[Cell_ID]],_29_03_2026_Registre_Maintenance_V2[ID_Antenne],_29_03_2026_Registre_Maintenance_V2[Technologie],"Pas de correspondance")</f>
        <v>3G</v>
      </c>
      <c r="H908" t="str">
        <f>_xlfn.XLOOKUP(Log_Reseau_Master[[#This Row],[Cell_ID]],_29_03_2026_Registre_Maintenance_V2[ID_Antenne],_29_03_2026_Registre_Maintenance_V2[Equipementier],"Pas de correspondance")</f>
        <v>Huawei</v>
      </c>
    </row>
    <row r="909" spans="1:8" x14ac:dyDescent="0.25">
      <c r="A909" s="1">
        <v>45207.102777777778</v>
      </c>
      <c r="B909" s="4">
        <f>Log_Reseau_Master[[#This Row],[Duree_Panne_Min]]/1440</f>
        <v>2.8472222222222222E-2</v>
      </c>
      <c r="C909" t="s">
        <v>150</v>
      </c>
      <c r="D909">
        <v>41</v>
      </c>
      <c r="E909" t="s">
        <v>1314</v>
      </c>
      <c r="F909" t="str">
        <f>_xlfn.XLOOKUP(Log_Reseau_Master[[#This Row],[Cell_ID]],_29_03_2026_Registre_Maintenance_V2[ID_Antenne],_29_03_2026_Registre_Maintenance_V2[Province_RDC],"Pas de correspondance")</f>
        <v>Kwilu</v>
      </c>
      <c r="G909" t="str">
        <f>_xlfn.XLOOKUP(Log_Reseau_Master[[#This Row],[Cell_ID]],_29_03_2026_Registre_Maintenance_V2[ID_Antenne],_29_03_2026_Registre_Maintenance_V2[Technologie],"Pas de correspondance")</f>
        <v>3G</v>
      </c>
      <c r="H909" t="str">
        <f>_xlfn.XLOOKUP(Log_Reseau_Master[[#This Row],[Cell_ID]],_29_03_2026_Registre_Maintenance_V2[ID_Antenne],_29_03_2026_Registre_Maintenance_V2[Equipementier],"Pas de correspondance")</f>
        <v>Huawei</v>
      </c>
    </row>
    <row r="910" spans="1:8" hidden="1" x14ac:dyDescent="0.25">
      <c r="A910" s="1">
        <v>45207.611111111109</v>
      </c>
      <c r="B910">
        <f>Log_Reseau_Master[[#This Row],[Duree_Panne_Min]]/1440</f>
        <v>7.4305555555555555E-2</v>
      </c>
      <c r="C910" t="s">
        <v>1622</v>
      </c>
      <c r="D910">
        <v>107</v>
      </c>
      <c r="E910" t="s">
        <v>1312</v>
      </c>
      <c r="F910" t="str">
        <f>_xlfn.XLOOKUP(Log_Reseau_Master[[#This Row],[Cell_ID]],_29_03_2026_Registre_Maintenance_V2[ID_Antenne],_29_03_2026_Registre_Maintenance_V2[Province_RDC],"Pas de correspondance")</f>
        <v>Pas de correspondance</v>
      </c>
      <c r="G910" t="str">
        <f>_xlfn.XLOOKUP(Log_Reseau_Master[[#This Row],[Cell_ID]],_29_03_2026_Registre_Maintenance_V2[ID_Antenne],_29_03_2026_Registre_Maintenance_V2[Technologie],"Pas de correspondance")</f>
        <v>Pas de correspondance</v>
      </c>
      <c r="H910" t="str">
        <f>_xlfn.XLOOKUP(Log_Reseau_Master[[#This Row],[Cell_ID]],_29_03_2026_Registre_Maintenance_V2[ID_Antenne],_29_03_2026_Registre_Maintenance_V2[Equipementier],"Pas de correspondance")</f>
        <v>Pas de correspondance</v>
      </c>
    </row>
    <row r="911" spans="1:8" hidden="1" x14ac:dyDescent="0.25">
      <c r="A911" s="1">
        <v>45220.96875</v>
      </c>
      <c r="B911">
        <f>Log_Reseau_Master[[#This Row],[Duree_Panne_Min]]/1440</f>
        <v>7.1527777777777773E-2</v>
      </c>
      <c r="C911" t="s">
        <v>1622</v>
      </c>
      <c r="D911">
        <v>103</v>
      </c>
      <c r="E911" t="s">
        <v>1314</v>
      </c>
      <c r="F911" t="str">
        <f>_xlfn.XLOOKUP(Log_Reseau_Master[[#This Row],[Cell_ID]],_29_03_2026_Registre_Maintenance_V2[ID_Antenne],_29_03_2026_Registre_Maintenance_V2[Province_RDC],"Pas de correspondance")</f>
        <v>Pas de correspondance</v>
      </c>
      <c r="G911" t="str">
        <f>_xlfn.XLOOKUP(Log_Reseau_Master[[#This Row],[Cell_ID]],_29_03_2026_Registre_Maintenance_V2[ID_Antenne],_29_03_2026_Registre_Maintenance_V2[Technologie],"Pas de correspondance")</f>
        <v>Pas de correspondance</v>
      </c>
      <c r="H911" t="str">
        <f>_xlfn.XLOOKUP(Log_Reseau_Master[[#This Row],[Cell_ID]],_29_03_2026_Registre_Maintenance_V2[ID_Antenne],_29_03_2026_Registre_Maintenance_V2[Equipementier],"Pas de correspondance")</f>
        <v>Pas de correspondance</v>
      </c>
    </row>
    <row r="912" spans="1:8" hidden="1" x14ac:dyDescent="0.25">
      <c r="A912" s="1">
        <v>45213.112500000003</v>
      </c>
      <c r="B912">
        <f>Log_Reseau_Master[[#This Row],[Duree_Panne_Min]]/1440</f>
        <v>6.458333333333334E-2</v>
      </c>
      <c r="C912" t="s">
        <v>1622</v>
      </c>
      <c r="D912">
        <v>93</v>
      </c>
      <c r="E912" t="s">
        <v>1314</v>
      </c>
      <c r="F912" t="str">
        <f>_xlfn.XLOOKUP(Log_Reseau_Master[[#This Row],[Cell_ID]],_29_03_2026_Registre_Maintenance_V2[ID_Antenne],_29_03_2026_Registre_Maintenance_V2[Province_RDC],"Pas de correspondance")</f>
        <v>Pas de correspondance</v>
      </c>
      <c r="G912" t="str">
        <f>_xlfn.XLOOKUP(Log_Reseau_Master[[#This Row],[Cell_ID]],_29_03_2026_Registre_Maintenance_V2[ID_Antenne],_29_03_2026_Registre_Maintenance_V2[Technologie],"Pas de correspondance")</f>
        <v>Pas de correspondance</v>
      </c>
      <c r="H912" t="str">
        <f>_xlfn.XLOOKUP(Log_Reseau_Master[[#This Row],[Cell_ID]],_29_03_2026_Registre_Maintenance_V2[ID_Antenne],_29_03_2026_Registre_Maintenance_V2[Equipementier],"Pas de correspondance")</f>
        <v>Pas de correspondance</v>
      </c>
    </row>
    <row r="913" spans="1:8" x14ac:dyDescent="0.25">
      <c r="A913" s="1">
        <v>45219.826388888891</v>
      </c>
      <c r="B913" s="4">
        <f>Log_Reseau_Master[[#This Row],[Duree_Panne_Min]]/1440</f>
        <v>6.458333333333334E-2</v>
      </c>
      <c r="C913" t="s">
        <v>281</v>
      </c>
      <c r="D913">
        <v>93</v>
      </c>
      <c r="E913" t="s">
        <v>1321</v>
      </c>
      <c r="F913" t="str">
        <f>_xlfn.XLOOKUP(Log_Reseau_Master[[#This Row],[Cell_ID]],_29_03_2026_Registre_Maintenance_V2[ID_Antenne],_29_03_2026_Registre_Maintenance_V2[Province_RDC],"Pas de correspondance")</f>
        <v>Sud-Kivu</v>
      </c>
      <c r="G913" t="str">
        <f>_xlfn.XLOOKUP(Log_Reseau_Master[[#This Row],[Cell_ID]],_29_03_2026_Registre_Maintenance_V2[ID_Antenne],_29_03_2026_Registre_Maintenance_V2[Technologie],"Pas de correspondance")</f>
        <v>3G</v>
      </c>
      <c r="H913" t="str">
        <f>_xlfn.XLOOKUP(Log_Reseau_Master[[#This Row],[Cell_ID]],_29_03_2026_Registre_Maintenance_V2[ID_Antenne],_29_03_2026_Registre_Maintenance_V2[Equipementier],"Pas de correspondance")</f>
        <v>ZTE</v>
      </c>
    </row>
    <row r="914" spans="1:8" x14ac:dyDescent="0.25">
      <c r="A914" s="1">
        <v>45221.928472222222</v>
      </c>
      <c r="B914" s="4">
        <f>Log_Reseau_Master[[#This Row],[Duree_Panne_Min]]/1440</f>
        <v>1.4583333333333334E-2</v>
      </c>
      <c r="C914" t="s">
        <v>281</v>
      </c>
      <c r="D914">
        <v>21</v>
      </c>
      <c r="E914" t="s">
        <v>1314</v>
      </c>
      <c r="F914" t="str">
        <f>_xlfn.XLOOKUP(Log_Reseau_Master[[#This Row],[Cell_ID]],_29_03_2026_Registre_Maintenance_V2[ID_Antenne],_29_03_2026_Registre_Maintenance_V2[Province_RDC],"Pas de correspondance")</f>
        <v>Sud-Kivu</v>
      </c>
      <c r="G914" t="str">
        <f>_xlfn.XLOOKUP(Log_Reseau_Master[[#This Row],[Cell_ID]],_29_03_2026_Registre_Maintenance_V2[ID_Antenne],_29_03_2026_Registre_Maintenance_V2[Technologie],"Pas de correspondance")</f>
        <v>3G</v>
      </c>
      <c r="H914" t="str">
        <f>_xlfn.XLOOKUP(Log_Reseau_Master[[#This Row],[Cell_ID]],_29_03_2026_Registre_Maintenance_V2[ID_Antenne],_29_03_2026_Registre_Maintenance_V2[Equipementier],"Pas de correspondance")</f>
        <v>ZTE</v>
      </c>
    </row>
    <row r="915" spans="1:8" x14ac:dyDescent="0.25">
      <c r="A915" s="1">
        <v>45226.07708333333</v>
      </c>
      <c r="B915" s="4">
        <f>Log_Reseau_Master[[#This Row],[Duree_Panne_Min]]/1440</f>
        <v>7.013888888888889E-2</v>
      </c>
      <c r="C915" t="s">
        <v>281</v>
      </c>
      <c r="D915">
        <v>101</v>
      </c>
      <c r="E915" t="s">
        <v>1314</v>
      </c>
      <c r="F915" t="str">
        <f>_xlfn.XLOOKUP(Log_Reseau_Master[[#This Row],[Cell_ID]],_29_03_2026_Registre_Maintenance_V2[ID_Antenne],_29_03_2026_Registre_Maintenance_V2[Province_RDC],"Pas de correspondance")</f>
        <v>Sud-Kivu</v>
      </c>
      <c r="G915" t="str">
        <f>_xlfn.XLOOKUP(Log_Reseau_Master[[#This Row],[Cell_ID]],_29_03_2026_Registre_Maintenance_V2[ID_Antenne],_29_03_2026_Registre_Maintenance_V2[Technologie],"Pas de correspondance")</f>
        <v>3G</v>
      </c>
      <c r="H915" t="str">
        <f>_xlfn.XLOOKUP(Log_Reseau_Master[[#This Row],[Cell_ID]],_29_03_2026_Registre_Maintenance_V2[ID_Antenne],_29_03_2026_Registre_Maintenance_V2[Equipementier],"Pas de correspondance")</f>
        <v>ZTE</v>
      </c>
    </row>
    <row r="916" spans="1:8" x14ac:dyDescent="0.25">
      <c r="A916" s="1">
        <v>45205.529861111114</v>
      </c>
      <c r="B916" s="4">
        <f>Log_Reseau_Master[[#This Row],[Duree_Panne_Min]]/1440</f>
        <v>5.1388888888888887E-2</v>
      </c>
      <c r="C916" t="s">
        <v>152</v>
      </c>
      <c r="D916">
        <v>74</v>
      </c>
      <c r="E916" t="s">
        <v>1312</v>
      </c>
      <c r="F916" t="str">
        <f>_xlfn.XLOOKUP(Log_Reseau_Master[[#This Row],[Cell_ID]],_29_03_2026_Registre_Maintenance_V2[ID_Antenne],_29_03_2026_Registre_Maintenance_V2[Province_RDC],"Pas de correspondance")</f>
        <v>Mongala</v>
      </c>
      <c r="G916" t="str">
        <f>_xlfn.XLOOKUP(Log_Reseau_Master[[#This Row],[Cell_ID]],_29_03_2026_Registre_Maintenance_V2[ID_Antenne],_29_03_2026_Registre_Maintenance_V2[Technologie],"Pas de correspondance")</f>
        <v>5G</v>
      </c>
      <c r="H916" t="str">
        <f>_xlfn.XLOOKUP(Log_Reseau_Master[[#This Row],[Cell_ID]],_29_03_2026_Registre_Maintenance_V2[ID_Antenne],_29_03_2026_Registre_Maintenance_V2[Equipementier],"Pas de correspondance")</f>
        <v>Ericsson</v>
      </c>
    </row>
    <row r="917" spans="1:8" x14ac:dyDescent="0.25">
      <c r="A917" s="1">
        <v>45221.775000000001</v>
      </c>
      <c r="B917" s="4">
        <f>Log_Reseau_Master[[#This Row],[Duree_Panne_Min]]/1440</f>
        <v>1.6666666666666666E-2</v>
      </c>
      <c r="C917" t="s">
        <v>152</v>
      </c>
      <c r="D917">
        <v>24</v>
      </c>
      <c r="E917" t="s">
        <v>1314</v>
      </c>
      <c r="F917" t="str">
        <f>_xlfn.XLOOKUP(Log_Reseau_Master[[#This Row],[Cell_ID]],_29_03_2026_Registre_Maintenance_V2[ID_Antenne],_29_03_2026_Registre_Maintenance_V2[Province_RDC],"Pas de correspondance")</f>
        <v>Mongala</v>
      </c>
      <c r="G917" t="str">
        <f>_xlfn.XLOOKUP(Log_Reseau_Master[[#This Row],[Cell_ID]],_29_03_2026_Registre_Maintenance_V2[ID_Antenne],_29_03_2026_Registre_Maintenance_V2[Technologie],"Pas de correspondance")</f>
        <v>5G</v>
      </c>
      <c r="H917" t="str">
        <f>_xlfn.XLOOKUP(Log_Reseau_Master[[#This Row],[Cell_ID]],_29_03_2026_Registre_Maintenance_V2[ID_Antenne],_29_03_2026_Registre_Maintenance_V2[Equipementier],"Pas de correspondance")</f>
        <v>Ericsson</v>
      </c>
    </row>
    <row r="918" spans="1:8" x14ac:dyDescent="0.25">
      <c r="A918" s="1">
        <v>45230.997916666667</v>
      </c>
      <c r="B918" s="4">
        <f>Log_Reseau_Master[[#This Row],[Duree_Panne_Min]]/1440</f>
        <v>0.05</v>
      </c>
      <c r="C918" t="s">
        <v>165</v>
      </c>
      <c r="D918">
        <v>72</v>
      </c>
      <c r="E918" t="s">
        <v>1321</v>
      </c>
      <c r="F918" t="str">
        <f>_xlfn.XLOOKUP(Log_Reseau_Master[[#This Row],[Cell_ID]],_29_03_2026_Registre_Maintenance_V2[ID_Antenne],_29_03_2026_Registre_Maintenance_V2[Province_RDC],"Pas de correspondance")</f>
        <v>Ituri</v>
      </c>
      <c r="G918" t="str">
        <f>_xlfn.XLOOKUP(Log_Reseau_Master[[#This Row],[Cell_ID]],_29_03_2026_Registre_Maintenance_V2[ID_Antenne],_29_03_2026_Registre_Maintenance_V2[Technologie],"Pas de correspondance")</f>
        <v>5G</v>
      </c>
      <c r="H918" t="str">
        <f>_xlfn.XLOOKUP(Log_Reseau_Master[[#This Row],[Cell_ID]],_29_03_2026_Registre_Maintenance_V2[ID_Antenne],_29_03_2026_Registre_Maintenance_V2[Equipementier],"Pas de correspondance")</f>
        <v>Huawei</v>
      </c>
    </row>
    <row r="919" spans="1:8" hidden="1" x14ac:dyDescent="0.25">
      <c r="A919" s="1">
        <v>45215.01666666667</v>
      </c>
      <c r="B919">
        <f>Log_Reseau_Master[[#This Row],[Duree_Panne_Min]]/1440</f>
        <v>2.4305555555555556E-2</v>
      </c>
      <c r="C919" t="s">
        <v>1623</v>
      </c>
      <c r="D919">
        <v>35</v>
      </c>
      <c r="E919" t="s">
        <v>1312</v>
      </c>
      <c r="F919" t="str">
        <f>_xlfn.XLOOKUP(Log_Reseau_Master[[#This Row],[Cell_ID]],_29_03_2026_Registre_Maintenance_V2[ID_Antenne],_29_03_2026_Registre_Maintenance_V2[Province_RDC],"Pas de correspondance")</f>
        <v>Pas de correspondance</v>
      </c>
      <c r="G919" t="str">
        <f>_xlfn.XLOOKUP(Log_Reseau_Master[[#This Row],[Cell_ID]],_29_03_2026_Registre_Maintenance_V2[ID_Antenne],_29_03_2026_Registre_Maintenance_V2[Technologie],"Pas de correspondance")</f>
        <v>Pas de correspondance</v>
      </c>
      <c r="H919" t="str">
        <f>_xlfn.XLOOKUP(Log_Reseau_Master[[#This Row],[Cell_ID]],_29_03_2026_Registre_Maintenance_V2[ID_Antenne],_29_03_2026_Registre_Maintenance_V2[Equipementier],"Pas de correspondance")</f>
        <v>Pas de correspondance</v>
      </c>
    </row>
    <row r="920" spans="1:8" hidden="1" x14ac:dyDescent="0.25">
      <c r="A920" s="1">
        <v>45210.979166666664</v>
      </c>
      <c r="B920">
        <f>Log_Reseau_Master[[#This Row],[Duree_Panne_Min]]/1440</f>
        <v>7.9166666666666663E-2</v>
      </c>
      <c r="C920" t="s">
        <v>1624</v>
      </c>
      <c r="D920">
        <v>114</v>
      </c>
      <c r="E920" t="s">
        <v>1321</v>
      </c>
      <c r="F920" t="str">
        <f>_xlfn.XLOOKUP(Log_Reseau_Master[[#This Row],[Cell_ID]],_29_03_2026_Registre_Maintenance_V2[ID_Antenne],_29_03_2026_Registre_Maintenance_V2[Province_RDC],"Pas de correspondance")</f>
        <v>Pas de correspondance</v>
      </c>
      <c r="G920" t="str">
        <f>_xlfn.XLOOKUP(Log_Reseau_Master[[#This Row],[Cell_ID]],_29_03_2026_Registre_Maintenance_V2[ID_Antenne],_29_03_2026_Registre_Maintenance_V2[Technologie],"Pas de correspondance")</f>
        <v>Pas de correspondance</v>
      </c>
      <c r="H920" t="str">
        <f>_xlfn.XLOOKUP(Log_Reseau_Master[[#This Row],[Cell_ID]],_29_03_2026_Registre_Maintenance_V2[ID_Antenne],_29_03_2026_Registre_Maintenance_V2[Equipementier],"Pas de correspondance")</f>
        <v>Pas de correspondance</v>
      </c>
    </row>
    <row r="921" spans="1:8" hidden="1" x14ac:dyDescent="0.25">
      <c r="A921" s="1">
        <v>45226.388194444444</v>
      </c>
      <c r="B921">
        <f>Log_Reseau_Master[[#This Row],[Duree_Panne_Min]]/1440</f>
        <v>7.9861111111111105E-2</v>
      </c>
      <c r="C921" t="s">
        <v>1625</v>
      </c>
      <c r="D921">
        <v>115</v>
      </c>
      <c r="E921" t="s">
        <v>1321</v>
      </c>
      <c r="F921" t="str">
        <f>_xlfn.XLOOKUP(Log_Reseau_Master[[#This Row],[Cell_ID]],_29_03_2026_Registre_Maintenance_V2[ID_Antenne],_29_03_2026_Registre_Maintenance_V2[Province_RDC],"Pas de correspondance")</f>
        <v>Pas de correspondance</v>
      </c>
      <c r="G921" t="str">
        <f>_xlfn.XLOOKUP(Log_Reseau_Master[[#This Row],[Cell_ID]],_29_03_2026_Registre_Maintenance_V2[ID_Antenne],_29_03_2026_Registre_Maintenance_V2[Technologie],"Pas de correspondance")</f>
        <v>Pas de correspondance</v>
      </c>
      <c r="H921" t="str">
        <f>_xlfn.XLOOKUP(Log_Reseau_Master[[#This Row],[Cell_ID]],_29_03_2026_Registre_Maintenance_V2[ID_Antenne],_29_03_2026_Registre_Maintenance_V2[Equipementier],"Pas de correspondance")</f>
        <v>Pas de correspondance</v>
      </c>
    </row>
    <row r="922" spans="1:8" hidden="1" x14ac:dyDescent="0.25">
      <c r="A922" s="1">
        <v>45209.268750000003</v>
      </c>
      <c r="B922">
        <f>Log_Reseau_Master[[#This Row],[Duree_Panne_Min]]/1440</f>
        <v>6.5277777777777782E-2</v>
      </c>
      <c r="C922" t="s">
        <v>1626</v>
      </c>
      <c r="D922">
        <v>94</v>
      </c>
      <c r="E922" t="s">
        <v>1312</v>
      </c>
      <c r="F922" t="str">
        <f>_xlfn.XLOOKUP(Log_Reseau_Master[[#This Row],[Cell_ID]],_29_03_2026_Registre_Maintenance_V2[ID_Antenne],_29_03_2026_Registre_Maintenance_V2[Province_RDC],"Pas de correspondance")</f>
        <v>Pas de correspondance</v>
      </c>
      <c r="G922" t="str">
        <f>_xlfn.XLOOKUP(Log_Reseau_Master[[#This Row],[Cell_ID]],_29_03_2026_Registre_Maintenance_V2[ID_Antenne],_29_03_2026_Registre_Maintenance_V2[Technologie],"Pas de correspondance")</f>
        <v>Pas de correspondance</v>
      </c>
      <c r="H922" t="str">
        <f>_xlfn.XLOOKUP(Log_Reseau_Master[[#This Row],[Cell_ID]],_29_03_2026_Registre_Maintenance_V2[ID_Antenne],_29_03_2026_Registre_Maintenance_V2[Equipementier],"Pas de correspondance")</f>
        <v>Pas de correspondance</v>
      </c>
    </row>
    <row r="923" spans="1:8" hidden="1" x14ac:dyDescent="0.25">
      <c r="A923" s="1">
        <v>45201.519444444442</v>
      </c>
      <c r="B923">
        <f>Log_Reseau_Master[[#This Row],[Duree_Panne_Min]]/1440</f>
        <v>7.8472222222222221E-2</v>
      </c>
      <c r="C923" t="s">
        <v>1626</v>
      </c>
      <c r="D923">
        <v>113</v>
      </c>
      <c r="E923" t="s">
        <v>1321</v>
      </c>
      <c r="F923" t="str">
        <f>_xlfn.XLOOKUP(Log_Reseau_Master[[#This Row],[Cell_ID]],_29_03_2026_Registre_Maintenance_V2[ID_Antenne],_29_03_2026_Registre_Maintenance_V2[Province_RDC],"Pas de correspondance")</f>
        <v>Pas de correspondance</v>
      </c>
      <c r="G923" t="str">
        <f>_xlfn.XLOOKUP(Log_Reseau_Master[[#This Row],[Cell_ID]],_29_03_2026_Registre_Maintenance_V2[ID_Antenne],_29_03_2026_Registre_Maintenance_V2[Technologie],"Pas de correspondance")</f>
        <v>Pas de correspondance</v>
      </c>
      <c r="H923" t="str">
        <f>_xlfn.XLOOKUP(Log_Reseau_Master[[#This Row],[Cell_ID]],_29_03_2026_Registre_Maintenance_V2[ID_Antenne],_29_03_2026_Registre_Maintenance_V2[Equipementier],"Pas de correspondance")</f>
        <v>Pas de correspondance</v>
      </c>
    </row>
    <row r="924" spans="1:8" x14ac:dyDescent="0.25">
      <c r="A924" s="1">
        <v>45212.140277777777</v>
      </c>
      <c r="B924" s="4">
        <f>Log_Reseau_Master[[#This Row],[Duree_Panne_Min]]/1440</f>
        <v>1.3194444444444444E-2</v>
      </c>
      <c r="C924" t="s">
        <v>16</v>
      </c>
      <c r="D924">
        <v>19</v>
      </c>
      <c r="E924" t="s">
        <v>1312</v>
      </c>
      <c r="F924" t="str">
        <f>_xlfn.XLOOKUP(Log_Reseau_Master[[#This Row],[Cell_ID]],_29_03_2026_Registre_Maintenance_V2[ID_Antenne],_29_03_2026_Registre_Maintenance_V2[Province_RDC],"Pas de correspondance")</f>
        <v>Tanganyika</v>
      </c>
      <c r="G924" t="str">
        <f>_xlfn.XLOOKUP(Log_Reseau_Master[[#This Row],[Cell_ID]],_29_03_2026_Registre_Maintenance_V2[ID_Antenne],_29_03_2026_Registre_Maintenance_V2[Technologie],"Pas de correspondance")</f>
        <v>3G</v>
      </c>
      <c r="H924" t="str">
        <f>_xlfn.XLOOKUP(Log_Reseau_Master[[#This Row],[Cell_ID]],_29_03_2026_Registre_Maintenance_V2[ID_Antenne],_29_03_2026_Registre_Maintenance_V2[Equipementier],"Pas de correspondance")</f>
        <v>ZTE</v>
      </c>
    </row>
    <row r="925" spans="1:8" hidden="1" x14ac:dyDescent="0.25">
      <c r="A925" s="1">
        <v>45230.90625</v>
      </c>
      <c r="B925">
        <f>Log_Reseau_Master[[#This Row],[Duree_Panne_Min]]/1440</f>
        <v>6.0416666666666667E-2</v>
      </c>
      <c r="C925" t="s">
        <v>1627</v>
      </c>
      <c r="D925">
        <v>87</v>
      </c>
      <c r="E925" t="s">
        <v>1314</v>
      </c>
      <c r="F925" t="str">
        <f>_xlfn.XLOOKUP(Log_Reseau_Master[[#This Row],[Cell_ID]],_29_03_2026_Registre_Maintenance_V2[ID_Antenne],_29_03_2026_Registre_Maintenance_V2[Province_RDC],"Pas de correspondance")</f>
        <v>Pas de correspondance</v>
      </c>
      <c r="G925" t="str">
        <f>_xlfn.XLOOKUP(Log_Reseau_Master[[#This Row],[Cell_ID]],_29_03_2026_Registre_Maintenance_V2[ID_Antenne],_29_03_2026_Registre_Maintenance_V2[Technologie],"Pas de correspondance")</f>
        <v>Pas de correspondance</v>
      </c>
      <c r="H925" t="str">
        <f>_xlfn.XLOOKUP(Log_Reseau_Master[[#This Row],[Cell_ID]],_29_03_2026_Registre_Maintenance_V2[ID_Antenne],_29_03_2026_Registre_Maintenance_V2[Equipementier],"Pas de correspondance")</f>
        <v>Pas de correspondance</v>
      </c>
    </row>
    <row r="926" spans="1:8" hidden="1" x14ac:dyDescent="0.25">
      <c r="A926" s="1">
        <v>45211.01458333333</v>
      </c>
      <c r="B926">
        <f>Log_Reseau_Master[[#This Row],[Duree_Panne_Min]]/1440</f>
        <v>4.8611111111111112E-3</v>
      </c>
      <c r="C926" t="s">
        <v>1627</v>
      </c>
      <c r="D926">
        <v>7</v>
      </c>
      <c r="E926" t="s">
        <v>1321</v>
      </c>
      <c r="F926" t="str">
        <f>_xlfn.XLOOKUP(Log_Reseau_Master[[#This Row],[Cell_ID]],_29_03_2026_Registre_Maintenance_V2[ID_Antenne],_29_03_2026_Registre_Maintenance_V2[Province_RDC],"Pas de correspondance")</f>
        <v>Pas de correspondance</v>
      </c>
      <c r="G926" t="str">
        <f>_xlfn.XLOOKUP(Log_Reseau_Master[[#This Row],[Cell_ID]],_29_03_2026_Registre_Maintenance_V2[ID_Antenne],_29_03_2026_Registre_Maintenance_V2[Technologie],"Pas de correspondance")</f>
        <v>Pas de correspondance</v>
      </c>
      <c r="H926" t="str">
        <f>_xlfn.XLOOKUP(Log_Reseau_Master[[#This Row],[Cell_ID]],_29_03_2026_Registre_Maintenance_V2[ID_Antenne],_29_03_2026_Registre_Maintenance_V2[Equipementier],"Pas de correspondance")</f>
        <v>Pas de correspondance</v>
      </c>
    </row>
    <row r="927" spans="1:8" x14ac:dyDescent="0.25">
      <c r="A927" s="1">
        <v>45204.986111111109</v>
      </c>
      <c r="B927" s="4">
        <f>Log_Reseau_Master[[#This Row],[Duree_Panne_Min]]/1440</f>
        <v>5.2777777777777778E-2</v>
      </c>
      <c r="C927" t="s">
        <v>207</v>
      </c>
      <c r="D927">
        <v>76</v>
      </c>
      <c r="E927" t="s">
        <v>1312</v>
      </c>
      <c r="F927" t="str">
        <f>_xlfn.XLOOKUP(Log_Reseau_Master[[#This Row],[Cell_ID]],_29_03_2026_Registre_Maintenance_V2[ID_Antenne],_29_03_2026_Registre_Maintenance_V2[Province_RDC],"Pas de correspondance")</f>
        <v>Haut-Uele</v>
      </c>
      <c r="G927" t="str">
        <f>_xlfn.XLOOKUP(Log_Reseau_Master[[#This Row],[Cell_ID]],_29_03_2026_Registre_Maintenance_V2[ID_Antenne],_29_03_2026_Registre_Maintenance_V2[Technologie],"Pas de correspondance")</f>
        <v>5G</v>
      </c>
      <c r="H927" t="str">
        <f>_xlfn.XLOOKUP(Log_Reseau_Master[[#This Row],[Cell_ID]],_29_03_2026_Registre_Maintenance_V2[ID_Antenne],_29_03_2026_Registre_Maintenance_V2[Equipementier],"Pas de correspondance")</f>
        <v>Ericsson</v>
      </c>
    </row>
    <row r="928" spans="1:8" x14ac:dyDescent="0.25">
      <c r="A928" s="1">
        <v>45210.689583333333</v>
      </c>
      <c r="B928" s="4">
        <f>Log_Reseau_Master[[#This Row],[Duree_Panne_Min]]/1440</f>
        <v>1.1111111111111112E-2</v>
      </c>
      <c r="C928" t="s">
        <v>207</v>
      </c>
      <c r="D928">
        <v>16</v>
      </c>
      <c r="E928" t="s">
        <v>1314</v>
      </c>
      <c r="F928" t="str">
        <f>_xlfn.XLOOKUP(Log_Reseau_Master[[#This Row],[Cell_ID]],_29_03_2026_Registre_Maintenance_V2[ID_Antenne],_29_03_2026_Registre_Maintenance_V2[Province_RDC],"Pas de correspondance")</f>
        <v>Haut-Uele</v>
      </c>
      <c r="G928" t="str">
        <f>_xlfn.XLOOKUP(Log_Reseau_Master[[#This Row],[Cell_ID]],_29_03_2026_Registre_Maintenance_V2[ID_Antenne],_29_03_2026_Registre_Maintenance_V2[Technologie],"Pas de correspondance")</f>
        <v>5G</v>
      </c>
      <c r="H928" t="str">
        <f>_xlfn.XLOOKUP(Log_Reseau_Master[[#This Row],[Cell_ID]],_29_03_2026_Registre_Maintenance_V2[ID_Antenne],_29_03_2026_Registre_Maintenance_V2[Equipementier],"Pas de correspondance")</f>
        <v>Ericsson</v>
      </c>
    </row>
    <row r="929" spans="1:8" hidden="1" x14ac:dyDescent="0.25">
      <c r="A929" s="1">
        <v>45225.553472222222</v>
      </c>
      <c r="B929">
        <f>Log_Reseau_Master[[#This Row],[Duree_Panne_Min]]/1440</f>
        <v>8.3333333333333329E-2</v>
      </c>
      <c r="C929" t="s">
        <v>1628</v>
      </c>
      <c r="D929">
        <v>120</v>
      </c>
      <c r="E929" t="s">
        <v>1314</v>
      </c>
      <c r="F929" t="str">
        <f>_xlfn.XLOOKUP(Log_Reseau_Master[[#This Row],[Cell_ID]],_29_03_2026_Registre_Maintenance_V2[ID_Antenne],_29_03_2026_Registre_Maintenance_V2[Province_RDC],"Pas de correspondance")</f>
        <v>Pas de correspondance</v>
      </c>
      <c r="G929" t="str">
        <f>_xlfn.XLOOKUP(Log_Reseau_Master[[#This Row],[Cell_ID]],_29_03_2026_Registre_Maintenance_V2[ID_Antenne],_29_03_2026_Registre_Maintenance_V2[Technologie],"Pas de correspondance")</f>
        <v>Pas de correspondance</v>
      </c>
      <c r="H929" t="str">
        <f>_xlfn.XLOOKUP(Log_Reseau_Master[[#This Row],[Cell_ID]],_29_03_2026_Registre_Maintenance_V2[ID_Antenne],_29_03_2026_Registre_Maintenance_V2[Equipementier],"Pas de correspondance")</f>
        <v>Pas de correspondance</v>
      </c>
    </row>
    <row r="930" spans="1:8" hidden="1" x14ac:dyDescent="0.25">
      <c r="A930" s="1">
        <v>45211.382638888892</v>
      </c>
      <c r="B930">
        <f>Log_Reseau_Master[[#This Row],[Duree_Panne_Min]]/1440</f>
        <v>7.2916666666666671E-2</v>
      </c>
      <c r="C930" t="s">
        <v>1629</v>
      </c>
      <c r="D930">
        <v>105</v>
      </c>
      <c r="E930" t="s">
        <v>1314</v>
      </c>
      <c r="F930" t="str">
        <f>_xlfn.XLOOKUP(Log_Reseau_Master[[#This Row],[Cell_ID]],_29_03_2026_Registre_Maintenance_V2[ID_Antenne],_29_03_2026_Registre_Maintenance_V2[Province_RDC],"Pas de correspondance")</f>
        <v>Pas de correspondance</v>
      </c>
      <c r="G930" t="str">
        <f>_xlfn.XLOOKUP(Log_Reseau_Master[[#This Row],[Cell_ID]],_29_03_2026_Registre_Maintenance_V2[ID_Antenne],_29_03_2026_Registre_Maintenance_V2[Technologie],"Pas de correspondance")</f>
        <v>Pas de correspondance</v>
      </c>
      <c r="H930" t="str">
        <f>_xlfn.XLOOKUP(Log_Reseau_Master[[#This Row],[Cell_ID]],_29_03_2026_Registre_Maintenance_V2[ID_Antenne],_29_03_2026_Registre_Maintenance_V2[Equipementier],"Pas de correspondance")</f>
        <v>Pas de correspondance</v>
      </c>
    </row>
    <row r="931" spans="1:8" hidden="1" x14ac:dyDescent="0.25">
      <c r="A931" s="1">
        <v>45223.45208333333</v>
      </c>
      <c r="B931">
        <f>Log_Reseau_Master[[#This Row],[Duree_Panne_Min]]/1440</f>
        <v>8.1250000000000003E-2</v>
      </c>
      <c r="C931" t="s">
        <v>1629</v>
      </c>
      <c r="D931">
        <v>117</v>
      </c>
      <c r="E931" t="s">
        <v>1321</v>
      </c>
      <c r="F931" t="str">
        <f>_xlfn.XLOOKUP(Log_Reseau_Master[[#This Row],[Cell_ID]],_29_03_2026_Registre_Maintenance_V2[ID_Antenne],_29_03_2026_Registre_Maintenance_V2[Province_RDC],"Pas de correspondance")</f>
        <v>Pas de correspondance</v>
      </c>
      <c r="G931" t="str">
        <f>_xlfn.XLOOKUP(Log_Reseau_Master[[#This Row],[Cell_ID]],_29_03_2026_Registre_Maintenance_V2[ID_Antenne],_29_03_2026_Registre_Maintenance_V2[Technologie],"Pas de correspondance")</f>
        <v>Pas de correspondance</v>
      </c>
      <c r="H931" t="str">
        <f>_xlfn.XLOOKUP(Log_Reseau_Master[[#This Row],[Cell_ID]],_29_03_2026_Registre_Maintenance_V2[ID_Antenne],_29_03_2026_Registre_Maintenance_V2[Equipementier],"Pas de correspondance")</f>
        <v>Pas de correspondance</v>
      </c>
    </row>
    <row r="932" spans="1:8" hidden="1" x14ac:dyDescent="0.25">
      <c r="A932" s="1">
        <v>45219.95</v>
      </c>
      <c r="B932">
        <f>Log_Reseau_Master[[#This Row],[Duree_Panne_Min]]/1440</f>
        <v>3.125E-2</v>
      </c>
      <c r="C932" t="s">
        <v>1629</v>
      </c>
      <c r="D932">
        <v>45</v>
      </c>
      <c r="E932" t="s">
        <v>1321</v>
      </c>
      <c r="F932" t="str">
        <f>_xlfn.XLOOKUP(Log_Reseau_Master[[#This Row],[Cell_ID]],_29_03_2026_Registre_Maintenance_V2[ID_Antenne],_29_03_2026_Registre_Maintenance_V2[Province_RDC],"Pas de correspondance")</f>
        <v>Pas de correspondance</v>
      </c>
      <c r="G932" t="str">
        <f>_xlfn.XLOOKUP(Log_Reseau_Master[[#This Row],[Cell_ID]],_29_03_2026_Registre_Maintenance_V2[ID_Antenne],_29_03_2026_Registre_Maintenance_V2[Technologie],"Pas de correspondance")</f>
        <v>Pas de correspondance</v>
      </c>
      <c r="H932" t="str">
        <f>_xlfn.XLOOKUP(Log_Reseau_Master[[#This Row],[Cell_ID]],_29_03_2026_Registre_Maintenance_V2[ID_Antenne],_29_03_2026_Registre_Maintenance_V2[Equipementier],"Pas de correspondance")</f>
        <v>Pas de correspondance</v>
      </c>
    </row>
    <row r="933" spans="1:8" hidden="1" x14ac:dyDescent="0.25">
      <c r="A933" s="1">
        <v>45221.931944444441</v>
      </c>
      <c r="B933">
        <f>Log_Reseau_Master[[#This Row],[Duree_Panne_Min]]/1440</f>
        <v>1.8055555555555554E-2</v>
      </c>
      <c r="C933" t="s">
        <v>1630</v>
      </c>
      <c r="D933">
        <v>26</v>
      </c>
      <c r="E933" t="s">
        <v>1314</v>
      </c>
      <c r="F933" t="str">
        <f>_xlfn.XLOOKUP(Log_Reseau_Master[[#This Row],[Cell_ID]],_29_03_2026_Registre_Maintenance_V2[ID_Antenne],_29_03_2026_Registre_Maintenance_V2[Province_RDC],"Pas de correspondance")</f>
        <v>Pas de correspondance</v>
      </c>
      <c r="G933" t="str">
        <f>_xlfn.XLOOKUP(Log_Reseau_Master[[#This Row],[Cell_ID]],_29_03_2026_Registre_Maintenance_V2[ID_Antenne],_29_03_2026_Registre_Maintenance_V2[Technologie],"Pas de correspondance")</f>
        <v>Pas de correspondance</v>
      </c>
      <c r="H933" t="str">
        <f>_xlfn.XLOOKUP(Log_Reseau_Master[[#This Row],[Cell_ID]],_29_03_2026_Registre_Maintenance_V2[ID_Antenne],_29_03_2026_Registre_Maintenance_V2[Equipementier],"Pas de correspondance")</f>
        <v>Pas de correspondance</v>
      </c>
    </row>
    <row r="934" spans="1:8" x14ac:dyDescent="0.25">
      <c r="A934" s="1">
        <v>45228.747916666667</v>
      </c>
      <c r="B934" s="4">
        <f>Log_Reseau_Master[[#This Row],[Duree_Panne_Min]]/1440</f>
        <v>1.8749999999999999E-2</v>
      </c>
      <c r="C934" t="s">
        <v>101</v>
      </c>
      <c r="D934">
        <v>27</v>
      </c>
      <c r="E934" t="s">
        <v>1314</v>
      </c>
      <c r="F934" t="str">
        <f>_xlfn.XLOOKUP(Log_Reseau_Master[[#This Row],[Cell_ID]],_29_03_2026_Registre_Maintenance_V2[ID_Antenne],_29_03_2026_Registre_Maintenance_V2[Province_RDC],"Pas de correspondance")</f>
        <v>Lualaba</v>
      </c>
      <c r="G934" t="str">
        <f>_xlfn.XLOOKUP(Log_Reseau_Master[[#This Row],[Cell_ID]],_29_03_2026_Registre_Maintenance_V2[ID_Antenne],_29_03_2026_Registre_Maintenance_V2[Technologie],"Pas de correspondance")</f>
        <v>5G</v>
      </c>
      <c r="H934" t="str">
        <f>_xlfn.XLOOKUP(Log_Reseau_Master[[#This Row],[Cell_ID]],_29_03_2026_Registre_Maintenance_V2[ID_Antenne],_29_03_2026_Registre_Maintenance_V2[Equipementier],"Pas de correspondance")</f>
        <v>ZTE</v>
      </c>
    </row>
    <row r="935" spans="1:8" x14ac:dyDescent="0.25">
      <c r="A935" s="1">
        <v>45223.611111111109</v>
      </c>
      <c r="B935" s="4">
        <f>Log_Reseau_Master[[#This Row],[Duree_Panne_Min]]/1440</f>
        <v>6.1111111111111109E-2</v>
      </c>
      <c r="C935" t="s">
        <v>101</v>
      </c>
      <c r="D935">
        <v>88</v>
      </c>
      <c r="E935" t="s">
        <v>1314</v>
      </c>
      <c r="F935" t="str">
        <f>_xlfn.XLOOKUP(Log_Reseau_Master[[#This Row],[Cell_ID]],_29_03_2026_Registre_Maintenance_V2[ID_Antenne],_29_03_2026_Registre_Maintenance_V2[Province_RDC],"Pas de correspondance")</f>
        <v>Lualaba</v>
      </c>
      <c r="G935" t="str">
        <f>_xlfn.XLOOKUP(Log_Reseau_Master[[#This Row],[Cell_ID]],_29_03_2026_Registre_Maintenance_V2[ID_Antenne],_29_03_2026_Registre_Maintenance_V2[Technologie],"Pas de correspondance")</f>
        <v>5G</v>
      </c>
      <c r="H935" t="str">
        <f>_xlfn.XLOOKUP(Log_Reseau_Master[[#This Row],[Cell_ID]],_29_03_2026_Registre_Maintenance_V2[ID_Antenne],_29_03_2026_Registre_Maintenance_V2[Equipementier],"Pas de correspondance")</f>
        <v>ZTE</v>
      </c>
    </row>
    <row r="936" spans="1:8" x14ac:dyDescent="0.25">
      <c r="A936" s="1">
        <v>45210.366666666669</v>
      </c>
      <c r="B936" s="4">
        <f>Log_Reseau_Master[[#This Row],[Duree_Panne_Min]]/1440</f>
        <v>4.6527777777777779E-2</v>
      </c>
      <c r="C936" t="s">
        <v>101</v>
      </c>
      <c r="D936">
        <v>67</v>
      </c>
      <c r="E936" t="s">
        <v>1312</v>
      </c>
      <c r="F936" t="str">
        <f>_xlfn.XLOOKUP(Log_Reseau_Master[[#This Row],[Cell_ID]],_29_03_2026_Registre_Maintenance_V2[ID_Antenne],_29_03_2026_Registre_Maintenance_V2[Province_RDC],"Pas de correspondance")</f>
        <v>Lualaba</v>
      </c>
      <c r="G936" t="str">
        <f>_xlfn.XLOOKUP(Log_Reseau_Master[[#This Row],[Cell_ID]],_29_03_2026_Registre_Maintenance_V2[ID_Antenne],_29_03_2026_Registre_Maintenance_V2[Technologie],"Pas de correspondance")</f>
        <v>5G</v>
      </c>
      <c r="H936" t="str">
        <f>_xlfn.XLOOKUP(Log_Reseau_Master[[#This Row],[Cell_ID]],_29_03_2026_Registre_Maintenance_V2[ID_Antenne],_29_03_2026_Registre_Maintenance_V2[Equipementier],"Pas de correspondance")</f>
        <v>ZTE</v>
      </c>
    </row>
    <row r="937" spans="1:8" x14ac:dyDescent="0.25">
      <c r="A937" s="1">
        <v>45222.584722222222</v>
      </c>
      <c r="B937" s="4">
        <f>Log_Reseau_Master[[#This Row],[Duree_Panne_Min]]/1440</f>
        <v>1.0416666666666666E-2</v>
      </c>
      <c r="C937" t="s">
        <v>48</v>
      </c>
      <c r="D937">
        <v>15</v>
      </c>
      <c r="E937" t="s">
        <v>1321</v>
      </c>
      <c r="F937" t="str">
        <f>_xlfn.XLOOKUP(Log_Reseau_Master[[#This Row],[Cell_ID]],_29_03_2026_Registre_Maintenance_V2[ID_Antenne],_29_03_2026_Registre_Maintenance_V2[Province_RDC],"Pas de correspondance")</f>
        <v>Equateur</v>
      </c>
      <c r="G937" t="str">
        <f>_xlfn.XLOOKUP(Log_Reseau_Master[[#This Row],[Cell_ID]],_29_03_2026_Registre_Maintenance_V2[ID_Antenne],_29_03_2026_Registre_Maintenance_V2[Technologie],"Pas de correspondance")</f>
        <v>4G</v>
      </c>
      <c r="H937" t="str">
        <f>_xlfn.XLOOKUP(Log_Reseau_Master[[#This Row],[Cell_ID]],_29_03_2026_Registre_Maintenance_V2[ID_Antenne],_29_03_2026_Registre_Maintenance_V2[Equipementier],"Pas de correspondance")</f>
        <v>Nokia</v>
      </c>
    </row>
    <row r="938" spans="1:8" x14ac:dyDescent="0.25">
      <c r="A938" s="1">
        <v>45230.633333333331</v>
      </c>
      <c r="B938" s="4">
        <f>Log_Reseau_Master[[#This Row],[Duree_Panne_Min]]/1440</f>
        <v>2.361111111111111E-2</v>
      </c>
      <c r="C938" t="s">
        <v>422</v>
      </c>
      <c r="D938">
        <v>34</v>
      </c>
      <c r="E938" t="s">
        <v>1314</v>
      </c>
      <c r="F938" t="str">
        <f>_xlfn.XLOOKUP(Log_Reseau_Master[[#This Row],[Cell_ID]],_29_03_2026_Registre_Maintenance_V2[ID_Antenne],_29_03_2026_Registre_Maintenance_V2[Province_RDC],"Pas de correspondance")</f>
        <v>Kasai-Oriental</v>
      </c>
      <c r="G938" t="str">
        <f>_xlfn.XLOOKUP(Log_Reseau_Master[[#This Row],[Cell_ID]],_29_03_2026_Registre_Maintenance_V2[ID_Antenne],_29_03_2026_Registre_Maintenance_V2[Technologie],"Pas de correspondance")</f>
        <v>5G</v>
      </c>
      <c r="H938" t="str">
        <f>_xlfn.XLOOKUP(Log_Reseau_Master[[#This Row],[Cell_ID]],_29_03_2026_Registre_Maintenance_V2[ID_Antenne],_29_03_2026_Registre_Maintenance_V2[Equipementier],"Pas de correspondance")</f>
        <v>ZTE</v>
      </c>
    </row>
    <row r="939" spans="1:8" x14ac:dyDescent="0.25">
      <c r="A939" s="1">
        <v>45226.115972222222</v>
      </c>
      <c r="B939" s="4">
        <f>Log_Reseau_Master[[#This Row],[Duree_Panne_Min]]/1440</f>
        <v>3.472222222222222E-3</v>
      </c>
      <c r="C939" t="s">
        <v>422</v>
      </c>
      <c r="D939">
        <v>5</v>
      </c>
      <c r="E939" t="s">
        <v>1321</v>
      </c>
      <c r="F939" t="str">
        <f>_xlfn.XLOOKUP(Log_Reseau_Master[[#This Row],[Cell_ID]],_29_03_2026_Registre_Maintenance_V2[ID_Antenne],_29_03_2026_Registre_Maintenance_V2[Province_RDC],"Pas de correspondance")</f>
        <v>Kasai-Oriental</v>
      </c>
      <c r="G939" t="str">
        <f>_xlfn.XLOOKUP(Log_Reseau_Master[[#This Row],[Cell_ID]],_29_03_2026_Registre_Maintenance_V2[ID_Antenne],_29_03_2026_Registre_Maintenance_V2[Technologie],"Pas de correspondance")</f>
        <v>5G</v>
      </c>
      <c r="H939" t="str">
        <f>_xlfn.XLOOKUP(Log_Reseau_Master[[#This Row],[Cell_ID]],_29_03_2026_Registre_Maintenance_V2[ID_Antenne],_29_03_2026_Registre_Maintenance_V2[Equipementier],"Pas de correspondance")</f>
        <v>ZTE</v>
      </c>
    </row>
    <row r="940" spans="1:8" hidden="1" x14ac:dyDescent="0.25">
      <c r="A940" s="1">
        <v>45226.955555555556</v>
      </c>
      <c r="B940">
        <f>Log_Reseau_Master[[#This Row],[Duree_Panne_Min]]/1440</f>
        <v>1.3888888888888888E-2</v>
      </c>
      <c r="C940" t="s">
        <v>1631</v>
      </c>
      <c r="D940">
        <v>20</v>
      </c>
      <c r="E940" t="s">
        <v>1312</v>
      </c>
      <c r="F940" t="str">
        <f>_xlfn.XLOOKUP(Log_Reseau_Master[[#This Row],[Cell_ID]],_29_03_2026_Registre_Maintenance_V2[ID_Antenne],_29_03_2026_Registre_Maintenance_V2[Province_RDC],"Pas de correspondance")</f>
        <v>Pas de correspondance</v>
      </c>
      <c r="G940" t="str">
        <f>_xlfn.XLOOKUP(Log_Reseau_Master[[#This Row],[Cell_ID]],_29_03_2026_Registre_Maintenance_V2[ID_Antenne],_29_03_2026_Registre_Maintenance_V2[Technologie],"Pas de correspondance")</f>
        <v>Pas de correspondance</v>
      </c>
      <c r="H940" t="str">
        <f>_xlfn.XLOOKUP(Log_Reseau_Master[[#This Row],[Cell_ID]],_29_03_2026_Registre_Maintenance_V2[ID_Antenne],_29_03_2026_Registre_Maintenance_V2[Equipementier],"Pas de correspondance")</f>
        <v>Pas de correspondance</v>
      </c>
    </row>
    <row r="941" spans="1:8" hidden="1" x14ac:dyDescent="0.25">
      <c r="A941" s="1">
        <v>45225.660416666666</v>
      </c>
      <c r="B941">
        <f>Log_Reseau_Master[[#This Row],[Duree_Panne_Min]]/1440</f>
        <v>9.7222222222222224E-3</v>
      </c>
      <c r="C941" t="s">
        <v>1632</v>
      </c>
      <c r="D941">
        <v>14</v>
      </c>
      <c r="E941" t="s">
        <v>1314</v>
      </c>
      <c r="F941" t="str">
        <f>_xlfn.XLOOKUP(Log_Reseau_Master[[#This Row],[Cell_ID]],_29_03_2026_Registre_Maintenance_V2[ID_Antenne],_29_03_2026_Registre_Maintenance_V2[Province_RDC],"Pas de correspondance")</f>
        <v>Pas de correspondance</v>
      </c>
      <c r="G941" t="str">
        <f>_xlfn.XLOOKUP(Log_Reseau_Master[[#This Row],[Cell_ID]],_29_03_2026_Registre_Maintenance_V2[ID_Antenne],_29_03_2026_Registre_Maintenance_V2[Technologie],"Pas de correspondance")</f>
        <v>Pas de correspondance</v>
      </c>
      <c r="H941" t="str">
        <f>_xlfn.XLOOKUP(Log_Reseau_Master[[#This Row],[Cell_ID]],_29_03_2026_Registre_Maintenance_V2[ID_Antenne],_29_03_2026_Registre_Maintenance_V2[Equipementier],"Pas de correspondance")</f>
        <v>Pas de correspondance</v>
      </c>
    </row>
    <row r="942" spans="1:8" hidden="1" x14ac:dyDescent="0.25">
      <c r="A942" s="1">
        <v>45208.047222222223</v>
      </c>
      <c r="B942">
        <f>Log_Reseau_Master[[#This Row],[Duree_Panne_Min]]/1440</f>
        <v>6.3888888888888884E-2</v>
      </c>
      <c r="C942" t="s">
        <v>1632</v>
      </c>
      <c r="D942">
        <v>92</v>
      </c>
      <c r="E942" t="s">
        <v>1321</v>
      </c>
      <c r="F942" t="str">
        <f>_xlfn.XLOOKUP(Log_Reseau_Master[[#This Row],[Cell_ID]],_29_03_2026_Registre_Maintenance_V2[ID_Antenne],_29_03_2026_Registre_Maintenance_V2[Province_RDC],"Pas de correspondance")</f>
        <v>Pas de correspondance</v>
      </c>
      <c r="G942" t="str">
        <f>_xlfn.XLOOKUP(Log_Reseau_Master[[#This Row],[Cell_ID]],_29_03_2026_Registre_Maintenance_V2[ID_Antenne],_29_03_2026_Registre_Maintenance_V2[Technologie],"Pas de correspondance")</f>
        <v>Pas de correspondance</v>
      </c>
      <c r="H942" t="str">
        <f>_xlfn.XLOOKUP(Log_Reseau_Master[[#This Row],[Cell_ID]],_29_03_2026_Registre_Maintenance_V2[ID_Antenne],_29_03_2026_Registre_Maintenance_V2[Equipementier],"Pas de correspondance")</f>
        <v>Pas de correspondance</v>
      </c>
    </row>
    <row r="943" spans="1:8" x14ac:dyDescent="0.25">
      <c r="A943" s="1">
        <v>45213.210416666669</v>
      </c>
      <c r="B943" s="4">
        <f>Log_Reseau_Master[[#This Row],[Duree_Panne_Min]]/1440</f>
        <v>1.9444444444444445E-2</v>
      </c>
      <c r="C943" t="s">
        <v>541</v>
      </c>
      <c r="D943">
        <v>28</v>
      </c>
      <c r="E943" t="s">
        <v>1321</v>
      </c>
      <c r="F943" t="str">
        <f>_xlfn.XLOOKUP(Log_Reseau_Master[[#This Row],[Cell_ID]],_29_03_2026_Registre_Maintenance_V2[ID_Antenne],_29_03_2026_Registre_Maintenance_V2[Province_RDC],"Pas de correspondance")</f>
        <v>Haut-Lomami</v>
      </c>
      <c r="G943" t="str">
        <f>_xlfn.XLOOKUP(Log_Reseau_Master[[#This Row],[Cell_ID]],_29_03_2026_Registre_Maintenance_V2[ID_Antenne],_29_03_2026_Registre_Maintenance_V2[Technologie],"Pas de correspondance")</f>
        <v>3G</v>
      </c>
      <c r="H943" t="str">
        <f>_xlfn.XLOOKUP(Log_Reseau_Master[[#This Row],[Cell_ID]],_29_03_2026_Registre_Maintenance_V2[ID_Antenne],_29_03_2026_Registre_Maintenance_V2[Equipementier],"Pas de correspondance")</f>
        <v>Huawei</v>
      </c>
    </row>
    <row r="944" spans="1:8" x14ac:dyDescent="0.25">
      <c r="A944" s="1">
        <v>45203.213888888888</v>
      </c>
      <c r="B944" s="4">
        <f>Log_Reseau_Master[[#This Row],[Duree_Panne_Min]]/1440</f>
        <v>3.472222222222222E-3</v>
      </c>
      <c r="C944" t="s">
        <v>354</v>
      </c>
      <c r="D944">
        <v>5</v>
      </c>
      <c r="E944" t="s">
        <v>1314</v>
      </c>
      <c r="F944" t="str">
        <f>_xlfn.XLOOKUP(Log_Reseau_Master[[#This Row],[Cell_ID]],_29_03_2026_Registre_Maintenance_V2[ID_Antenne],_29_03_2026_Registre_Maintenance_V2[Province_RDC],"Pas de correspondance")</f>
        <v>Nord-Kivu</v>
      </c>
      <c r="G944" t="str">
        <f>_xlfn.XLOOKUP(Log_Reseau_Master[[#This Row],[Cell_ID]],_29_03_2026_Registre_Maintenance_V2[ID_Antenne],_29_03_2026_Registre_Maintenance_V2[Technologie],"Pas de correspondance")</f>
        <v>4G</v>
      </c>
      <c r="H944" t="str">
        <f>_xlfn.XLOOKUP(Log_Reseau_Master[[#This Row],[Cell_ID]],_29_03_2026_Registre_Maintenance_V2[ID_Antenne],_29_03_2026_Registre_Maintenance_V2[Equipementier],"Pas de correspondance")</f>
        <v>Huawei</v>
      </c>
    </row>
    <row r="945" spans="1:8" x14ac:dyDescent="0.25">
      <c r="A945" s="1">
        <v>45224.195138888892</v>
      </c>
      <c r="B945" s="4">
        <f>Log_Reseau_Master[[#This Row],[Duree_Panne_Min]]/1440</f>
        <v>5.6250000000000001E-2</v>
      </c>
      <c r="C945" t="s">
        <v>271</v>
      </c>
      <c r="D945">
        <v>81</v>
      </c>
      <c r="E945" t="s">
        <v>1312</v>
      </c>
      <c r="F945" t="str">
        <f>_xlfn.XLOOKUP(Log_Reseau_Master[[#This Row],[Cell_ID]],_29_03_2026_Registre_Maintenance_V2[ID_Antenne],_29_03_2026_Registre_Maintenance_V2[Province_RDC],"Pas de correspondance")</f>
        <v>Bas-Uele</v>
      </c>
      <c r="G945" t="str">
        <f>_xlfn.XLOOKUP(Log_Reseau_Master[[#This Row],[Cell_ID]],_29_03_2026_Registre_Maintenance_V2[ID_Antenne],_29_03_2026_Registre_Maintenance_V2[Technologie],"Pas de correspondance")</f>
        <v>5G</v>
      </c>
      <c r="H945" t="str">
        <f>_xlfn.XLOOKUP(Log_Reseau_Master[[#This Row],[Cell_ID]],_29_03_2026_Registre_Maintenance_V2[ID_Antenne],_29_03_2026_Registre_Maintenance_V2[Equipementier],"Pas de correspondance")</f>
        <v>Nokia</v>
      </c>
    </row>
    <row r="946" spans="1:8" x14ac:dyDescent="0.25">
      <c r="A946" s="1">
        <v>45218.007638888892</v>
      </c>
      <c r="B946" s="4">
        <f>Log_Reseau_Master[[#This Row],[Duree_Panne_Min]]/1440</f>
        <v>3.0555555555555555E-2</v>
      </c>
      <c r="C946" t="s">
        <v>164</v>
      </c>
      <c r="D946">
        <v>44</v>
      </c>
      <c r="E946" t="s">
        <v>1312</v>
      </c>
      <c r="F946" t="str">
        <f>_xlfn.XLOOKUP(Log_Reseau_Master[[#This Row],[Cell_ID]],_29_03_2026_Registre_Maintenance_V2[ID_Antenne],_29_03_2026_Registre_Maintenance_V2[Province_RDC],"Pas de correspondance")</f>
        <v>Sud-Kivu</v>
      </c>
      <c r="G946" t="str">
        <f>_xlfn.XLOOKUP(Log_Reseau_Master[[#This Row],[Cell_ID]],_29_03_2026_Registre_Maintenance_V2[ID_Antenne],_29_03_2026_Registre_Maintenance_V2[Technologie],"Pas de correspondance")</f>
        <v>3G</v>
      </c>
      <c r="H946" t="str">
        <f>_xlfn.XLOOKUP(Log_Reseau_Master[[#This Row],[Cell_ID]],_29_03_2026_Registre_Maintenance_V2[ID_Antenne],_29_03_2026_Registre_Maintenance_V2[Equipementier],"Pas de correspondance")</f>
        <v>Ericsson</v>
      </c>
    </row>
    <row r="947" spans="1:8" x14ac:dyDescent="0.25">
      <c r="A947" s="1">
        <v>45217.175000000003</v>
      </c>
      <c r="B947" s="4">
        <f>Log_Reseau_Master[[#This Row],[Duree_Panne_Min]]/1440</f>
        <v>1.2500000000000001E-2</v>
      </c>
      <c r="C947" t="s">
        <v>164</v>
      </c>
      <c r="D947">
        <v>18</v>
      </c>
      <c r="E947" t="s">
        <v>1321</v>
      </c>
      <c r="F947" t="str">
        <f>_xlfn.XLOOKUP(Log_Reseau_Master[[#This Row],[Cell_ID]],_29_03_2026_Registre_Maintenance_V2[ID_Antenne],_29_03_2026_Registre_Maintenance_V2[Province_RDC],"Pas de correspondance")</f>
        <v>Sud-Kivu</v>
      </c>
      <c r="G947" t="str">
        <f>_xlfn.XLOOKUP(Log_Reseau_Master[[#This Row],[Cell_ID]],_29_03_2026_Registre_Maintenance_V2[ID_Antenne],_29_03_2026_Registre_Maintenance_V2[Technologie],"Pas de correspondance")</f>
        <v>3G</v>
      </c>
      <c r="H947" t="str">
        <f>_xlfn.XLOOKUP(Log_Reseau_Master[[#This Row],[Cell_ID]],_29_03_2026_Registre_Maintenance_V2[ID_Antenne],_29_03_2026_Registre_Maintenance_V2[Equipementier],"Pas de correspondance")</f>
        <v>Ericsson</v>
      </c>
    </row>
    <row r="948" spans="1:8" x14ac:dyDescent="0.25">
      <c r="A948" s="1">
        <v>45203.224305555559</v>
      </c>
      <c r="B948" s="4">
        <f>Log_Reseau_Master[[#This Row],[Duree_Panne_Min]]/1440</f>
        <v>7.0833333333333331E-2</v>
      </c>
      <c r="C948" t="s">
        <v>164</v>
      </c>
      <c r="D948">
        <v>102</v>
      </c>
      <c r="E948" t="s">
        <v>1321</v>
      </c>
      <c r="F948" t="str">
        <f>_xlfn.XLOOKUP(Log_Reseau_Master[[#This Row],[Cell_ID]],_29_03_2026_Registre_Maintenance_V2[ID_Antenne],_29_03_2026_Registre_Maintenance_V2[Province_RDC],"Pas de correspondance")</f>
        <v>Sud-Kivu</v>
      </c>
      <c r="G948" t="str">
        <f>_xlfn.XLOOKUP(Log_Reseau_Master[[#This Row],[Cell_ID]],_29_03_2026_Registre_Maintenance_V2[ID_Antenne],_29_03_2026_Registre_Maintenance_V2[Technologie],"Pas de correspondance")</f>
        <v>3G</v>
      </c>
      <c r="H948" t="str">
        <f>_xlfn.XLOOKUP(Log_Reseau_Master[[#This Row],[Cell_ID]],_29_03_2026_Registre_Maintenance_V2[ID_Antenne],_29_03_2026_Registre_Maintenance_V2[Equipementier],"Pas de correspondance")</f>
        <v>Ericsson</v>
      </c>
    </row>
    <row r="949" spans="1:8" hidden="1" x14ac:dyDescent="0.25">
      <c r="A949" s="1">
        <v>45211.73333333333</v>
      </c>
      <c r="B949">
        <f>Log_Reseau_Master[[#This Row],[Duree_Panne_Min]]/1440</f>
        <v>7.4999999999999997E-2</v>
      </c>
      <c r="C949" t="s">
        <v>1633</v>
      </c>
      <c r="D949">
        <v>108</v>
      </c>
      <c r="E949" t="s">
        <v>1312</v>
      </c>
      <c r="F949" t="str">
        <f>_xlfn.XLOOKUP(Log_Reseau_Master[[#This Row],[Cell_ID]],_29_03_2026_Registre_Maintenance_V2[ID_Antenne],_29_03_2026_Registre_Maintenance_V2[Province_RDC],"Pas de correspondance")</f>
        <v>Pas de correspondance</v>
      </c>
      <c r="G949" t="str">
        <f>_xlfn.XLOOKUP(Log_Reseau_Master[[#This Row],[Cell_ID]],_29_03_2026_Registre_Maintenance_V2[ID_Antenne],_29_03_2026_Registre_Maintenance_V2[Technologie],"Pas de correspondance")</f>
        <v>Pas de correspondance</v>
      </c>
      <c r="H949" t="str">
        <f>_xlfn.XLOOKUP(Log_Reseau_Master[[#This Row],[Cell_ID]],_29_03_2026_Registre_Maintenance_V2[ID_Antenne],_29_03_2026_Registre_Maintenance_V2[Equipementier],"Pas de correspondance")</f>
        <v>Pas de correspondance</v>
      </c>
    </row>
    <row r="950" spans="1:8" hidden="1" x14ac:dyDescent="0.25">
      <c r="A950" s="1">
        <v>45204.20208333333</v>
      </c>
      <c r="B950">
        <f>Log_Reseau_Master[[#This Row],[Duree_Panne_Min]]/1440</f>
        <v>6.9444444444444441E-3</v>
      </c>
      <c r="C950" t="s">
        <v>1634</v>
      </c>
      <c r="D950">
        <v>10</v>
      </c>
      <c r="E950" t="s">
        <v>1314</v>
      </c>
      <c r="F950" t="str">
        <f>_xlfn.XLOOKUP(Log_Reseau_Master[[#This Row],[Cell_ID]],_29_03_2026_Registre_Maintenance_V2[ID_Antenne],_29_03_2026_Registre_Maintenance_V2[Province_RDC],"Pas de correspondance")</f>
        <v>Pas de correspondance</v>
      </c>
      <c r="G950" t="str">
        <f>_xlfn.XLOOKUP(Log_Reseau_Master[[#This Row],[Cell_ID]],_29_03_2026_Registre_Maintenance_V2[ID_Antenne],_29_03_2026_Registre_Maintenance_V2[Technologie],"Pas de correspondance")</f>
        <v>Pas de correspondance</v>
      </c>
      <c r="H950" t="str">
        <f>_xlfn.XLOOKUP(Log_Reseau_Master[[#This Row],[Cell_ID]],_29_03_2026_Registre_Maintenance_V2[ID_Antenne],_29_03_2026_Registre_Maintenance_V2[Equipementier],"Pas de correspondance")</f>
        <v>Pas de correspondance</v>
      </c>
    </row>
    <row r="951" spans="1:8" hidden="1" x14ac:dyDescent="0.25">
      <c r="A951" s="1">
        <v>45223.647916666669</v>
      </c>
      <c r="B951">
        <f>Log_Reseau_Master[[#This Row],[Duree_Panne_Min]]/1440</f>
        <v>9.7222222222222224E-3</v>
      </c>
      <c r="C951" t="s">
        <v>1635</v>
      </c>
      <c r="D951">
        <v>14</v>
      </c>
      <c r="E951" t="s">
        <v>1321</v>
      </c>
      <c r="F951" t="str">
        <f>_xlfn.XLOOKUP(Log_Reseau_Master[[#This Row],[Cell_ID]],_29_03_2026_Registre_Maintenance_V2[ID_Antenne],_29_03_2026_Registre_Maintenance_V2[Province_RDC],"Pas de correspondance")</f>
        <v>Pas de correspondance</v>
      </c>
      <c r="G951" t="str">
        <f>_xlfn.XLOOKUP(Log_Reseau_Master[[#This Row],[Cell_ID]],_29_03_2026_Registre_Maintenance_V2[ID_Antenne],_29_03_2026_Registre_Maintenance_V2[Technologie],"Pas de correspondance")</f>
        <v>Pas de correspondance</v>
      </c>
      <c r="H951" t="str">
        <f>_xlfn.XLOOKUP(Log_Reseau_Master[[#This Row],[Cell_ID]],_29_03_2026_Registre_Maintenance_V2[ID_Antenne],_29_03_2026_Registre_Maintenance_V2[Equipementier],"Pas de correspondance")</f>
        <v>Pas de correspondance</v>
      </c>
    </row>
    <row r="952" spans="1:8" hidden="1" x14ac:dyDescent="0.25">
      <c r="A952" s="1">
        <v>45205.586111111108</v>
      </c>
      <c r="B952">
        <f>Log_Reseau_Master[[#This Row],[Duree_Panne_Min]]/1440</f>
        <v>6.1805555555555558E-2</v>
      </c>
      <c r="C952" t="s">
        <v>1636</v>
      </c>
      <c r="D952">
        <v>89</v>
      </c>
      <c r="E952" t="s">
        <v>1321</v>
      </c>
      <c r="F952" t="str">
        <f>_xlfn.XLOOKUP(Log_Reseau_Master[[#This Row],[Cell_ID]],_29_03_2026_Registre_Maintenance_V2[ID_Antenne],_29_03_2026_Registre_Maintenance_V2[Province_RDC],"Pas de correspondance")</f>
        <v>Pas de correspondance</v>
      </c>
      <c r="G952" t="str">
        <f>_xlfn.XLOOKUP(Log_Reseau_Master[[#This Row],[Cell_ID]],_29_03_2026_Registre_Maintenance_V2[ID_Antenne],_29_03_2026_Registre_Maintenance_V2[Technologie],"Pas de correspondance")</f>
        <v>Pas de correspondance</v>
      </c>
      <c r="H952" t="str">
        <f>_xlfn.XLOOKUP(Log_Reseau_Master[[#This Row],[Cell_ID]],_29_03_2026_Registre_Maintenance_V2[ID_Antenne],_29_03_2026_Registre_Maintenance_V2[Equipementier],"Pas de correspondance")</f>
        <v>Pas de correspondance</v>
      </c>
    </row>
    <row r="953" spans="1:8" hidden="1" x14ac:dyDescent="0.25">
      <c r="A953" s="1">
        <v>45217.027777777781</v>
      </c>
      <c r="B953">
        <f>Log_Reseau_Master[[#This Row],[Duree_Panne_Min]]/1440</f>
        <v>3.7499999999999999E-2</v>
      </c>
      <c r="C953" t="s">
        <v>1637</v>
      </c>
      <c r="D953">
        <v>54</v>
      </c>
      <c r="E953" t="s">
        <v>1312</v>
      </c>
      <c r="F953" t="str">
        <f>_xlfn.XLOOKUP(Log_Reseau_Master[[#This Row],[Cell_ID]],_29_03_2026_Registre_Maintenance_V2[ID_Antenne],_29_03_2026_Registre_Maintenance_V2[Province_RDC],"Pas de correspondance")</f>
        <v>Pas de correspondance</v>
      </c>
      <c r="G953" t="str">
        <f>_xlfn.XLOOKUP(Log_Reseau_Master[[#This Row],[Cell_ID]],_29_03_2026_Registre_Maintenance_V2[ID_Antenne],_29_03_2026_Registre_Maintenance_V2[Technologie],"Pas de correspondance")</f>
        <v>Pas de correspondance</v>
      </c>
      <c r="H953" t="str">
        <f>_xlfn.XLOOKUP(Log_Reseau_Master[[#This Row],[Cell_ID]],_29_03_2026_Registre_Maintenance_V2[ID_Antenne],_29_03_2026_Registre_Maintenance_V2[Equipementier],"Pas de correspondance")</f>
        <v>Pas de correspondance</v>
      </c>
    </row>
    <row r="954" spans="1:8" hidden="1" x14ac:dyDescent="0.25">
      <c r="A954" s="1">
        <v>45224.683333333334</v>
      </c>
      <c r="B954">
        <f>Log_Reseau_Master[[#This Row],[Duree_Panne_Min]]/1440</f>
        <v>4.9305555555555554E-2</v>
      </c>
      <c r="C954" t="s">
        <v>1637</v>
      </c>
      <c r="D954">
        <v>71</v>
      </c>
      <c r="E954" t="s">
        <v>1314</v>
      </c>
      <c r="F954" t="str">
        <f>_xlfn.XLOOKUP(Log_Reseau_Master[[#This Row],[Cell_ID]],_29_03_2026_Registre_Maintenance_V2[ID_Antenne],_29_03_2026_Registre_Maintenance_V2[Province_RDC],"Pas de correspondance")</f>
        <v>Pas de correspondance</v>
      </c>
      <c r="G954" t="str">
        <f>_xlfn.XLOOKUP(Log_Reseau_Master[[#This Row],[Cell_ID]],_29_03_2026_Registre_Maintenance_V2[ID_Antenne],_29_03_2026_Registre_Maintenance_V2[Technologie],"Pas de correspondance")</f>
        <v>Pas de correspondance</v>
      </c>
      <c r="H954" t="str">
        <f>_xlfn.XLOOKUP(Log_Reseau_Master[[#This Row],[Cell_ID]],_29_03_2026_Registre_Maintenance_V2[ID_Antenne],_29_03_2026_Registre_Maintenance_V2[Equipementier],"Pas de correspondance")</f>
        <v>Pas de correspondance</v>
      </c>
    </row>
    <row r="955" spans="1:8" hidden="1" x14ac:dyDescent="0.25">
      <c r="A955" s="1">
        <v>45213.428472222222</v>
      </c>
      <c r="B955">
        <f>Log_Reseau_Master[[#This Row],[Duree_Panne_Min]]/1440</f>
        <v>7.013888888888889E-2</v>
      </c>
      <c r="C955" t="s">
        <v>1638</v>
      </c>
      <c r="D955">
        <v>101</v>
      </c>
      <c r="E955" t="s">
        <v>1312</v>
      </c>
      <c r="F955" t="str">
        <f>_xlfn.XLOOKUP(Log_Reseau_Master[[#This Row],[Cell_ID]],_29_03_2026_Registre_Maintenance_V2[ID_Antenne],_29_03_2026_Registre_Maintenance_V2[Province_RDC],"Pas de correspondance")</f>
        <v>Pas de correspondance</v>
      </c>
      <c r="G955" t="str">
        <f>_xlfn.XLOOKUP(Log_Reseau_Master[[#This Row],[Cell_ID]],_29_03_2026_Registre_Maintenance_V2[ID_Antenne],_29_03_2026_Registre_Maintenance_V2[Technologie],"Pas de correspondance")</f>
        <v>Pas de correspondance</v>
      </c>
      <c r="H955" t="str">
        <f>_xlfn.XLOOKUP(Log_Reseau_Master[[#This Row],[Cell_ID]],_29_03_2026_Registre_Maintenance_V2[ID_Antenne],_29_03_2026_Registre_Maintenance_V2[Equipementier],"Pas de correspondance")</f>
        <v>Pas de correspondance</v>
      </c>
    </row>
    <row r="956" spans="1:8" x14ac:dyDescent="0.25">
      <c r="A956" s="1">
        <v>45204.47152777778</v>
      </c>
      <c r="B956" s="4">
        <f>Log_Reseau_Master[[#This Row],[Duree_Panne_Min]]/1440</f>
        <v>6.9444444444444441E-3</v>
      </c>
      <c r="C956" t="s">
        <v>115</v>
      </c>
      <c r="D956">
        <v>10</v>
      </c>
      <c r="E956" t="s">
        <v>1314</v>
      </c>
      <c r="F956" t="str">
        <f>_xlfn.XLOOKUP(Log_Reseau_Master[[#This Row],[Cell_ID]],_29_03_2026_Registre_Maintenance_V2[ID_Antenne],_29_03_2026_Registre_Maintenance_V2[Province_RDC],"Pas de correspondance")</f>
        <v>Nord-Kivu</v>
      </c>
      <c r="G956" t="str">
        <f>_xlfn.XLOOKUP(Log_Reseau_Master[[#This Row],[Cell_ID]],_29_03_2026_Registre_Maintenance_V2[ID_Antenne],_29_03_2026_Registre_Maintenance_V2[Technologie],"Pas de correspondance")</f>
        <v>5G</v>
      </c>
      <c r="H956" t="str">
        <f>_xlfn.XLOOKUP(Log_Reseau_Master[[#This Row],[Cell_ID]],_29_03_2026_Registre_Maintenance_V2[ID_Antenne],_29_03_2026_Registre_Maintenance_V2[Equipementier],"Pas de correspondance")</f>
        <v>Huawei</v>
      </c>
    </row>
    <row r="957" spans="1:8" hidden="1" x14ac:dyDescent="0.25">
      <c r="A957" s="1">
        <v>45220.452777777777</v>
      </c>
      <c r="B957">
        <f>Log_Reseau_Master[[#This Row],[Duree_Panne_Min]]/1440</f>
        <v>2.4305555555555556E-2</v>
      </c>
      <c r="C957" t="s">
        <v>1639</v>
      </c>
      <c r="D957">
        <v>35</v>
      </c>
      <c r="E957" t="s">
        <v>1312</v>
      </c>
      <c r="F957" t="str">
        <f>_xlfn.XLOOKUP(Log_Reseau_Master[[#This Row],[Cell_ID]],_29_03_2026_Registre_Maintenance_V2[ID_Antenne],_29_03_2026_Registre_Maintenance_V2[Province_RDC],"Pas de correspondance")</f>
        <v>Pas de correspondance</v>
      </c>
      <c r="G957" t="str">
        <f>_xlfn.XLOOKUP(Log_Reseau_Master[[#This Row],[Cell_ID]],_29_03_2026_Registre_Maintenance_V2[ID_Antenne],_29_03_2026_Registre_Maintenance_V2[Technologie],"Pas de correspondance")</f>
        <v>Pas de correspondance</v>
      </c>
      <c r="H957" t="str">
        <f>_xlfn.XLOOKUP(Log_Reseau_Master[[#This Row],[Cell_ID]],_29_03_2026_Registre_Maintenance_V2[ID_Antenne],_29_03_2026_Registre_Maintenance_V2[Equipementier],"Pas de correspondance")</f>
        <v>Pas de correspondance</v>
      </c>
    </row>
    <row r="958" spans="1:8" hidden="1" x14ac:dyDescent="0.25">
      <c r="A958" s="1">
        <v>45226.90625</v>
      </c>
      <c r="B958">
        <f>Log_Reseau_Master[[#This Row],[Duree_Panne_Min]]/1440</f>
        <v>1.8055555555555554E-2</v>
      </c>
      <c r="C958" t="s">
        <v>1639</v>
      </c>
      <c r="D958">
        <v>26</v>
      </c>
      <c r="E958" t="s">
        <v>1312</v>
      </c>
      <c r="F958" t="str">
        <f>_xlfn.XLOOKUP(Log_Reseau_Master[[#This Row],[Cell_ID]],_29_03_2026_Registre_Maintenance_V2[ID_Antenne],_29_03_2026_Registre_Maintenance_V2[Province_RDC],"Pas de correspondance")</f>
        <v>Pas de correspondance</v>
      </c>
      <c r="G958" t="str">
        <f>_xlfn.XLOOKUP(Log_Reseau_Master[[#This Row],[Cell_ID]],_29_03_2026_Registre_Maintenance_V2[ID_Antenne],_29_03_2026_Registre_Maintenance_V2[Technologie],"Pas de correspondance")</f>
        <v>Pas de correspondance</v>
      </c>
      <c r="H958" t="str">
        <f>_xlfn.XLOOKUP(Log_Reseau_Master[[#This Row],[Cell_ID]],_29_03_2026_Registre_Maintenance_V2[ID_Antenne],_29_03_2026_Registre_Maintenance_V2[Equipementier],"Pas de correspondance")</f>
        <v>Pas de correspondance</v>
      </c>
    </row>
    <row r="959" spans="1:8" hidden="1" x14ac:dyDescent="0.25">
      <c r="A959" s="1">
        <v>45217.509027777778</v>
      </c>
      <c r="B959">
        <f>Log_Reseau_Master[[#This Row],[Duree_Panne_Min]]/1440</f>
        <v>3.4027777777777775E-2</v>
      </c>
      <c r="C959" t="s">
        <v>1640</v>
      </c>
      <c r="D959">
        <v>49</v>
      </c>
      <c r="E959" t="s">
        <v>1314</v>
      </c>
      <c r="F959" t="str">
        <f>_xlfn.XLOOKUP(Log_Reseau_Master[[#This Row],[Cell_ID]],_29_03_2026_Registre_Maintenance_V2[ID_Antenne],_29_03_2026_Registre_Maintenance_V2[Province_RDC],"Pas de correspondance")</f>
        <v>Pas de correspondance</v>
      </c>
      <c r="G959" t="str">
        <f>_xlfn.XLOOKUP(Log_Reseau_Master[[#This Row],[Cell_ID]],_29_03_2026_Registre_Maintenance_V2[ID_Antenne],_29_03_2026_Registre_Maintenance_V2[Technologie],"Pas de correspondance")</f>
        <v>Pas de correspondance</v>
      </c>
      <c r="H959" t="str">
        <f>_xlfn.XLOOKUP(Log_Reseau_Master[[#This Row],[Cell_ID]],_29_03_2026_Registre_Maintenance_V2[ID_Antenne],_29_03_2026_Registre_Maintenance_V2[Equipementier],"Pas de correspondance")</f>
        <v>Pas de correspondance</v>
      </c>
    </row>
    <row r="960" spans="1:8" hidden="1" x14ac:dyDescent="0.25">
      <c r="A960" s="1">
        <v>45217.109027777777</v>
      </c>
      <c r="B960">
        <f>Log_Reseau_Master[[#This Row],[Duree_Panne_Min]]/1440</f>
        <v>4.0972222222222222E-2</v>
      </c>
      <c r="C960" t="s">
        <v>1640</v>
      </c>
      <c r="D960">
        <v>59</v>
      </c>
      <c r="E960" t="s">
        <v>1314</v>
      </c>
      <c r="F960" t="str">
        <f>_xlfn.XLOOKUP(Log_Reseau_Master[[#This Row],[Cell_ID]],_29_03_2026_Registre_Maintenance_V2[ID_Antenne],_29_03_2026_Registre_Maintenance_V2[Province_RDC],"Pas de correspondance")</f>
        <v>Pas de correspondance</v>
      </c>
      <c r="G960" t="str">
        <f>_xlfn.XLOOKUP(Log_Reseau_Master[[#This Row],[Cell_ID]],_29_03_2026_Registre_Maintenance_V2[ID_Antenne],_29_03_2026_Registre_Maintenance_V2[Technologie],"Pas de correspondance")</f>
        <v>Pas de correspondance</v>
      </c>
      <c r="H960" t="str">
        <f>_xlfn.XLOOKUP(Log_Reseau_Master[[#This Row],[Cell_ID]],_29_03_2026_Registre_Maintenance_V2[ID_Antenne],_29_03_2026_Registre_Maintenance_V2[Equipementier],"Pas de correspondance")</f>
        <v>Pas de correspondance</v>
      </c>
    </row>
    <row r="961" spans="1:8" hidden="1" x14ac:dyDescent="0.25">
      <c r="A961" s="1">
        <v>45222.771527777775</v>
      </c>
      <c r="B961">
        <f>Log_Reseau_Master[[#This Row],[Duree_Panne_Min]]/1440</f>
        <v>3.6805555555555557E-2</v>
      </c>
      <c r="C961" t="s">
        <v>1640</v>
      </c>
      <c r="D961">
        <v>53</v>
      </c>
      <c r="E961" t="s">
        <v>1321</v>
      </c>
      <c r="F961" t="str">
        <f>_xlfn.XLOOKUP(Log_Reseau_Master[[#This Row],[Cell_ID]],_29_03_2026_Registre_Maintenance_V2[ID_Antenne],_29_03_2026_Registre_Maintenance_V2[Province_RDC],"Pas de correspondance")</f>
        <v>Pas de correspondance</v>
      </c>
      <c r="G961" t="str">
        <f>_xlfn.XLOOKUP(Log_Reseau_Master[[#This Row],[Cell_ID]],_29_03_2026_Registre_Maintenance_V2[ID_Antenne],_29_03_2026_Registre_Maintenance_V2[Technologie],"Pas de correspondance")</f>
        <v>Pas de correspondance</v>
      </c>
      <c r="H961" t="str">
        <f>_xlfn.XLOOKUP(Log_Reseau_Master[[#This Row],[Cell_ID]],_29_03_2026_Registre_Maintenance_V2[ID_Antenne],_29_03_2026_Registre_Maintenance_V2[Equipementier],"Pas de correspondance")</f>
        <v>Pas de correspondance</v>
      </c>
    </row>
    <row r="962" spans="1:8" hidden="1" x14ac:dyDescent="0.25">
      <c r="A962" s="1">
        <v>45204.314583333333</v>
      </c>
      <c r="B962">
        <f>Log_Reseau_Master[[#This Row],[Duree_Panne_Min]]/1440</f>
        <v>8.3333333333333329E-2</v>
      </c>
      <c r="C962" t="s">
        <v>1641</v>
      </c>
      <c r="D962">
        <v>120</v>
      </c>
      <c r="E962" t="s">
        <v>1312</v>
      </c>
      <c r="F962" t="str">
        <f>_xlfn.XLOOKUP(Log_Reseau_Master[[#This Row],[Cell_ID]],_29_03_2026_Registre_Maintenance_V2[ID_Antenne],_29_03_2026_Registre_Maintenance_V2[Province_RDC],"Pas de correspondance")</f>
        <v>Pas de correspondance</v>
      </c>
      <c r="G962" t="str">
        <f>_xlfn.XLOOKUP(Log_Reseau_Master[[#This Row],[Cell_ID]],_29_03_2026_Registre_Maintenance_V2[ID_Antenne],_29_03_2026_Registre_Maintenance_V2[Technologie],"Pas de correspondance")</f>
        <v>Pas de correspondance</v>
      </c>
      <c r="H962" t="str">
        <f>_xlfn.XLOOKUP(Log_Reseau_Master[[#This Row],[Cell_ID]],_29_03_2026_Registre_Maintenance_V2[ID_Antenne],_29_03_2026_Registre_Maintenance_V2[Equipementier],"Pas de correspondance")</f>
        <v>Pas de correspondance</v>
      </c>
    </row>
    <row r="963" spans="1:8" x14ac:dyDescent="0.25">
      <c r="A963" s="1">
        <v>45210.051388888889</v>
      </c>
      <c r="B963" s="4">
        <f>Log_Reseau_Master[[#This Row],[Duree_Panne_Min]]/1440</f>
        <v>5.0694444444444445E-2</v>
      </c>
      <c r="C963" t="s">
        <v>226</v>
      </c>
      <c r="D963">
        <v>73</v>
      </c>
      <c r="E963" t="s">
        <v>1314</v>
      </c>
      <c r="F963" t="str">
        <f>_xlfn.XLOOKUP(Log_Reseau_Master[[#This Row],[Cell_ID]],_29_03_2026_Registre_Maintenance_V2[ID_Antenne],_29_03_2026_Registre_Maintenance_V2[Province_RDC],"Pas de correspondance")</f>
        <v>Tanganyika</v>
      </c>
      <c r="G963" t="str">
        <f>_xlfn.XLOOKUP(Log_Reseau_Master[[#This Row],[Cell_ID]],_29_03_2026_Registre_Maintenance_V2[ID_Antenne],_29_03_2026_Registre_Maintenance_V2[Technologie],"Pas de correspondance")</f>
        <v>4G</v>
      </c>
      <c r="H963" t="str">
        <f>_xlfn.XLOOKUP(Log_Reseau_Master[[#This Row],[Cell_ID]],_29_03_2026_Registre_Maintenance_V2[ID_Antenne],_29_03_2026_Registre_Maintenance_V2[Equipementier],"Pas de correspondance")</f>
        <v>Ericsson</v>
      </c>
    </row>
    <row r="964" spans="1:8" x14ac:dyDescent="0.25">
      <c r="A964" s="1">
        <v>45228.853472222225</v>
      </c>
      <c r="B964" s="4">
        <f>Log_Reseau_Master[[#This Row],[Duree_Panne_Min]]/1440</f>
        <v>2.9166666666666667E-2</v>
      </c>
      <c r="C964" t="s">
        <v>226</v>
      </c>
      <c r="D964">
        <v>42</v>
      </c>
      <c r="E964" t="s">
        <v>1314</v>
      </c>
      <c r="F964" t="str">
        <f>_xlfn.XLOOKUP(Log_Reseau_Master[[#This Row],[Cell_ID]],_29_03_2026_Registre_Maintenance_V2[ID_Antenne],_29_03_2026_Registre_Maintenance_V2[Province_RDC],"Pas de correspondance")</f>
        <v>Tanganyika</v>
      </c>
      <c r="G964" t="str">
        <f>_xlfn.XLOOKUP(Log_Reseau_Master[[#This Row],[Cell_ID]],_29_03_2026_Registre_Maintenance_V2[ID_Antenne],_29_03_2026_Registre_Maintenance_V2[Technologie],"Pas de correspondance")</f>
        <v>4G</v>
      </c>
      <c r="H964" t="str">
        <f>_xlfn.XLOOKUP(Log_Reseau_Master[[#This Row],[Cell_ID]],_29_03_2026_Registre_Maintenance_V2[ID_Antenne],_29_03_2026_Registre_Maintenance_V2[Equipementier],"Pas de correspondance")</f>
        <v>Ericsson</v>
      </c>
    </row>
    <row r="965" spans="1:8" x14ac:dyDescent="0.25">
      <c r="A965" s="1">
        <v>45214.43472222222</v>
      </c>
      <c r="B965" s="4">
        <f>Log_Reseau_Master[[#This Row],[Duree_Panne_Min]]/1440</f>
        <v>4.2361111111111113E-2</v>
      </c>
      <c r="C965" t="s">
        <v>226</v>
      </c>
      <c r="D965">
        <v>61</v>
      </c>
      <c r="E965" t="s">
        <v>1321</v>
      </c>
      <c r="F965" t="str">
        <f>_xlfn.XLOOKUP(Log_Reseau_Master[[#This Row],[Cell_ID]],_29_03_2026_Registre_Maintenance_V2[ID_Antenne],_29_03_2026_Registre_Maintenance_V2[Province_RDC],"Pas de correspondance")</f>
        <v>Tanganyika</v>
      </c>
      <c r="G965" t="str">
        <f>_xlfn.XLOOKUP(Log_Reseau_Master[[#This Row],[Cell_ID]],_29_03_2026_Registre_Maintenance_V2[ID_Antenne],_29_03_2026_Registre_Maintenance_V2[Technologie],"Pas de correspondance")</f>
        <v>4G</v>
      </c>
      <c r="H965" t="str">
        <f>_xlfn.XLOOKUP(Log_Reseau_Master[[#This Row],[Cell_ID]],_29_03_2026_Registre_Maintenance_V2[ID_Antenne],_29_03_2026_Registre_Maintenance_V2[Equipementier],"Pas de correspondance")</f>
        <v>Ericsson</v>
      </c>
    </row>
    <row r="966" spans="1:8" hidden="1" x14ac:dyDescent="0.25">
      <c r="A966" s="1">
        <v>45208.194444444445</v>
      </c>
      <c r="B966">
        <f>Log_Reseau_Master[[#This Row],[Duree_Panne_Min]]/1440</f>
        <v>6.805555555555555E-2</v>
      </c>
      <c r="C966" t="s">
        <v>1642</v>
      </c>
      <c r="D966">
        <v>98</v>
      </c>
      <c r="E966" t="s">
        <v>1312</v>
      </c>
      <c r="F966" t="str">
        <f>_xlfn.XLOOKUP(Log_Reseau_Master[[#This Row],[Cell_ID]],_29_03_2026_Registre_Maintenance_V2[ID_Antenne],_29_03_2026_Registre_Maintenance_V2[Province_RDC],"Pas de correspondance")</f>
        <v>Pas de correspondance</v>
      </c>
      <c r="G966" t="str">
        <f>_xlfn.XLOOKUP(Log_Reseau_Master[[#This Row],[Cell_ID]],_29_03_2026_Registre_Maintenance_V2[ID_Antenne],_29_03_2026_Registre_Maintenance_V2[Technologie],"Pas de correspondance")</f>
        <v>Pas de correspondance</v>
      </c>
      <c r="H966" t="str">
        <f>_xlfn.XLOOKUP(Log_Reseau_Master[[#This Row],[Cell_ID]],_29_03_2026_Registre_Maintenance_V2[ID_Antenne],_29_03_2026_Registre_Maintenance_V2[Equipementier],"Pas de correspondance")</f>
        <v>Pas de correspondance</v>
      </c>
    </row>
    <row r="967" spans="1:8" x14ac:dyDescent="0.25">
      <c r="A967" s="1">
        <v>45209.824305555558</v>
      </c>
      <c r="B967" s="4">
        <f>Log_Reseau_Master[[#This Row],[Duree_Panne_Min]]/1440</f>
        <v>6.458333333333334E-2</v>
      </c>
      <c r="C967" t="s">
        <v>452</v>
      </c>
      <c r="D967">
        <v>93</v>
      </c>
      <c r="E967" t="s">
        <v>1321</v>
      </c>
      <c r="F967" t="str">
        <f>_xlfn.XLOOKUP(Log_Reseau_Master[[#This Row],[Cell_ID]],_29_03_2026_Registre_Maintenance_V2[ID_Antenne],_29_03_2026_Registre_Maintenance_V2[Province_RDC],"Pas de correspondance")</f>
        <v>Kasai-Central</v>
      </c>
      <c r="G967" t="str">
        <f>_xlfn.XLOOKUP(Log_Reseau_Master[[#This Row],[Cell_ID]],_29_03_2026_Registre_Maintenance_V2[ID_Antenne],_29_03_2026_Registre_Maintenance_V2[Technologie],"Pas de correspondance")</f>
        <v>3G</v>
      </c>
      <c r="H967" t="str">
        <f>_xlfn.XLOOKUP(Log_Reseau_Master[[#This Row],[Cell_ID]],_29_03_2026_Registre_Maintenance_V2[ID_Antenne],_29_03_2026_Registre_Maintenance_V2[Equipementier],"Pas de correspondance")</f>
        <v>Ericsson</v>
      </c>
    </row>
    <row r="968" spans="1:8" x14ac:dyDescent="0.25">
      <c r="A968" s="1">
        <v>45203.250694444447</v>
      </c>
      <c r="B968" s="4">
        <f>Log_Reseau_Master[[#This Row],[Duree_Panne_Min]]/1440</f>
        <v>3.4027777777777775E-2</v>
      </c>
      <c r="C968" t="s">
        <v>452</v>
      </c>
      <c r="D968">
        <v>49</v>
      </c>
      <c r="E968" t="s">
        <v>1312</v>
      </c>
      <c r="F968" t="str">
        <f>_xlfn.XLOOKUP(Log_Reseau_Master[[#This Row],[Cell_ID]],_29_03_2026_Registre_Maintenance_V2[ID_Antenne],_29_03_2026_Registre_Maintenance_V2[Province_RDC],"Pas de correspondance")</f>
        <v>Kasai-Central</v>
      </c>
      <c r="G968" t="str">
        <f>_xlfn.XLOOKUP(Log_Reseau_Master[[#This Row],[Cell_ID]],_29_03_2026_Registre_Maintenance_V2[ID_Antenne],_29_03_2026_Registre_Maintenance_V2[Technologie],"Pas de correspondance")</f>
        <v>3G</v>
      </c>
      <c r="H968" t="str">
        <f>_xlfn.XLOOKUP(Log_Reseau_Master[[#This Row],[Cell_ID]],_29_03_2026_Registre_Maintenance_V2[ID_Antenne],_29_03_2026_Registre_Maintenance_V2[Equipementier],"Pas de correspondance")</f>
        <v>Ericsson</v>
      </c>
    </row>
    <row r="969" spans="1:8" x14ac:dyDescent="0.25">
      <c r="A969" s="1">
        <v>45221.910416666666</v>
      </c>
      <c r="B969" s="4">
        <f>Log_Reseau_Master[[#This Row],[Duree_Panne_Min]]/1440</f>
        <v>4.1666666666666664E-2</v>
      </c>
      <c r="C969" t="s">
        <v>452</v>
      </c>
      <c r="D969">
        <v>60</v>
      </c>
      <c r="E969" t="s">
        <v>1312</v>
      </c>
      <c r="F969" t="str">
        <f>_xlfn.XLOOKUP(Log_Reseau_Master[[#This Row],[Cell_ID]],_29_03_2026_Registre_Maintenance_V2[ID_Antenne],_29_03_2026_Registre_Maintenance_V2[Province_RDC],"Pas de correspondance")</f>
        <v>Kasai-Central</v>
      </c>
      <c r="G969" t="str">
        <f>_xlfn.XLOOKUP(Log_Reseau_Master[[#This Row],[Cell_ID]],_29_03_2026_Registre_Maintenance_V2[ID_Antenne],_29_03_2026_Registre_Maintenance_V2[Technologie],"Pas de correspondance")</f>
        <v>3G</v>
      </c>
      <c r="H969" t="str">
        <f>_xlfn.XLOOKUP(Log_Reseau_Master[[#This Row],[Cell_ID]],_29_03_2026_Registre_Maintenance_V2[ID_Antenne],_29_03_2026_Registre_Maintenance_V2[Equipementier],"Pas de correspondance")</f>
        <v>Ericsson</v>
      </c>
    </row>
    <row r="970" spans="1:8" x14ac:dyDescent="0.25">
      <c r="A970" s="1">
        <v>45204.81527777778</v>
      </c>
      <c r="B970" s="4">
        <f>Log_Reseau_Master[[#This Row],[Duree_Panne_Min]]/1440</f>
        <v>4.9305555555555554E-2</v>
      </c>
      <c r="C970" t="s">
        <v>452</v>
      </c>
      <c r="D970">
        <v>71</v>
      </c>
      <c r="E970" t="s">
        <v>1321</v>
      </c>
      <c r="F970" t="str">
        <f>_xlfn.XLOOKUP(Log_Reseau_Master[[#This Row],[Cell_ID]],_29_03_2026_Registre_Maintenance_V2[ID_Antenne],_29_03_2026_Registre_Maintenance_V2[Province_RDC],"Pas de correspondance")</f>
        <v>Kasai-Central</v>
      </c>
      <c r="G970" t="str">
        <f>_xlfn.XLOOKUP(Log_Reseau_Master[[#This Row],[Cell_ID]],_29_03_2026_Registre_Maintenance_V2[ID_Antenne],_29_03_2026_Registre_Maintenance_V2[Technologie],"Pas de correspondance")</f>
        <v>3G</v>
      </c>
      <c r="H970" t="str">
        <f>_xlfn.XLOOKUP(Log_Reseau_Master[[#This Row],[Cell_ID]],_29_03_2026_Registre_Maintenance_V2[ID_Antenne],_29_03_2026_Registre_Maintenance_V2[Equipementier],"Pas de correspondance")</f>
        <v>Ericsson</v>
      </c>
    </row>
    <row r="971" spans="1:8" hidden="1" x14ac:dyDescent="0.25">
      <c r="A971" s="1">
        <v>45210.24722222222</v>
      </c>
      <c r="B971">
        <f>Log_Reseau_Master[[#This Row],[Duree_Panne_Min]]/1440</f>
        <v>5.1388888888888887E-2</v>
      </c>
      <c r="C971" t="s">
        <v>1643</v>
      </c>
      <c r="D971">
        <v>74</v>
      </c>
      <c r="E971" t="s">
        <v>1314</v>
      </c>
      <c r="F971" t="str">
        <f>_xlfn.XLOOKUP(Log_Reseau_Master[[#This Row],[Cell_ID]],_29_03_2026_Registre_Maintenance_V2[ID_Antenne],_29_03_2026_Registre_Maintenance_V2[Province_RDC],"Pas de correspondance")</f>
        <v>Pas de correspondance</v>
      </c>
      <c r="G971" t="str">
        <f>_xlfn.XLOOKUP(Log_Reseau_Master[[#This Row],[Cell_ID]],_29_03_2026_Registre_Maintenance_V2[ID_Antenne],_29_03_2026_Registre_Maintenance_V2[Technologie],"Pas de correspondance")</f>
        <v>Pas de correspondance</v>
      </c>
      <c r="H971" t="str">
        <f>_xlfn.XLOOKUP(Log_Reseau_Master[[#This Row],[Cell_ID]],_29_03_2026_Registre_Maintenance_V2[ID_Antenne],_29_03_2026_Registre_Maintenance_V2[Equipementier],"Pas de correspondance")</f>
        <v>Pas de correspondance</v>
      </c>
    </row>
    <row r="972" spans="1:8" hidden="1" x14ac:dyDescent="0.25">
      <c r="A972" s="1">
        <v>45211.290277777778</v>
      </c>
      <c r="B972">
        <f>Log_Reseau_Master[[#This Row],[Duree_Panne_Min]]/1440</f>
        <v>5.0694444444444445E-2</v>
      </c>
      <c r="C972" t="s">
        <v>1643</v>
      </c>
      <c r="D972">
        <v>73</v>
      </c>
      <c r="E972" t="s">
        <v>1321</v>
      </c>
      <c r="F972" t="str">
        <f>_xlfn.XLOOKUP(Log_Reseau_Master[[#This Row],[Cell_ID]],_29_03_2026_Registre_Maintenance_V2[ID_Antenne],_29_03_2026_Registre_Maintenance_V2[Province_RDC],"Pas de correspondance")</f>
        <v>Pas de correspondance</v>
      </c>
      <c r="G972" t="str">
        <f>_xlfn.XLOOKUP(Log_Reseau_Master[[#This Row],[Cell_ID]],_29_03_2026_Registre_Maintenance_V2[ID_Antenne],_29_03_2026_Registre_Maintenance_V2[Technologie],"Pas de correspondance")</f>
        <v>Pas de correspondance</v>
      </c>
      <c r="H972" t="str">
        <f>_xlfn.XLOOKUP(Log_Reseau_Master[[#This Row],[Cell_ID]],_29_03_2026_Registre_Maintenance_V2[ID_Antenne],_29_03_2026_Registre_Maintenance_V2[Equipementier],"Pas de correspondance")</f>
        <v>Pas de correspondance</v>
      </c>
    </row>
    <row r="973" spans="1:8" hidden="1" x14ac:dyDescent="0.25">
      <c r="A973" s="1">
        <v>45227.211111111108</v>
      </c>
      <c r="B973">
        <f>Log_Reseau_Master[[#This Row],[Duree_Panne_Min]]/1440</f>
        <v>2.6388888888888889E-2</v>
      </c>
      <c r="C973" t="s">
        <v>1644</v>
      </c>
      <c r="D973">
        <v>38</v>
      </c>
      <c r="E973" t="s">
        <v>1314</v>
      </c>
      <c r="F973" t="str">
        <f>_xlfn.XLOOKUP(Log_Reseau_Master[[#This Row],[Cell_ID]],_29_03_2026_Registre_Maintenance_V2[ID_Antenne],_29_03_2026_Registre_Maintenance_V2[Province_RDC],"Pas de correspondance")</f>
        <v>Pas de correspondance</v>
      </c>
      <c r="G973" t="str">
        <f>_xlfn.XLOOKUP(Log_Reseau_Master[[#This Row],[Cell_ID]],_29_03_2026_Registre_Maintenance_V2[ID_Antenne],_29_03_2026_Registre_Maintenance_V2[Technologie],"Pas de correspondance")</f>
        <v>Pas de correspondance</v>
      </c>
      <c r="H973" t="str">
        <f>_xlfn.XLOOKUP(Log_Reseau_Master[[#This Row],[Cell_ID]],_29_03_2026_Registre_Maintenance_V2[ID_Antenne],_29_03_2026_Registre_Maintenance_V2[Equipementier],"Pas de correspondance")</f>
        <v>Pas de correspondance</v>
      </c>
    </row>
    <row r="974" spans="1:8" hidden="1" x14ac:dyDescent="0.25">
      <c r="A974" s="1">
        <v>45226.163194444445</v>
      </c>
      <c r="B974">
        <f>Log_Reseau_Master[[#This Row],[Duree_Panne_Min]]/1440</f>
        <v>2.5000000000000001E-2</v>
      </c>
      <c r="C974" t="s">
        <v>1645</v>
      </c>
      <c r="D974">
        <v>36</v>
      </c>
      <c r="E974" t="s">
        <v>1312</v>
      </c>
      <c r="F974" t="str">
        <f>_xlfn.XLOOKUP(Log_Reseau_Master[[#This Row],[Cell_ID]],_29_03_2026_Registre_Maintenance_V2[ID_Antenne],_29_03_2026_Registre_Maintenance_V2[Province_RDC],"Pas de correspondance")</f>
        <v>Pas de correspondance</v>
      </c>
      <c r="G974" t="str">
        <f>_xlfn.XLOOKUP(Log_Reseau_Master[[#This Row],[Cell_ID]],_29_03_2026_Registre_Maintenance_V2[ID_Antenne],_29_03_2026_Registre_Maintenance_V2[Technologie],"Pas de correspondance")</f>
        <v>Pas de correspondance</v>
      </c>
      <c r="H974" t="str">
        <f>_xlfn.XLOOKUP(Log_Reseau_Master[[#This Row],[Cell_ID]],_29_03_2026_Registre_Maintenance_V2[ID_Antenne],_29_03_2026_Registre_Maintenance_V2[Equipementier],"Pas de correspondance")</f>
        <v>Pas de correspondance</v>
      </c>
    </row>
    <row r="975" spans="1:8" hidden="1" x14ac:dyDescent="0.25">
      <c r="A975" s="1">
        <v>45225.779861111114</v>
      </c>
      <c r="B975">
        <f>Log_Reseau_Master[[#This Row],[Duree_Panne_Min]]/1440</f>
        <v>4.791666666666667E-2</v>
      </c>
      <c r="C975" t="s">
        <v>1646</v>
      </c>
      <c r="D975">
        <v>69</v>
      </c>
      <c r="E975" t="s">
        <v>1312</v>
      </c>
      <c r="F975" t="str">
        <f>_xlfn.XLOOKUP(Log_Reseau_Master[[#This Row],[Cell_ID]],_29_03_2026_Registre_Maintenance_V2[ID_Antenne],_29_03_2026_Registre_Maintenance_V2[Province_RDC],"Pas de correspondance")</f>
        <v>Pas de correspondance</v>
      </c>
      <c r="G975" t="str">
        <f>_xlfn.XLOOKUP(Log_Reseau_Master[[#This Row],[Cell_ID]],_29_03_2026_Registre_Maintenance_V2[ID_Antenne],_29_03_2026_Registre_Maintenance_V2[Technologie],"Pas de correspondance")</f>
        <v>Pas de correspondance</v>
      </c>
      <c r="H975" t="str">
        <f>_xlfn.XLOOKUP(Log_Reseau_Master[[#This Row],[Cell_ID]],_29_03_2026_Registre_Maintenance_V2[ID_Antenne],_29_03_2026_Registre_Maintenance_V2[Equipementier],"Pas de correspondance")</f>
        <v>Pas de correspondance</v>
      </c>
    </row>
    <row r="976" spans="1:8" x14ac:dyDescent="0.25">
      <c r="A976" s="1">
        <v>45210.568055555559</v>
      </c>
      <c r="B976" s="4">
        <f>Log_Reseau_Master[[#This Row],[Duree_Panne_Min]]/1440</f>
        <v>6.6666666666666666E-2</v>
      </c>
      <c r="C976" t="s">
        <v>26</v>
      </c>
      <c r="D976">
        <v>96</v>
      </c>
      <c r="E976" t="s">
        <v>1314</v>
      </c>
      <c r="F976" t="str">
        <f>_xlfn.XLOOKUP(Log_Reseau_Master[[#This Row],[Cell_ID]],_29_03_2026_Registre_Maintenance_V2[ID_Antenne],_29_03_2026_Registre_Maintenance_V2[Province_RDC],"Pas de correspondance")</f>
        <v>Kinshasa</v>
      </c>
      <c r="G976" t="str">
        <f>_xlfn.XLOOKUP(Log_Reseau_Master[[#This Row],[Cell_ID]],_29_03_2026_Registre_Maintenance_V2[ID_Antenne],_29_03_2026_Registre_Maintenance_V2[Technologie],"Pas de correspondance")</f>
        <v>5G</v>
      </c>
      <c r="H976" t="str">
        <f>_xlfn.XLOOKUP(Log_Reseau_Master[[#This Row],[Cell_ID]],_29_03_2026_Registre_Maintenance_V2[ID_Antenne],_29_03_2026_Registre_Maintenance_V2[Equipementier],"Pas de correspondance")</f>
        <v>ZTE</v>
      </c>
    </row>
    <row r="977" spans="1:8" x14ac:dyDescent="0.25">
      <c r="A977" s="1">
        <v>45214.684027777781</v>
      </c>
      <c r="B977" s="4">
        <f>Log_Reseau_Master[[#This Row],[Duree_Panne_Min]]/1440</f>
        <v>8.2638888888888887E-2</v>
      </c>
      <c r="C977" t="s">
        <v>44</v>
      </c>
      <c r="D977">
        <v>119</v>
      </c>
      <c r="E977" t="s">
        <v>1321</v>
      </c>
      <c r="F977" t="str">
        <f>_xlfn.XLOOKUP(Log_Reseau_Master[[#This Row],[Cell_ID]],_29_03_2026_Registre_Maintenance_V2[ID_Antenne],_29_03_2026_Registre_Maintenance_V2[Province_RDC],"Pas de correspondance")</f>
        <v>Lomami</v>
      </c>
      <c r="G977" t="str">
        <f>_xlfn.XLOOKUP(Log_Reseau_Master[[#This Row],[Cell_ID]],_29_03_2026_Registre_Maintenance_V2[ID_Antenne],_29_03_2026_Registre_Maintenance_V2[Technologie],"Pas de correspondance")</f>
        <v>5G</v>
      </c>
      <c r="H977" t="str">
        <f>_xlfn.XLOOKUP(Log_Reseau_Master[[#This Row],[Cell_ID]],_29_03_2026_Registre_Maintenance_V2[ID_Antenne],_29_03_2026_Registre_Maintenance_V2[Equipementier],"Pas de correspondance")</f>
        <v>ZTE</v>
      </c>
    </row>
    <row r="978" spans="1:8" x14ac:dyDescent="0.25">
      <c r="A978" s="1">
        <v>45229.738194444442</v>
      </c>
      <c r="B978" s="4">
        <f>Log_Reseau_Master[[#This Row],[Duree_Panne_Min]]/1440</f>
        <v>2.5000000000000001E-2</v>
      </c>
      <c r="C978" t="s">
        <v>44</v>
      </c>
      <c r="D978">
        <v>36</v>
      </c>
      <c r="E978" t="s">
        <v>1312</v>
      </c>
      <c r="F978" t="str">
        <f>_xlfn.XLOOKUP(Log_Reseau_Master[[#This Row],[Cell_ID]],_29_03_2026_Registre_Maintenance_V2[ID_Antenne],_29_03_2026_Registre_Maintenance_V2[Province_RDC],"Pas de correspondance")</f>
        <v>Lomami</v>
      </c>
      <c r="G978" t="str">
        <f>_xlfn.XLOOKUP(Log_Reseau_Master[[#This Row],[Cell_ID]],_29_03_2026_Registre_Maintenance_V2[ID_Antenne],_29_03_2026_Registre_Maintenance_V2[Technologie],"Pas de correspondance")</f>
        <v>5G</v>
      </c>
      <c r="H978" t="str">
        <f>_xlfn.XLOOKUP(Log_Reseau_Master[[#This Row],[Cell_ID]],_29_03_2026_Registre_Maintenance_V2[ID_Antenne],_29_03_2026_Registre_Maintenance_V2[Equipementier],"Pas de correspondance")</f>
        <v>ZTE</v>
      </c>
    </row>
    <row r="979" spans="1:8" x14ac:dyDescent="0.25">
      <c r="A979" s="1">
        <v>45216.460416666669</v>
      </c>
      <c r="B979" s="4">
        <f>Log_Reseau_Master[[#This Row],[Duree_Panne_Min]]/1440</f>
        <v>2.5000000000000001E-2</v>
      </c>
      <c r="C979" t="s">
        <v>251</v>
      </c>
      <c r="D979">
        <v>36</v>
      </c>
      <c r="E979" t="s">
        <v>1321</v>
      </c>
      <c r="F979" t="str">
        <f>_xlfn.XLOOKUP(Log_Reseau_Master[[#This Row],[Cell_ID]],_29_03_2026_Registre_Maintenance_V2[ID_Antenne],_29_03_2026_Registre_Maintenance_V2[Province_RDC],"Pas de correspondance")</f>
        <v>Nord-Kivu</v>
      </c>
      <c r="G979" t="str">
        <f>_xlfn.XLOOKUP(Log_Reseau_Master[[#This Row],[Cell_ID]],_29_03_2026_Registre_Maintenance_V2[ID_Antenne],_29_03_2026_Registre_Maintenance_V2[Technologie],"Pas de correspondance")</f>
        <v>4G</v>
      </c>
      <c r="H979" t="str">
        <f>_xlfn.XLOOKUP(Log_Reseau_Master[[#This Row],[Cell_ID]],_29_03_2026_Registre_Maintenance_V2[ID_Antenne],_29_03_2026_Registre_Maintenance_V2[Equipementier],"Pas de correspondance")</f>
        <v>Huawei</v>
      </c>
    </row>
    <row r="980" spans="1:8" hidden="1" x14ac:dyDescent="0.25">
      <c r="A980" s="1">
        <v>45228.01458333333</v>
      </c>
      <c r="B980">
        <f>Log_Reseau_Master[[#This Row],[Duree_Panne_Min]]/1440</f>
        <v>6.805555555555555E-2</v>
      </c>
      <c r="C980" t="s">
        <v>1647</v>
      </c>
      <c r="D980">
        <v>98</v>
      </c>
      <c r="E980" t="s">
        <v>1314</v>
      </c>
      <c r="F980" t="str">
        <f>_xlfn.XLOOKUP(Log_Reseau_Master[[#This Row],[Cell_ID]],_29_03_2026_Registre_Maintenance_V2[ID_Antenne],_29_03_2026_Registre_Maintenance_V2[Province_RDC],"Pas de correspondance")</f>
        <v>Pas de correspondance</v>
      </c>
      <c r="G980" t="str">
        <f>_xlfn.XLOOKUP(Log_Reseau_Master[[#This Row],[Cell_ID]],_29_03_2026_Registre_Maintenance_V2[ID_Antenne],_29_03_2026_Registre_Maintenance_V2[Technologie],"Pas de correspondance")</f>
        <v>Pas de correspondance</v>
      </c>
      <c r="H980" t="str">
        <f>_xlfn.XLOOKUP(Log_Reseau_Master[[#This Row],[Cell_ID]],_29_03_2026_Registre_Maintenance_V2[ID_Antenne],_29_03_2026_Registre_Maintenance_V2[Equipementier],"Pas de correspondance")</f>
        <v>Pas de correspondance</v>
      </c>
    </row>
    <row r="981" spans="1:8" hidden="1" x14ac:dyDescent="0.25">
      <c r="A981" s="1">
        <v>45209.679861111108</v>
      </c>
      <c r="B981">
        <f>Log_Reseau_Master[[#This Row],[Duree_Panne_Min]]/1440</f>
        <v>7.9861111111111105E-2</v>
      </c>
      <c r="C981" t="s">
        <v>1647</v>
      </c>
      <c r="D981">
        <v>115</v>
      </c>
      <c r="E981" t="s">
        <v>1321</v>
      </c>
      <c r="F981" t="str">
        <f>_xlfn.XLOOKUP(Log_Reseau_Master[[#This Row],[Cell_ID]],_29_03_2026_Registre_Maintenance_V2[ID_Antenne],_29_03_2026_Registre_Maintenance_V2[Province_RDC],"Pas de correspondance")</f>
        <v>Pas de correspondance</v>
      </c>
      <c r="G981" t="str">
        <f>_xlfn.XLOOKUP(Log_Reseau_Master[[#This Row],[Cell_ID]],_29_03_2026_Registre_Maintenance_V2[ID_Antenne],_29_03_2026_Registre_Maintenance_V2[Technologie],"Pas de correspondance")</f>
        <v>Pas de correspondance</v>
      </c>
      <c r="H981" t="str">
        <f>_xlfn.XLOOKUP(Log_Reseau_Master[[#This Row],[Cell_ID]],_29_03_2026_Registre_Maintenance_V2[ID_Antenne],_29_03_2026_Registre_Maintenance_V2[Equipementier],"Pas de correspondance")</f>
        <v>Pas de correspondance</v>
      </c>
    </row>
    <row r="982" spans="1:8" hidden="1" x14ac:dyDescent="0.25">
      <c r="A982" s="1">
        <v>45205.336805555555</v>
      </c>
      <c r="B982">
        <f>Log_Reseau_Master[[#This Row],[Duree_Panne_Min]]/1440</f>
        <v>8.2638888888888887E-2</v>
      </c>
      <c r="C982" t="s">
        <v>1648</v>
      </c>
      <c r="D982">
        <v>119</v>
      </c>
      <c r="E982" t="s">
        <v>1321</v>
      </c>
      <c r="F982" t="str">
        <f>_xlfn.XLOOKUP(Log_Reseau_Master[[#This Row],[Cell_ID]],_29_03_2026_Registre_Maintenance_V2[ID_Antenne],_29_03_2026_Registre_Maintenance_V2[Province_RDC],"Pas de correspondance")</f>
        <v>Pas de correspondance</v>
      </c>
      <c r="G982" t="str">
        <f>_xlfn.XLOOKUP(Log_Reseau_Master[[#This Row],[Cell_ID]],_29_03_2026_Registre_Maintenance_V2[ID_Antenne],_29_03_2026_Registre_Maintenance_V2[Technologie],"Pas de correspondance")</f>
        <v>Pas de correspondance</v>
      </c>
      <c r="H982" t="str">
        <f>_xlfn.XLOOKUP(Log_Reseau_Master[[#This Row],[Cell_ID]],_29_03_2026_Registre_Maintenance_V2[ID_Antenne],_29_03_2026_Registre_Maintenance_V2[Equipementier],"Pas de correspondance")</f>
        <v>Pas de correspondance</v>
      </c>
    </row>
    <row r="983" spans="1:8" x14ac:dyDescent="0.25">
      <c r="A983" s="1">
        <v>45203.652083333334</v>
      </c>
      <c r="B983" s="4">
        <f>Log_Reseau_Master[[#This Row],[Duree_Panne_Min]]/1440</f>
        <v>4.5138888888888888E-2</v>
      </c>
      <c r="C983" t="s">
        <v>367</v>
      </c>
      <c r="D983">
        <v>65</v>
      </c>
      <c r="E983" t="s">
        <v>1321</v>
      </c>
      <c r="F983" t="str">
        <f>_xlfn.XLOOKUP(Log_Reseau_Master[[#This Row],[Cell_ID]],_29_03_2026_Registre_Maintenance_V2[ID_Antenne],_29_03_2026_Registre_Maintenance_V2[Province_RDC],"Pas de correspondance")</f>
        <v>Haut-Katanga</v>
      </c>
      <c r="G983" t="str">
        <f>_xlfn.XLOOKUP(Log_Reseau_Master[[#This Row],[Cell_ID]],_29_03_2026_Registre_Maintenance_V2[ID_Antenne],_29_03_2026_Registre_Maintenance_V2[Technologie],"Pas de correspondance")</f>
        <v>5G</v>
      </c>
      <c r="H983" t="str">
        <f>_xlfn.XLOOKUP(Log_Reseau_Master[[#This Row],[Cell_ID]],_29_03_2026_Registre_Maintenance_V2[ID_Antenne],_29_03_2026_Registre_Maintenance_V2[Equipementier],"Pas de correspondance")</f>
        <v>Huawei</v>
      </c>
    </row>
    <row r="984" spans="1:8" x14ac:dyDescent="0.25">
      <c r="A984" s="1">
        <v>45207.955555555556</v>
      </c>
      <c r="B984" s="4">
        <f>Log_Reseau_Master[[#This Row],[Duree_Panne_Min]]/1440</f>
        <v>5.0694444444444445E-2</v>
      </c>
      <c r="C984" t="s">
        <v>367</v>
      </c>
      <c r="D984">
        <v>73</v>
      </c>
      <c r="E984" t="s">
        <v>1312</v>
      </c>
      <c r="F984" t="str">
        <f>_xlfn.XLOOKUP(Log_Reseau_Master[[#This Row],[Cell_ID]],_29_03_2026_Registre_Maintenance_V2[ID_Antenne],_29_03_2026_Registre_Maintenance_V2[Province_RDC],"Pas de correspondance")</f>
        <v>Haut-Katanga</v>
      </c>
      <c r="G984" t="str">
        <f>_xlfn.XLOOKUP(Log_Reseau_Master[[#This Row],[Cell_ID]],_29_03_2026_Registre_Maintenance_V2[ID_Antenne],_29_03_2026_Registre_Maintenance_V2[Technologie],"Pas de correspondance")</f>
        <v>5G</v>
      </c>
      <c r="H984" t="str">
        <f>_xlfn.XLOOKUP(Log_Reseau_Master[[#This Row],[Cell_ID]],_29_03_2026_Registre_Maintenance_V2[ID_Antenne],_29_03_2026_Registre_Maintenance_V2[Equipementier],"Pas de correspondance")</f>
        <v>Huawei</v>
      </c>
    </row>
    <row r="985" spans="1:8" hidden="1" x14ac:dyDescent="0.25">
      <c r="A985" s="1">
        <v>45209.01666666667</v>
      </c>
      <c r="B985">
        <f>Log_Reseau_Master[[#This Row],[Duree_Panne_Min]]/1440</f>
        <v>2.9861111111111113E-2</v>
      </c>
      <c r="C985" t="s">
        <v>1649</v>
      </c>
      <c r="D985">
        <v>43</v>
      </c>
      <c r="E985" t="s">
        <v>1314</v>
      </c>
      <c r="F985" t="str">
        <f>_xlfn.XLOOKUP(Log_Reseau_Master[[#This Row],[Cell_ID]],_29_03_2026_Registre_Maintenance_V2[ID_Antenne],_29_03_2026_Registre_Maintenance_V2[Province_RDC],"Pas de correspondance")</f>
        <v>Pas de correspondance</v>
      </c>
      <c r="G985" t="str">
        <f>_xlfn.XLOOKUP(Log_Reseau_Master[[#This Row],[Cell_ID]],_29_03_2026_Registre_Maintenance_V2[ID_Antenne],_29_03_2026_Registre_Maintenance_V2[Technologie],"Pas de correspondance")</f>
        <v>Pas de correspondance</v>
      </c>
      <c r="H985" t="str">
        <f>_xlfn.XLOOKUP(Log_Reseau_Master[[#This Row],[Cell_ID]],_29_03_2026_Registre_Maintenance_V2[ID_Antenne],_29_03_2026_Registre_Maintenance_V2[Equipementier],"Pas de correspondance")</f>
        <v>Pas de correspondance</v>
      </c>
    </row>
    <row r="986" spans="1:8" x14ac:dyDescent="0.25">
      <c r="A986" s="1">
        <v>45221.388194444444</v>
      </c>
      <c r="B986" s="4">
        <f>Log_Reseau_Master[[#This Row],[Duree_Panne_Min]]/1440</f>
        <v>4.4444444444444446E-2</v>
      </c>
      <c r="C986" t="s">
        <v>333</v>
      </c>
      <c r="D986">
        <v>64</v>
      </c>
      <c r="E986" t="s">
        <v>1312</v>
      </c>
      <c r="F986" t="str">
        <f>_xlfn.XLOOKUP(Log_Reseau_Master[[#This Row],[Cell_ID]],_29_03_2026_Registre_Maintenance_V2[ID_Antenne],_29_03_2026_Registre_Maintenance_V2[Province_RDC],"Pas de correspondance")</f>
        <v>Tshopo</v>
      </c>
      <c r="G986" t="str">
        <f>_xlfn.XLOOKUP(Log_Reseau_Master[[#This Row],[Cell_ID]],_29_03_2026_Registre_Maintenance_V2[ID_Antenne],_29_03_2026_Registre_Maintenance_V2[Technologie],"Pas de correspondance")</f>
        <v>4G</v>
      </c>
      <c r="H986" t="str">
        <f>_xlfn.XLOOKUP(Log_Reseau_Master[[#This Row],[Cell_ID]],_29_03_2026_Registre_Maintenance_V2[ID_Antenne],_29_03_2026_Registre_Maintenance_V2[Equipementier],"Pas de correspondance")</f>
        <v>ZTE</v>
      </c>
    </row>
    <row r="987" spans="1:8" hidden="1" x14ac:dyDescent="0.25">
      <c r="A987" s="1">
        <v>45213.577777777777</v>
      </c>
      <c r="B987">
        <f>Log_Reseau_Master[[#This Row],[Duree_Panne_Min]]/1440</f>
        <v>6.458333333333334E-2</v>
      </c>
      <c r="C987" t="s">
        <v>1650</v>
      </c>
      <c r="D987">
        <v>93</v>
      </c>
      <c r="E987" t="s">
        <v>1312</v>
      </c>
      <c r="F987" t="str">
        <f>_xlfn.XLOOKUP(Log_Reseau_Master[[#This Row],[Cell_ID]],_29_03_2026_Registre_Maintenance_V2[ID_Antenne],_29_03_2026_Registre_Maintenance_V2[Province_RDC],"Pas de correspondance")</f>
        <v>Pas de correspondance</v>
      </c>
      <c r="G987" t="str">
        <f>_xlfn.XLOOKUP(Log_Reseau_Master[[#This Row],[Cell_ID]],_29_03_2026_Registre_Maintenance_V2[ID_Antenne],_29_03_2026_Registre_Maintenance_V2[Technologie],"Pas de correspondance")</f>
        <v>Pas de correspondance</v>
      </c>
      <c r="H987" t="str">
        <f>_xlfn.XLOOKUP(Log_Reseau_Master[[#This Row],[Cell_ID]],_29_03_2026_Registre_Maintenance_V2[ID_Antenne],_29_03_2026_Registre_Maintenance_V2[Equipementier],"Pas de correspondance")</f>
        <v>Pas de correspondance</v>
      </c>
    </row>
    <row r="988" spans="1:8" x14ac:dyDescent="0.25">
      <c r="A988" s="1">
        <v>45205.830555555556</v>
      </c>
      <c r="B988" s="4">
        <f>Log_Reseau_Master[[#This Row],[Duree_Panne_Min]]/1440</f>
        <v>3.6111111111111108E-2</v>
      </c>
      <c r="C988" t="s">
        <v>492</v>
      </c>
      <c r="D988">
        <v>52</v>
      </c>
      <c r="E988" t="s">
        <v>1314</v>
      </c>
      <c r="F988" t="str">
        <f>_xlfn.XLOOKUP(Log_Reseau_Master[[#This Row],[Cell_ID]],_29_03_2026_Registre_Maintenance_V2[ID_Antenne],_29_03_2026_Registre_Maintenance_V2[Province_RDC],"Pas de correspondance")</f>
        <v>Haut-Uele</v>
      </c>
      <c r="G988" t="str">
        <f>_xlfn.XLOOKUP(Log_Reseau_Master[[#This Row],[Cell_ID]],_29_03_2026_Registre_Maintenance_V2[ID_Antenne],_29_03_2026_Registre_Maintenance_V2[Technologie],"Pas de correspondance")</f>
        <v>3G</v>
      </c>
      <c r="H988" t="str">
        <f>_xlfn.XLOOKUP(Log_Reseau_Master[[#This Row],[Cell_ID]],_29_03_2026_Registre_Maintenance_V2[ID_Antenne],_29_03_2026_Registre_Maintenance_V2[Equipementier],"Pas de correspondance")</f>
        <v>Nokia</v>
      </c>
    </row>
    <row r="989" spans="1:8" x14ac:dyDescent="0.25">
      <c r="A989" s="1">
        <v>45216.76458333333</v>
      </c>
      <c r="B989" s="4">
        <f>Log_Reseau_Master[[#This Row],[Duree_Panne_Min]]/1440</f>
        <v>3.6805555555555557E-2</v>
      </c>
      <c r="C989" t="s">
        <v>259</v>
      </c>
      <c r="D989">
        <v>53</v>
      </c>
      <c r="E989" t="s">
        <v>1312</v>
      </c>
      <c r="F989" t="str">
        <f>_xlfn.XLOOKUP(Log_Reseau_Master[[#This Row],[Cell_ID]],_29_03_2026_Registre_Maintenance_V2[ID_Antenne],_29_03_2026_Registre_Maintenance_V2[Province_RDC],"Pas de correspondance")</f>
        <v>Sud-Ubangi</v>
      </c>
      <c r="G989" t="str">
        <f>_xlfn.XLOOKUP(Log_Reseau_Master[[#This Row],[Cell_ID]],_29_03_2026_Registre_Maintenance_V2[ID_Antenne],_29_03_2026_Registre_Maintenance_V2[Technologie],"Pas de correspondance")</f>
        <v>4G</v>
      </c>
      <c r="H989" t="str">
        <f>_xlfn.XLOOKUP(Log_Reseau_Master[[#This Row],[Cell_ID]],_29_03_2026_Registre_Maintenance_V2[ID_Antenne],_29_03_2026_Registre_Maintenance_V2[Equipementier],"Pas de correspondance")</f>
        <v>Huawei</v>
      </c>
    </row>
    <row r="990" spans="1:8" x14ac:dyDescent="0.25">
      <c r="A990" s="1">
        <v>45214.774305555555</v>
      </c>
      <c r="B990" s="4">
        <f>Log_Reseau_Master[[#This Row],[Duree_Panne_Min]]/1440</f>
        <v>8.1944444444444445E-2</v>
      </c>
      <c r="C990" t="s">
        <v>259</v>
      </c>
      <c r="D990">
        <v>118</v>
      </c>
      <c r="E990" t="s">
        <v>1314</v>
      </c>
      <c r="F990" t="str">
        <f>_xlfn.XLOOKUP(Log_Reseau_Master[[#This Row],[Cell_ID]],_29_03_2026_Registre_Maintenance_V2[ID_Antenne],_29_03_2026_Registre_Maintenance_V2[Province_RDC],"Pas de correspondance")</f>
        <v>Sud-Ubangi</v>
      </c>
      <c r="G990" t="str">
        <f>_xlfn.XLOOKUP(Log_Reseau_Master[[#This Row],[Cell_ID]],_29_03_2026_Registre_Maintenance_V2[ID_Antenne],_29_03_2026_Registre_Maintenance_V2[Technologie],"Pas de correspondance")</f>
        <v>4G</v>
      </c>
      <c r="H990" t="str">
        <f>_xlfn.XLOOKUP(Log_Reseau_Master[[#This Row],[Cell_ID]],_29_03_2026_Registre_Maintenance_V2[ID_Antenne],_29_03_2026_Registre_Maintenance_V2[Equipementier],"Pas de correspondance")</f>
        <v>Huawei</v>
      </c>
    </row>
    <row r="991" spans="1:8" x14ac:dyDescent="0.25">
      <c r="A991" s="1">
        <v>45227.309027777781</v>
      </c>
      <c r="B991" s="4">
        <f>Log_Reseau_Master[[#This Row],[Duree_Panne_Min]]/1440</f>
        <v>8.1944444444444445E-2</v>
      </c>
      <c r="C991" t="s">
        <v>259</v>
      </c>
      <c r="D991">
        <v>118</v>
      </c>
      <c r="E991" t="s">
        <v>1321</v>
      </c>
      <c r="F991" t="str">
        <f>_xlfn.XLOOKUP(Log_Reseau_Master[[#This Row],[Cell_ID]],_29_03_2026_Registre_Maintenance_V2[ID_Antenne],_29_03_2026_Registre_Maintenance_V2[Province_RDC],"Pas de correspondance")</f>
        <v>Sud-Ubangi</v>
      </c>
      <c r="G991" t="str">
        <f>_xlfn.XLOOKUP(Log_Reseau_Master[[#This Row],[Cell_ID]],_29_03_2026_Registre_Maintenance_V2[ID_Antenne],_29_03_2026_Registre_Maintenance_V2[Technologie],"Pas de correspondance")</f>
        <v>4G</v>
      </c>
      <c r="H991" t="str">
        <f>_xlfn.XLOOKUP(Log_Reseau_Master[[#This Row],[Cell_ID]],_29_03_2026_Registre_Maintenance_V2[ID_Antenne],_29_03_2026_Registre_Maintenance_V2[Equipementier],"Pas de correspondance")</f>
        <v>Huawei</v>
      </c>
    </row>
    <row r="992" spans="1:8" hidden="1" x14ac:dyDescent="0.25">
      <c r="A992" s="1">
        <v>45225.647916666669</v>
      </c>
      <c r="B992">
        <f>Log_Reseau_Master[[#This Row],[Duree_Panne_Min]]/1440</f>
        <v>3.4027777777777775E-2</v>
      </c>
      <c r="C992" t="s">
        <v>1651</v>
      </c>
      <c r="D992">
        <v>49</v>
      </c>
      <c r="E992" t="s">
        <v>1314</v>
      </c>
      <c r="F992" t="str">
        <f>_xlfn.XLOOKUP(Log_Reseau_Master[[#This Row],[Cell_ID]],_29_03_2026_Registre_Maintenance_V2[ID_Antenne],_29_03_2026_Registre_Maintenance_V2[Province_RDC],"Pas de correspondance")</f>
        <v>Pas de correspondance</v>
      </c>
      <c r="G992" t="str">
        <f>_xlfn.XLOOKUP(Log_Reseau_Master[[#This Row],[Cell_ID]],_29_03_2026_Registre_Maintenance_V2[ID_Antenne],_29_03_2026_Registre_Maintenance_V2[Technologie],"Pas de correspondance")</f>
        <v>Pas de correspondance</v>
      </c>
      <c r="H992" t="str">
        <f>_xlfn.XLOOKUP(Log_Reseau_Master[[#This Row],[Cell_ID]],_29_03_2026_Registre_Maintenance_V2[ID_Antenne],_29_03_2026_Registre_Maintenance_V2[Equipementier],"Pas de correspondance")</f>
        <v>Pas de correspondance</v>
      </c>
    </row>
    <row r="993" spans="1:8" x14ac:dyDescent="0.25">
      <c r="A993" s="1">
        <v>45221.861805555556</v>
      </c>
      <c r="B993" s="4">
        <f>Log_Reseau_Master[[#This Row],[Duree_Panne_Min]]/1440</f>
        <v>1.4583333333333334E-2</v>
      </c>
      <c r="C993" t="s">
        <v>113</v>
      </c>
      <c r="D993">
        <v>21</v>
      </c>
      <c r="E993" t="s">
        <v>1312</v>
      </c>
      <c r="F993" t="str">
        <f>_xlfn.XLOOKUP(Log_Reseau_Master[[#This Row],[Cell_ID]],_29_03_2026_Registre_Maintenance_V2[ID_Antenne],_29_03_2026_Registre_Maintenance_V2[Province_RDC],"Pas de correspondance")</f>
        <v>Tanganyika</v>
      </c>
      <c r="G993" t="str">
        <f>_xlfn.XLOOKUP(Log_Reseau_Master[[#This Row],[Cell_ID]],_29_03_2026_Registre_Maintenance_V2[ID_Antenne],_29_03_2026_Registre_Maintenance_V2[Technologie],"Pas de correspondance")</f>
        <v>5G</v>
      </c>
      <c r="H993" t="str">
        <f>_xlfn.XLOOKUP(Log_Reseau_Master[[#This Row],[Cell_ID]],_29_03_2026_Registre_Maintenance_V2[ID_Antenne],_29_03_2026_Registre_Maintenance_V2[Equipementier],"Pas de correspondance")</f>
        <v>Ericsson</v>
      </c>
    </row>
    <row r="994" spans="1:8" x14ac:dyDescent="0.25">
      <c r="A994" s="1">
        <v>45229.443749999999</v>
      </c>
      <c r="B994" s="4">
        <f>Log_Reseau_Master[[#This Row],[Duree_Panne_Min]]/1440</f>
        <v>3.472222222222222E-3</v>
      </c>
      <c r="C994" t="s">
        <v>63</v>
      </c>
      <c r="D994">
        <v>5</v>
      </c>
      <c r="E994" t="s">
        <v>1314</v>
      </c>
      <c r="F994" t="str">
        <f>_xlfn.XLOOKUP(Log_Reseau_Master[[#This Row],[Cell_ID]],_29_03_2026_Registre_Maintenance_V2[ID_Antenne],_29_03_2026_Registre_Maintenance_V2[Province_RDC],"Pas de correspondance")</f>
        <v>Kasai-Central</v>
      </c>
      <c r="G994" t="str">
        <f>_xlfn.XLOOKUP(Log_Reseau_Master[[#This Row],[Cell_ID]],_29_03_2026_Registre_Maintenance_V2[ID_Antenne],_29_03_2026_Registre_Maintenance_V2[Technologie],"Pas de correspondance")</f>
        <v>4G</v>
      </c>
      <c r="H994" t="str">
        <f>_xlfn.XLOOKUP(Log_Reseau_Master[[#This Row],[Cell_ID]],_29_03_2026_Registre_Maintenance_V2[ID_Antenne],_29_03_2026_Registre_Maintenance_V2[Equipementier],"Pas de correspondance")</f>
        <v>Nokia</v>
      </c>
    </row>
    <row r="995" spans="1:8" hidden="1" x14ac:dyDescent="0.25">
      <c r="A995" s="1">
        <v>45224.988194444442</v>
      </c>
      <c r="B995">
        <f>Log_Reseau_Master[[#This Row],[Duree_Panne_Min]]/1440</f>
        <v>2.7083333333333334E-2</v>
      </c>
      <c r="C995" t="s">
        <v>1652</v>
      </c>
      <c r="D995">
        <v>39</v>
      </c>
      <c r="E995" t="s">
        <v>1314</v>
      </c>
      <c r="F995" t="str">
        <f>_xlfn.XLOOKUP(Log_Reseau_Master[[#This Row],[Cell_ID]],_29_03_2026_Registre_Maintenance_V2[ID_Antenne],_29_03_2026_Registre_Maintenance_V2[Province_RDC],"Pas de correspondance")</f>
        <v>Pas de correspondance</v>
      </c>
      <c r="G995" t="str">
        <f>_xlfn.XLOOKUP(Log_Reseau_Master[[#This Row],[Cell_ID]],_29_03_2026_Registre_Maintenance_V2[ID_Antenne],_29_03_2026_Registre_Maintenance_V2[Technologie],"Pas de correspondance")</f>
        <v>Pas de correspondance</v>
      </c>
      <c r="H995" t="str">
        <f>_xlfn.XLOOKUP(Log_Reseau_Master[[#This Row],[Cell_ID]],_29_03_2026_Registre_Maintenance_V2[ID_Antenne],_29_03_2026_Registre_Maintenance_V2[Equipementier],"Pas de correspondance")</f>
        <v>Pas de correspondance</v>
      </c>
    </row>
    <row r="996" spans="1:8" hidden="1" x14ac:dyDescent="0.25">
      <c r="A996" s="1">
        <v>45203.059027777781</v>
      </c>
      <c r="B996">
        <f>Log_Reseau_Master[[#This Row],[Duree_Panne_Min]]/1440</f>
        <v>3.4027777777777775E-2</v>
      </c>
      <c r="C996" t="s">
        <v>1652</v>
      </c>
      <c r="D996">
        <v>49</v>
      </c>
      <c r="E996" t="s">
        <v>1314</v>
      </c>
      <c r="F996" t="str">
        <f>_xlfn.XLOOKUP(Log_Reseau_Master[[#This Row],[Cell_ID]],_29_03_2026_Registre_Maintenance_V2[ID_Antenne],_29_03_2026_Registre_Maintenance_V2[Province_RDC],"Pas de correspondance")</f>
        <v>Pas de correspondance</v>
      </c>
      <c r="G996" t="str">
        <f>_xlfn.XLOOKUP(Log_Reseau_Master[[#This Row],[Cell_ID]],_29_03_2026_Registre_Maintenance_V2[ID_Antenne],_29_03_2026_Registre_Maintenance_V2[Technologie],"Pas de correspondance")</f>
        <v>Pas de correspondance</v>
      </c>
      <c r="H996" t="str">
        <f>_xlfn.XLOOKUP(Log_Reseau_Master[[#This Row],[Cell_ID]],_29_03_2026_Registre_Maintenance_V2[ID_Antenne],_29_03_2026_Registre_Maintenance_V2[Equipementier],"Pas de correspondance")</f>
        <v>Pas de correspondance</v>
      </c>
    </row>
    <row r="997" spans="1:8" hidden="1" x14ac:dyDescent="0.25">
      <c r="A997" s="1">
        <v>45230.726388888892</v>
      </c>
      <c r="B997">
        <f>Log_Reseau_Master[[#This Row],[Duree_Panne_Min]]/1440</f>
        <v>1.3194444444444444E-2</v>
      </c>
      <c r="C997" t="s">
        <v>1653</v>
      </c>
      <c r="D997">
        <v>19</v>
      </c>
      <c r="E997" t="s">
        <v>1312</v>
      </c>
      <c r="F997" t="str">
        <f>_xlfn.XLOOKUP(Log_Reseau_Master[[#This Row],[Cell_ID]],_29_03_2026_Registre_Maintenance_V2[ID_Antenne],_29_03_2026_Registre_Maintenance_V2[Province_RDC],"Pas de correspondance")</f>
        <v>Pas de correspondance</v>
      </c>
      <c r="G997" t="str">
        <f>_xlfn.XLOOKUP(Log_Reseau_Master[[#This Row],[Cell_ID]],_29_03_2026_Registre_Maintenance_V2[ID_Antenne],_29_03_2026_Registre_Maintenance_V2[Technologie],"Pas de correspondance")</f>
        <v>Pas de correspondance</v>
      </c>
      <c r="H997" t="str">
        <f>_xlfn.XLOOKUP(Log_Reseau_Master[[#This Row],[Cell_ID]],_29_03_2026_Registre_Maintenance_V2[ID_Antenne],_29_03_2026_Registre_Maintenance_V2[Equipementier],"Pas de correspondance")</f>
        <v>Pas de correspondance</v>
      </c>
    </row>
    <row r="998" spans="1:8" hidden="1" x14ac:dyDescent="0.25">
      <c r="A998" s="1">
        <v>45219.793055555558</v>
      </c>
      <c r="B998">
        <f>Log_Reseau_Master[[#This Row],[Duree_Panne_Min]]/1440</f>
        <v>6.2500000000000003E-3</v>
      </c>
      <c r="C998" t="s">
        <v>1653</v>
      </c>
      <c r="D998">
        <v>9</v>
      </c>
      <c r="E998" t="s">
        <v>1312</v>
      </c>
      <c r="F998" t="str">
        <f>_xlfn.XLOOKUP(Log_Reseau_Master[[#This Row],[Cell_ID]],_29_03_2026_Registre_Maintenance_V2[ID_Antenne],_29_03_2026_Registre_Maintenance_V2[Province_RDC],"Pas de correspondance")</f>
        <v>Pas de correspondance</v>
      </c>
      <c r="G998" t="str">
        <f>_xlfn.XLOOKUP(Log_Reseau_Master[[#This Row],[Cell_ID]],_29_03_2026_Registre_Maintenance_V2[ID_Antenne],_29_03_2026_Registre_Maintenance_V2[Technologie],"Pas de correspondance")</f>
        <v>Pas de correspondance</v>
      </c>
      <c r="H998" t="str">
        <f>_xlfn.XLOOKUP(Log_Reseau_Master[[#This Row],[Cell_ID]],_29_03_2026_Registre_Maintenance_V2[ID_Antenne],_29_03_2026_Registre_Maintenance_V2[Equipementier],"Pas de correspondance")</f>
        <v>Pas de correspondance</v>
      </c>
    </row>
    <row r="999" spans="1:8" hidden="1" x14ac:dyDescent="0.25">
      <c r="A999" s="1">
        <v>45217.068749999999</v>
      </c>
      <c r="B999">
        <f>Log_Reseau_Master[[#This Row],[Duree_Panne_Min]]/1440</f>
        <v>5.347222222222222E-2</v>
      </c>
      <c r="C999" t="s">
        <v>1653</v>
      </c>
      <c r="D999">
        <v>77</v>
      </c>
      <c r="E999" t="s">
        <v>1321</v>
      </c>
      <c r="F999" t="str">
        <f>_xlfn.XLOOKUP(Log_Reseau_Master[[#This Row],[Cell_ID]],_29_03_2026_Registre_Maintenance_V2[ID_Antenne],_29_03_2026_Registre_Maintenance_V2[Province_RDC],"Pas de correspondance")</f>
        <v>Pas de correspondance</v>
      </c>
      <c r="G999" t="str">
        <f>_xlfn.XLOOKUP(Log_Reseau_Master[[#This Row],[Cell_ID]],_29_03_2026_Registre_Maintenance_V2[ID_Antenne],_29_03_2026_Registre_Maintenance_V2[Technologie],"Pas de correspondance")</f>
        <v>Pas de correspondance</v>
      </c>
      <c r="H999" t="str">
        <f>_xlfn.XLOOKUP(Log_Reseau_Master[[#This Row],[Cell_ID]],_29_03_2026_Registre_Maintenance_V2[ID_Antenne],_29_03_2026_Registre_Maintenance_V2[Equipementier],"Pas de correspondance")</f>
        <v>Pas de correspondance</v>
      </c>
    </row>
    <row r="1000" spans="1:8" x14ac:dyDescent="0.25">
      <c r="A1000" s="1">
        <v>45216.760416666664</v>
      </c>
      <c r="B1000" s="4">
        <f>Log_Reseau_Master[[#This Row],[Duree_Panne_Min]]/1440</f>
        <v>3.3333333333333333E-2</v>
      </c>
      <c r="C1000" t="s">
        <v>440</v>
      </c>
      <c r="D1000">
        <v>48</v>
      </c>
      <c r="E1000" t="s">
        <v>1314</v>
      </c>
      <c r="F1000" t="str">
        <f>_xlfn.XLOOKUP(Log_Reseau_Master[[#This Row],[Cell_ID]],_29_03_2026_Registre_Maintenance_V2[ID_Antenne],_29_03_2026_Registre_Maintenance_V2[Province_RDC],"Pas de correspondance")</f>
        <v>Ituri</v>
      </c>
      <c r="G1000" t="str">
        <f>_xlfn.XLOOKUP(Log_Reseau_Master[[#This Row],[Cell_ID]],_29_03_2026_Registre_Maintenance_V2[ID_Antenne],_29_03_2026_Registre_Maintenance_V2[Technologie],"Pas de correspondance")</f>
        <v>5G</v>
      </c>
      <c r="H1000" t="str">
        <f>_xlfn.XLOOKUP(Log_Reseau_Master[[#This Row],[Cell_ID]],_29_03_2026_Registre_Maintenance_V2[ID_Antenne],_29_03_2026_Registre_Maintenance_V2[Equipementier],"Pas de correspondance")</f>
        <v>ZTE</v>
      </c>
    </row>
    <row r="1001" spans="1:8" x14ac:dyDescent="0.25">
      <c r="A1001" s="1">
        <v>45227.033333333333</v>
      </c>
      <c r="B1001" s="4">
        <f>Log_Reseau_Master[[#This Row],[Duree_Panne_Min]]/1440</f>
        <v>4.7222222222222221E-2</v>
      </c>
      <c r="C1001" t="s">
        <v>184</v>
      </c>
      <c r="D1001">
        <v>68</v>
      </c>
      <c r="E1001" t="s">
        <v>1321</v>
      </c>
      <c r="F1001" t="str">
        <f>_xlfn.XLOOKUP(Log_Reseau_Master[[#This Row],[Cell_ID]],_29_03_2026_Registre_Maintenance_V2[ID_Antenne],_29_03_2026_Registre_Maintenance_V2[Province_RDC],"Pas de correspondance")</f>
        <v>Nord-Ubangi</v>
      </c>
      <c r="G1001" t="str">
        <f>_xlfn.XLOOKUP(Log_Reseau_Master[[#This Row],[Cell_ID]],_29_03_2026_Registre_Maintenance_V2[ID_Antenne],_29_03_2026_Registre_Maintenance_V2[Technologie],"Pas de correspondance")</f>
        <v>5G</v>
      </c>
      <c r="H1001" t="str">
        <f>_xlfn.XLOOKUP(Log_Reseau_Master[[#This Row],[Cell_ID]],_29_03_2026_Registre_Maintenance_V2[ID_Antenne],_29_03_2026_Registre_Maintenance_V2[Equipementier],"Pas de correspondance")</f>
        <v>ZTE</v>
      </c>
    </row>
    <row r="1002" spans="1:8" x14ac:dyDescent="0.25">
      <c r="A1002" s="1">
        <v>45221.313194444447</v>
      </c>
      <c r="B1002" s="4">
        <f>Log_Reseau_Master[[#This Row],[Duree_Panne_Min]]/1440</f>
        <v>2.361111111111111E-2</v>
      </c>
      <c r="C1002" t="s">
        <v>279</v>
      </c>
      <c r="D1002">
        <v>34</v>
      </c>
      <c r="E1002" t="s">
        <v>1312</v>
      </c>
      <c r="F1002" t="str">
        <f>_xlfn.XLOOKUP(Log_Reseau_Master[[#This Row],[Cell_ID]],_29_03_2026_Registre_Maintenance_V2[ID_Antenne],_29_03_2026_Registre_Maintenance_V2[Province_RDC],"Pas de correspondance")</f>
        <v>Kasai</v>
      </c>
      <c r="G1002" t="str">
        <f>_xlfn.XLOOKUP(Log_Reseau_Master[[#This Row],[Cell_ID]],_29_03_2026_Registre_Maintenance_V2[ID_Antenne],_29_03_2026_Registre_Maintenance_V2[Technologie],"Pas de correspondance")</f>
        <v>5G</v>
      </c>
      <c r="H1002" t="str">
        <f>_xlfn.XLOOKUP(Log_Reseau_Master[[#This Row],[Cell_ID]],_29_03_2026_Registre_Maintenance_V2[ID_Antenne],_29_03_2026_Registre_Maintenance_V2[Equipementier],"Pas de correspondance")</f>
        <v>Huawei</v>
      </c>
    </row>
    <row r="1003" spans="1:8" x14ac:dyDescent="0.25">
      <c r="A1003" s="1">
        <v>45225.622916666667</v>
      </c>
      <c r="B1003" s="4">
        <f>Log_Reseau_Master[[#This Row],[Duree_Panne_Min]]/1440</f>
        <v>5.9722222222222225E-2</v>
      </c>
      <c r="C1003" t="s">
        <v>279</v>
      </c>
      <c r="D1003">
        <v>86</v>
      </c>
      <c r="E1003" t="s">
        <v>1314</v>
      </c>
      <c r="F1003" t="str">
        <f>_xlfn.XLOOKUP(Log_Reseau_Master[[#This Row],[Cell_ID]],_29_03_2026_Registre_Maintenance_V2[ID_Antenne],_29_03_2026_Registre_Maintenance_V2[Province_RDC],"Pas de correspondance")</f>
        <v>Kasai</v>
      </c>
      <c r="G1003" t="str">
        <f>_xlfn.XLOOKUP(Log_Reseau_Master[[#This Row],[Cell_ID]],_29_03_2026_Registre_Maintenance_V2[ID_Antenne],_29_03_2026_Registre_Maintenance_V2[Technologie],"Pas de correspondance")</f>
        <v>5G</v>
      </c>
      <c r="H1003" t="str">
        <f>_xlfn.XLOOKUP(Log_Reseau_Master[[#This Row],[Cell_ID]],_29_03_2026_Registre_Maintenance_V2[ID_Antenne],_29_03_2026_Registre_Maintenance_V2[Equipementier],"Pas de correspondance")</f>
        <v>Huawei</v>
      </c>
    </row>
    <row r="1004" spans="1:8" x14ac:dyDescent="0.25">
      <c r="A1004" s="1">
        <v>45200.078472222223</v>
      </c>
      <c r="B1004" s="4">
        <f>Log_Reseau_Master[[#This Row],[Duree_Panne_Min]]/1440</f>
        <v>2.7777777777777776E-2</v>
      </c>
      <c r="C1004" t="s">
        <v>279</v>
      </c>
      <c r="D1004">
        <v>40</v>
      </c>
      <c r="E1004" t="s">
        <v>1314</v>
      </c>
      <c r="F1004" t="str">
        <f>_xlfn.XLOOKUP(Log_Reseau_Master[[#This Row],[Cell_ID]],_29_03_2026_Registre_Maintenance_V2[ID_Antenne],_29_03_2026_Registre_Maintenance_V2[Province_RDC],"Pas de correspondance")</f>
        <v>Kasai</v>
      </c>
      <c r="G1004" t="str">
        <f>_xlfn.XLOOKUP(Log_Reseau_Master[[#This Row],[Cell_ID]],_29_03_2026_Registre_Maintenance_V2[ID_Antenne],_29_03_2026_Registre_Maintenance_V2[Technologie],"Pas de correspondance")</f>
        <v>5G</v>
      </c>
      <c r="H1004" t="str">
        <f>_xlfn.XLOOKUP(Log_Reseau_Master[[#This Row],[Cell_ID]],_29_03_2026_Registre_Maintenance_V2[ID_Antenne],_29_03_2026_Registre_Maintenance_V2[Equipementier],"Pas de correspondance")</f>
        <v>Huawei</v>
      </c>
    </row>
    <row r="1005" spans="1:8" x14ac:dyDescent="0.25">
      <c r="A1005" s="1">
        <v>45211.224305555559</v>
      </c>
      <c r="B1005" s="4">
        <f>Log_Reseau_Master[[#This Row],[Duree_Panne_Min]]/1440</f>
        <v>2.5694444444444443E-2</v>
      </c>
      <c r="C1005" t="s">
        <v>473</v>
      </c>
      <c r="D1005">
        <v>37</v>
      </c>
      <c r="E1005" t="s">
        <v>1314</v>
      </c>
      <c r="F1005" t="str">
        <f>_xlfn.XLOOKUP(Log_Reseau_Master[[#This Row],[Cell_ID]],_29_03_2026_Registre_Maintenance_V2[ID_Antenne],_29_03_2026_Registre_Maintenance_V2[Province_RDC],"Pas de correspondance")</f>
        <v>Tanganyika</v>
      </c>
      <c r="G1005" t="str">
        <f>_xlfn.XLOOKUP(Log_Reseau_Master[[#This Row],[Cell_ID]],_29_03_2026_Registre_Maintenance_V2[ID_Antenne],_29_03_2026_Registre_Maintenance_V2[Technologie],"Pas de correspondance")</f>
        <v>5G</v>
      </c>
      <c r="H1005" t="str">
        <f>_xlfn.XLOOKUP(Log_Reseau_Master[[#This Row],[Cell_ID]],_29_03_2026_Registre_Maintenance_V2[ID_Antenne],_29_03_2026_Registre_Maintenance_V2[Equipementier],"Pas de correspondance")</f>
        <v>Ericsson</v>
      </c>
    </row>
    <row r="1006" spans="1:8" x14ac:dyDescent="0.25">
      <c r="A1006" s="1">
        <v>45221.717361111114</v>
      </c>
      <c r="B1006" s="4">
        <f>Log_Reseau_Master[[#This Row],[Duree_Panne_Min]]/1440</f>
        <v>9.7222222222222224E-3</v>
      </c>
      <c r="C1006" t="s">
        <v>473</v>
      </c>
      <c r="D1006">
        <v>14</v>
      </c>
      <c r="E1006" t="s">
        <v>1314</v>
      </c>
      <c r="F1006" t="str">
        <f>_xlfn.XLOOKUP(Log_Reseau_Master[[#This Row],[Cell_ID]],_29_03_2026_Registre_Maintenance_V2[ID_Antenne],_29_03_2026_Registre_Maintenance_V2[Province_RDC],"Pas de correspondance")</f>
        <v>Tanganyika</v>
      </c>
      <c r="G1006" t="str">
        <f>_xlfn.XLOOKUP(Log_Reseau_Master[[#This Row],[Cell_ID]],_29_03_2026_Registre_Maintenance_V2[ID_Antenne],_29_03_2026_Registre_Maintenance_V2[Technologie],"Pas de correspondance")</f>
        <v>5G</v>
      </c>
      <c r="H1006" t="str">
        <f>_xlfn.XLOOKUP(Log_Reseau_Master[[#This Row],[Cell_ID]],_29_03_2026_Registre_Maintenance_V2[ID_Antenne],_29_03_2026_Registre_Maintenance_V2[Equipementier],"Pas de correspondance")</f>
        <v>Ericsson</v>
      </c>
    </row>
    <row r="1007" spans="1:8" x14ac:dyDescent="0.25">
      <c r="A1007" s="1">
        <v>45222.415277777778</v>
      </c>
      <c r="B1007" s="4">
        <f>Log_Reseau_Master[[#This Row],[Duree_Panne_Min]]/1440</f>
        <v>5.0694444444444445E-2</v>
      </c>
      <c r="C1007" t="s">
        <v>414</v>
      </c>
      <c r="D1007">
        <v>73</v>
      </c>
      <c r="E1007" t="s">
        <v>1314</v>
      </c>
      <c r="F1007" t="str">
        <f>_xlfn.XLOOKUP(Log_Reseau_Master[[#This Row],[Cell_ID]],_29_03_2026_Registre_Maintenance_V2[ID_Antenne],_29_03_2026_Registre_Maintenance_V2[Province_RDC],"Pas de correspondance")</f>
        <v>Nord-Ubangi</v>
      </c>
      <c r="G1007" t="str">
        <f>_xlfn.XLOOKUP(Log_Reseau_Master[[#This Row],[Cell_ID]],_29_03_2026_Registre_Maintenance_V2[ID_Antenne],_29_03_2026_Registre_Maintenance_V2[Technologie],"Pas de correspondance")</f>
        <v>5G</v>
      </c>
      <c r="H1007" t="str">
        <f>_xlfn.XLOOKUP(Log_Reseau_Master[[#This Row],[Cell_ID]],_29_03_2026_Registre_Maintenance_V2[ID_Antenne],_29_03_2026_Registre_Maintenance_V2[Equipementier],"Pas de correspondance")</f>
        <v>ZTE</v>
      </c>
    </row>
    <row r="1008" spans="1:8" hidden="1" x14ac:dyDescent="0.25">
      <c r="A1008" s="1">
        <v>45223.365277777775</v>
      </c>
      <c r="B1008">
        <f>Log_Reseau_Master[[#This Row],[Duree_Panne_Min]]/1440</f>
        <v>7.2222222222222215E-2</v>
      </c>
      <c r="C1008" t="s">
        <v>1654</v>
      </c>
      <c r="D1008">
        <v>104</v>
      </c>
      <c r="E1008" t="s">
        <v>1312</v>
      </c>
      <c r="F1008" t="str">
        <f>_xlfn.XLOOKUP(Log_Reseau_Master[[#This Row],[Cell_ID]],_29_03_2026_Registre_Maintenance_V2[ID_Antenne],_29_03_2026_Registre_Maintenance_V2[Province_RDC],"Pas de correspondance")</f>
        <v>Pas de correspondance</v>
      </c>
      <c r="G1008" t="str">
        <f>_xlfn.XLOOKUP(Log_Reseau_Master[[#This Row],[Cell_ID]],_29_03_2026_Registre_Maintenance_V2[ID_Antenne],_29_03_2026_Registre_Maintenance_V2[Technologie],"Pas de correspondance")</f>
        <v>Pas de correspondance</v>
      </c>
      <c r="H1008" t="str">
        <f>_xlfn.XLOOKUP(Log_Reseau_Master[[#This Row],[Cell_ID]],_29_03_2026_Registre_Maintenance_V2[ID_Antenne],_29_03_2026_Registre_Maintenance_V2[Equipementier],"Pas de correspondance")</f>
        <v>Pas de correspondance</v>
      </c>
    </row>
    <row r="1009" spans="1:8" x14ac:dyDescent="0.25">
      <c r="A1009" s="1">
        <v>45203.511805555558</v>
      </c>
      <c r="B1009" s="4">
        <f>Log_Reseau_Master[[#This Row],[Duree_Panne_Min]]/1440</f>
        <v>4.4444444444444446E-2</v>
      </c>
      <c r="C1009" t="s">
        <v>357</v>
      </c>
      <c r="D1009">
        <v>64</v>
      </c>
      <c r="E1009" t="s">
        <v>1321</v>
      </c>
      <c r="F1009" t="str">
        <f>_xlfn.XLOOKUP(Log_Reseau_Master[[#This Row],[Cell_ID]],_29_03_2026_Registre_Maintenance_V2[ID_Antenne],_29_03_2026_Registre_Maintenance_V2[Province_RDC],"Pas de correspondance")</f>
        <v>Tshopo</v>
      </c>
      <c r="G1009" t="str">
        <f>_xlfn.XLOOKUP(Log_Reseau_Master[[#This Row],[Cell_ID]],_29_03_2026_Registre_Maintenance_V2[ID_Antenne],_29_03_2026_Registre_Maintenance_V2[Technologie],"Pas de correspondance")</f>
        <v>3G</v>
      </c>
      <c r="H1009" t="str">
        <f>_xlfn.XLOOKUP(Log_Reseau_Master[[#This Row],[Cell_ID]],_29_03_2026_Registre_Maintenance_V2[ID_Antenne],_29_03_2026_Registre_Maintenance_V2[Equipementier],"Pas de correspondance")</f>
        <v>ZTE</v>
      </c>
    </row>
    <row r="1010" spans="1:8" x14ac:dyDescent="0.25">
      <c r="A1010" s="1">
        <v>45220.206944444442</v>
      </c>
      <c r="B1010" s="4">
        <f>Log_Reseau_Master[[#This Row],[Duree_Panne_Min]]/1440</f>
        <v>1.7361111111111112E-2</v>
      </c>
      <c r="C1010" t="s">
        <v>223</v>
      </c>
      <c r="D1010">
        <v>25</v>
      </c>
      <c r="E1010" t="s">
        <v>1314</v>
      </c>
      <c r="F1010" t="str">
        <f>_xlfn.XLOOKUP(Log_Reseau_Master[[#This Row],[Cell_ID]],_29_03_2026_Registre_Maintenance_V2[ID_Antenne],_29_03_2026_Registre_Maintenance_V2[Province_RDC],"Pas de correspondance")</f>
        <v>Equateur</v>
      </c>
      <c r="G1010" t="str">
        <f>_xlfn.XLOOKUP(Log_Reseau_Master[[#This Row],[Cell_ID]],_29_03_2026_Registre_Maintenance_V2[ID_Antenne],_29_03_2026_Registre_Maintenance_V2[Technologie],"Pas de correspondance")</f>
        <v>5G</v>
      </c>
      <c r="H1010" t="str">
        <f>_xlfn.XLOOKUP(Log_Reseau_Master[[#This Row],[Cell_ID]],_29_03_2026_Registre_Maintenance_V2[ID_Antenne],_29_03_2026_Registre_Maintenance_V2[Equipementier],"Pas de correspondance")</f>
        <v>Nokia</v>
      </c>
    </row>
    <row r="1011" spans="1:8" hidden="1" x14ac:dyDescent="0.25">
      <c r="A1011" s="1">
        <v>45219.929166666669</v>
      </c>
      <c r="B1011">
        <f>Log_Reseau_Master[[#This Row],[Duree_Panne_Min]]/1440</f>
        <v>7.9861111111111105E-2</v>
      </c>
      <c r="C1011" t="s">
        <v>1655</v>
      </c>
      <c r="D1011">
        <v>115</v>
      </c>
      <c r="E1011" t="s">
        <v>1314</v>
      </c>
      <c r="F1011" t="str">
        <f>_xlfn.XLOOKUP(Log_Reseau_Master[[#This Row],[Cell_ID]],_29_03_2026_Registre_Maintenance_V2[ID_Antenne],_29_03_2026_Registre_Maintenance_V2[Province_RDC],"Pas de correspondance")</f>
        <v>Pas de correspondance</v>
      </c>
      <c r="G1011" t="str">
        <f>_xlfn.XLOOKUP(Log_Reseau_Master[[#This Row],[Cell_ID]],_29_03_2026_Registre_Maintenance_V2[ID_Antenne],_29_03_2026_Registre_Maintenance_V2[Technologie],"Pas de correspondance")</f>
        <v>Pas de correspondance</v>
      </c>
      <c r="H1011" t="str">
        <f>_xlfn.XLOOKUP(Log_Reseau_Master[[#This Row],[Cell_ID]],_29_03_2026_Registre_Maintenance_V2[ID_Antenne],_29_03_2026_Registre_Maintenance_V2[Equipementier],"Pas de correspondance")</f>
        <v>Pas de correspondance</v>
      </c>
    </row>
    <row r="1012" spans="1:8" x14ac:dyDescent="0.25">
      <c r="A1012" s="1">
        <v>45218.631944444445</v>
      </c>
      <c r="B1012" s="4">
        <f>Log_Reseau_Master[[#This Row],[Duree_Panne_Min]]/1440</f>
        <v>2.9166666666666667E-2</v>
      </c>
      <c r="C1012" t="s">
        <v>527</v>
      </c>
      <c r="D1012">
        <v>42</v>
      </c>
      <c r="E1012" t="s">
        <v>1312</v>
      </c>
      <c r="F1012" t="str">
        <f>_xlfn.XLOOKUP(Log_Reseau_Master[[#This Row],[Cell_ID]],_29_03_2026_Registre_Maintenance_V2[ID_Antenne],_29_03_2026_Registre_Maintenance_V2[Province_RDC],"Pas de correspondance")</f>
        <v>Kwilu</v>
      </c>
      <c r="G1012" t="str">
        <f>_xlfn.XLOOKUP(Log_Reseau_Master[[#This Row],[Cell_ID]],_29_03_2026_Registre_Maintenance_V2[ID_Antenne],_29_03_2026_Registre_Maintenance_V2[Technologie],"Pas de correspondance")</f>
        <v>4G</v>
      </c>
      <c r="H1012" t="str">
        <f>_xlfn.XLOOKUP(Log_Reseau_Master[[#This Row],[Cell_ID]],_29_03_2026_Registre_Maintenance_V2[ID_Antenne],_29_03_2026_Registre_Maintenance_V2[Equipementier],"Pas de correspondance")</f>
        <v>Huawei</v>
      </c>
    </row>
    <row r="1013" spans="1:8" x14ac:dyDescent="0.25">
      <c r="A1013" s="1">
        <v>45208.863888888889</v>
      </c>
      <c r="B1013" s="4">
        <f>Log_Reseau_Master[[#This Row],[Duree_Panne_Min]]/1440</f>
        <v>6.3888888888888884E-2</v>
      </c>
      <c r="C1013" t="s">
        <v>527</v>
      </c>
      <c r="D1013">
        <v>92</v>
      </c>
      <c r="E1013" t="s">
        <v>1314</v>
      </c>
      <c r="F1013" t="str">
        <f>_xlfn.XLOOKUP(Log_Reseau_Master[[#This Row],[Cell_ID]],_29_03_2026_Registre_Maintenance_V2[ID_Antenne],_29_03_2026_Registre_Maintenance_V2[Province_RDC],"Pas de correspondance")</f>
        <v>Kwilu</v>
      </c>
      <c r="G1013" t="str">
        <f>_xlfn.XLOOKUP(Log_Reseau_Master[[#This Row],[Cell_ID]],_29_03_2026_Registre_Maintenance_V2[ID_Antenne],_29_03_2026_Registre_Maintenance_V2[Technologie],"Pas de correspondance")</f>
        <v>4G</v>
      </c>
      <c r="H1013" t="str">
        <f>_xlfn.XLOOKUP(Log_Reseau_Master[[#This Row],[Cell_ID]],_29_03_2026_Registre_Maintenance_V2[ID_Antenne],_29_03_2026_Registre_Maintenance_V2[Equipementier],"Pas de correspondance")</f>
        <v>Huawei</v>
      </c>
    </row>
    <row r="1014" spans="1:8" hidden="1" x14ac:dyDescent="0.25">
      <c r="A1014" s="1">
        <v>45210.921527777777</v>
      </c>
      <c r="B1014">
        <f>Log_Reseau_Master[[#This Row],[Duree_Panne_Min]]/1440</f>
        <v>5.9722222222222225E-2</v>
      </c>
      <c r="C1014" t="s">
        <v>1656</v>
      </c>
      <c r="D1014">
        <v>86</v>
      </c>
      <c r="E1014" t="s">
        <v>1312</v>
      </c>
      <c r="F1014" t="str">
        <f>_xlfn.XLOOKUP(Log_Reseau_Master[[#This Row],[Cell_ID]],_29_03_2026_Registre_Maintenance_V2[ID_Antenne],_29_03_2026_Registre_Maintenance_V2[Province_RDC],"Pas de correspondance")</f>
        <v>Pas de correspondance</v>
      </c>
      <c r="G1014" t="str">
        <f>_xlfn.XLOOKUP(Log_Reseau_Master[[#This Row],[Cell_ID]],_29_03_2026_Registre_Maintenance_V2[ID_Antenne],_29_03_2026_Registre_Maintenance_V2[Technologie],"Pas de correspondance")</f>
        <v>Pas de correspondance</v>
      </c>
      <c r="H1014" t="str">
        <f>_xlfn.XLOOKUP(Log_Reseau_Master[[#This Row],[Cell_ID]],_29_03_2026_Registre_Maintenance_V2[ID_Antenne],_29_03_2026_Registre_Maintenance_V2[Equipementier],"Pas de correspondance")</f>
        <v>Pas de correspondance</v>
      </c>
    </row>
    <row r="1015" spans="1:8" hidden="1" x14ac:dyDescent="0.25">
      <c r="A1015" s="1">
        <v>45214.931250000001</v>
      </c>
      <c r="B1015">
        <f>Log_Reseau_Master[[#This Row],[Duree_Panne_Min]]/1440</f>
        <v>5.6250000000000001E-2</v>
      </c>
      <c r="C1015" t="s">
        <v>1656</v>
      </c>
      <c r="D1015">
        <v>81</v>
      </c>
      <c r="E1015" t="s">
        <v>1312</v>
      </c>
      <c r="F1015" t="str">
        <f>_xlfn.XLOOKUP(Log_Reseau_Master[[#This Row],[Cell_ID]],_29_03_2026_Registre_Maintenance_V2[ID_Antenne],_29_03_2026_Registre_Maintenance_V2[Province_RDC],"Pas de correspondance")</f>
        <v>Pas de correspondance</v>
      </c>
      <c r="G1015" t="str">
        <f>_xlfn.XLOOKUP(Log_Reseau_Master[[#This Row],[Cell_ID]],_29_03_2026_Registre_Maintenance_V2[ID_Antenne],_29_03_2026_Registre_Maintenance_V2[Technologie],"Pas de correspondance")</f>
        <v>Pas de correspondance</v>
      </c>
      <c r="H1015" t="str">
        <f>_xlfn.XLOOKUP(Log_Reseau_Master[[#This Row],[Cell_ID]],_29_03_2026_Registre_Maintenance_V2[ID_Antenne],_29_03_2026_Registre_Maintenance_V2[Equipementier],"Pas de correspondance")</f>
        <v>Pas de correspondance</v>
      </c>
    </row>
    <row r="1016" spans="1:8" hidden="1" x14ac:dyDescent="0.25">
      <c r="A1016" s="1">
        <v>45220.368055555555</v>
      </c>
      <c r="B1016">
        <f>Log_Reseau_Master[[#This Row],[Duree_Panne_Min]]/1440</f>
        <v>3.2638888888888891E-2</v>
      </c>
      <c r="C1016" t="s">
        <v>1656</v>
      </c>
      <c r="D1016">
        <v>47</v>
      </c>
      <c r="E1016" t="s">
        <v>1321</v>
      </c>
      <c r="F1016" t="str">
        <f>_xlfn.XLOOKUP(Log_Reseau_Master[[#This Row],[Cell_ID]],_29_03_2026_Registre_Maintenance_V2[ID_Antenne],_29_03_2026_Registre_Maintenance_V2[Province_RDC],"Pas de correspondance")</f>
        <v>Pas de correspondance</v>
      </c>
      <c r="G1016" t="str">
        <f>_xlfn.XLOOKUP(Log_Reseau_Master[[#This Row],[Cell_ID]],_29_03_2026_Registre_Maintenance_V2[ID_Antenne],_29_03_2026_Registre_Maintenance_V2[Technologie],"Pas de correspondance")</f>
        <v>Pas de correspondance</v>
      </c>
      <c r="H1016" t="str">
        <f>_xlfn.XLOOKUP(Log_Reseau_Master[[#This Row],[Cell_ID]],_29_03_2026_Registre_Maintenance_V2[ID_Antenne],_29_03_2026_Registre_Maintenance_V2[Equipementier],"Pas de correspondance")</f>
        <v>Pas de correspondance</v>
      </c>
    </row>
    <row r="1017" spans="1:8" x14ac:dyDescent="0.25">
      <c r="A1017" s="1">
        <v>45216.463888888888</v>
      </c>
      <c r="B1017" s="4">
        <f>Log_Reseau_Master[[#This Row],[Duree_Panne_Min]]/1440</f>
        <v>4.027777777777778E-2</v>
      </c>
      <c r="C1017" t="s">
        <v>170</v>
      </c>
      <c r="D1017">
        <v>58</v>
      </c>
      <c r="E1017" t="s">
        <v>1314</v>
      </c>
      <c r="F1017" t="str">
        <f>_xlfn.XLOOKUP(Log_Reseau_Master[[#This Row],[Cell_ID]],_29_03_2026_Registre_Maintenance_V2[ID_Antenne],_29_03_2026_Registre_Maintenance_V2[Province_RDC],"Pas de correspondance")</f>
        <v>Haut-Lomami</v>
      </c>
      <c r="G1017" t="str">
        <f>_xlfn.XLOOKUP(Log_Reseau_Master[[#This Row],[Cell_ID]],_29_03_2026_Registre_Maintenance_V2[ID_Antenne],_29_03_2026_Registre_Maintenance_V2[Technologie],"Pas de correspondance")</f>
        <v>4G</v>
      </c>
      <c r="H1017" t="str">
        <f>_xlfn.XLOOKUP(Log_Reseau_Master[[#This Row],[Cell_ID]],_29_03_2026_Registre_Maintenance_V2[ID_Antenne],_29_03_2026_Registre_Maintenance_V2[Equipementier],"Pas de correspondance")</f>
        <v>Nokia</v>
      </c>
    </row>
    <row r="1018" spans="1:8" x14ac:dyDescent="0.25">
      <c r="A1018" s="1">
        <v>45212.115277777775</v>
      </c>
      <c r="B1018" s="4">
        <f>Log_Reseau_Master[[#This Row],[Duree_Panne_Min]]/1440</f>
        <v>1.0416666666666666E-2</v>
      </c>
      <c r="C1018" t="s">
        <v>170</v>
      </c>
      <c r="D1018">
        <v>15</v>
      </c>
      <c r="E1018" t="s">
        <v>1312</v>
      </c>
      <c r="F1018" t="str">
        <f>_xlfn.XLOOKUP(Log_Reseau_Master[[#This Row],[Cell_ID]],_29_03_2026_Registre_Maintenance_V2[ID_Antenne],_29_03_2026_Registre_Maintenance_V2[Province_RDC],"Pas de correspondance")</f>
        <v>Haut-Lomami</v>
      </c>
      <c r="G1018" t="str">
        <f>_xlfn.XLOOKUP(Log_Reseau_Master[[#This Row],[Cell_ID]],_29_03_2026_Registre_Maintenance_V2[ID_Antenne],_29_03_2026_Registre_Maintenance_V2[Technologie],"Pas de correspondance")</f>
        <v>4G</v>
      </c>
      <c r="H1018" t="str">
        <f>_xlfn.XLOOKUP(Log_Reseau_Master[[#This Row],[Cell_ID]],_29_03_2026_Registre_Maintenance_V2[ID_Antenne],_29_03_2026_Registre_Maintenance_V2[Equipementier],"Pas de correspondance")</f>
        <v>Nokia</v>
      </c>
    </row>
    <row r="1019" spans="1:8" x14ac:dyDescent="0.25">
      <c r="A1019" s="1">
        <v>45229.670138888891</v>
      </c>
      <c r="B1019" s="4">
        <f>Log_Reseau_Master[[#This Row],[Duree_Panne_Min]]/1440</f>
        <v>2.8472222222222222E-2</v>
      </c>
      <c r="C1019" t="s">
        <v>170</v>
      </c>
      <c r="D1019">
        <v>41</v>
      </c>
      <c r="E1019" t="s">
        <v>1321</v>
      </c>
      <c r="F1019" t="str">
        <f>_xlfn.XLOOKUP(Log_Reseau_Master[[#This Row],[Cell_ID]],_29_03_2026_Registre_Maintenance_V2[ID_Antenne],_29_03_2026_Registre_Maintenance_V2[Province_RDC],"Pas de correspondance")</f>
        <v>Haut-Lomami</v>
      </c>
      <c r="G1019" t="str">
        <f>_xlfn.XLOOKUP(Log_Reseau_Master[[#This Row],[Cell_ID]],_29_03_2026_Registre_Maintenance_V2[ID_Antenne],_29_03_2026_Registre_Maintenance_V2[Technologie],"Pas de correspondance")</f>
        <v>4G</v>
      </c>
      <c r="H1019" t="str">
        <f>_xlfn.XLOOKUP(Log_Reseau_Master[[#This Row],[Cell_ID]],_29_03_2026_Registre_Maintenance_V2[ID_Antenne],_29_03_2026_Registre_Maintenance_V2[Equipementier],"Pas de correspondance")</f>
        <v>Nokia</v>
      </c>
    </row>
    <row r="1020" spans="1:8" hidden="1" x14ac:dyDescent="0.25">
      <c r="A1020" s="1">
        <v>45201.780555555553</v>
      </c>
      <c r="B1020">
        <f>Log_Reseau_Master[[#This Row],[Duree_Panne_Min]]/1440</f>
        <v>1.0416666666666666E-2</v>
      </c>
      <c r="C1020" t="s">
        <v>1657</v>
      </c>
      <c r="D1020">
        <v>15</v>
      </c>
      <c r="E1020" t="s">
        <v>1314</v>
      </c>
      <c r="F1020" t="str">
        <f>_xlfn.XLOOKUP(Log_Reseau_Master[[#This Row],[Cell_ID]],_29_03_2026_Registre_Maintenance_V2[ID_Antenne],_29_03_2026_Registre_Maintenance_V2[Province_RDC],"Pas de correspondance")</f>
        <v>Pas de correspondance</v>
      </c>
      <c r="G1020" t="str">
        <f>_xlfn.XLOOKUP(Log_Reseau_Master[[#This Row],[Cell_ID]],_29_03_2026_Registre_Maintenance_V2[ID_Antenne],_29_03_2026_Registre_Maintenance_V2[Technologie],"Pas de correspondance")</f>
        <v>Pas de correspondance</v>
      </c>
      <c r="H1020" t="str">
        <f>_xlfn.XLOOKUP(Log_Reseau_Master[[#This Row],[Cell_ID]],_29_03_2026_Registre_Maintenance_V2[ID_Antenne],_29_03_2026_Registre_Maintenance_V2[Equipementier],"Pas de correspondance")</f>
        <v>Pas de correspondance</v>
      </c>
    </row>
    <row r="1021" spans="1:8" x14ac:dyDescent="0.25">
      <c r="A1021" s="1">
        <v>45225.054166666669</v>
      </c>
      <c r="B1021" s="4">
        <f>Log_Reseau_Master[[#This Row],[Duree_Panne_Min]]/1440</f>
        <v>2.6388888888888889E-2</v>
      </c>
      <c r="C1021" t="s">
        <v>162</v>
      </c>
      <c r="D1021">
        <v>38</v>
      </c>
      <c r="E1021" t="s">
        <v>1321</v>
      </c>
      <c r="F1021" t="str">
        <f>_xlfn.XLOOKUP(Log_Reseau_Master[[#This Row],[Cell_ID]],_29_03_2026_Registre_Maintenance_V2[ID_Antenne],_29_03_2026_Registre_Maintenance_V2[Province_RDC],"Pas de correspondance")</f>
        <v>Lualaba</v>
      </c>
      <c r="G1021" t="str">
        <f>_xlfn.XLOOKUP(Log_Reseau_Master[[#This Row],[Cell_ID]],_29_03_2026_Registre_Maintenance_V2[ID_Antenne],_29_03_2026_Registre_Maintenance_V2[Technologie],"Pas de correspondance")</f>
        <v>4G</v>
      </c>
      <c r="H1021" t="str">
        <f>_xlfn.XLOOKUP(Log_Reseau_Master[[#This Row],[Cell_ID]],_29_03_2026_Registre_Maintenance_V2[ID_Antenne],_29_03_2026_Registre_Maintenance_V2[Equipementier],"Pas de correspondance")</f>
        <v>Ericsson</v>
      </c>
    </row>
    <row r="1022" spans="1:8" hidden="1" x14ac:dyDescent="0.25">
      <c r="A1022" s="1">
        <v>45203.884027777778</v>
      </c>
      <c r="B1022">
        <f>Log_Reseau_Master[[#This Row],[Duree_Panne_Min]]/1440</f>
        <v>8.0555555555555561E-2</v>
      </c>
      <c r="C1022" t="s">
        <v>1658</v>
      </c>
      <c r="D1022">
        <v>116</v>
      </c>
      <c r="E1022" t="s">
        <v>1312</v>
      </c>
      <c r="F1022" t="str">
        <f>_xlfn.XLOOKUP(Log_Reseau_Master[[#This Row],[Cell_ID]],_29_03_2026_Registre_Maintenance_V2[ID_Antenne],_29_03_2026_Registre_Maintenance_V2[Province_RDC],"Pas de correspondance")</f>
        <v>Pas de correspondance</v>
      </c>
      <c r="G1022" t="str">
        <f>_xlfn.XLOOKUP(Log_Reseau_Master[[#This Row],[Cell_ID]],_29_03_2026_Registre_Maintenance_V2[ID_Antenne],_29_03_2026_Registre_Maintenance_V2[Technologie],"Pas de correspondance")</f>
        <v>Pas de correspondance</v>
      </c>
      <c r="H1022" t="str">
        <f>_xlfn.XLOOKUP(Log_Reseau_Master[[#This Row],[Cell_ID]],_29_03_2026_Registre_Maintenance_V2[ID_Antenne],_29_03_2026_Registre_Maintenance_V2[Equipementier],"Pas de correspondance")</f>
        <v>Pas de correspondance</v>
      </c>
    </row>
    <row r="1023" spans="1:8" hidden="1" x14ac:dyDescent="0.25">
      <c r="A1023" s="1">
        <v>45209.940972222219</v>
      </c>
      <c r="B1023">
        <f>Log_Reseau_Master[[#This Row],[Duree_Panne_Min]]/1440</f>
        <v>2.0833333333333332E-2</v>
      </c>
      <c r="C1023" t="s">
        <v>1658</v>
      </c>
      <c r="D1023">
        <v>30</v>
      </c>
      <c r="E1023" t="s">
        <v>1321</v>
      </c>
      <c r="F1023" t="str">
        <f>_xlfn.XLOOKUP(Log_Reseau_Master[[#This Row],[Cell_ID]],_29_03_2026_Registre_Maintenance_V2[ID_Antenne],_29_03_2026_Registre_Maintenance_V2[Province_RDC],"Pas de correspondance")</f>
        <v>Pas de correspondance</v>
      </c>
      <c r="G1023" t="str">
        <f>_xlfn.XLOOKUP(Log_Reseau_Master[[#This Row],[Cell_ID]],_29_03_2026_Registre_Maintenance_V2[ID_Antenne],_29_03_2026_Registre_Maintenance_V2[Technologie],"Pas de correspondance")</f>
        <v>Pas de correspondance</v>
      </c>
      <c r="H1023" t="str">
        <f>_xlfn.XLOOKUP(Log_Reseau_Master[[#This Row],[Cell_ID]],_29_03_2026_Registre_Maintenance_V2[ID_Antenne],_29_03_2026_Registre_Maintenance_V2[Equipementier],"Pas de correspondance")</f>
        <v>Pas de correspondance</v>
      </c>
    </row>
    <row r="1024" spans="1:8" hidden="1" x14ac:dyDescent="0.25">
      <c r="A1024" s="1">
        <v>45208.529861111114</v>
      </c>
      <c r="B1024">
        <f>Log_Reseau_Master[[#This Row],[Duree_Panne_Min]]/1440</f>
        <v>0.05</v>
      </c>
      <c r="C1024" t="s">
        <v>1659</v>
      </c>
      <c r="D1024">
        <v>72</v>
      </c>
      <c r="E1024" t="s">
        <v>1321</v>
      </c>
      <c r="F1024" t="str">
        <f>_xlfn.XLOOKUP(Log_Reseau_Master[[#This Row],[Cell_ID]],_29_03_2026_Registre_Maintenance_V2[ID_Antenne],_29_03_2026_Registre_Maintenance_V2[Province_RDC],"Pas de correspondance")</f>
        <v>Pas de correspondance</v>
      </c>
      <c r="G1024" t="str">
        <f>_xlfn.XLOOKUP(Log_Reseau_Master[[#This Row],[Cell_ID]],_29_03_2026_Registre_Maintenance_V2[ID_Antenne],_29_03_2026_Registre_Maintenance_V2[Technologie],"Pas de correspondance")</f>
        <v>Pas de correspondance</v>
      </c>
      <c r="H1024" t="str">
        <f>_xlfn.XLOOKUP(Log_Reseau_Master[[#This Row],[Cell_ID]],_29_03_2026_Registre_Maintenance_V2[ID_Antenne],_29_03_2026_Registre_Maintenance_V2[Equipementier],"Pas de correspondance")</f>
        <v>Pas de correspondance</v>
      </c>
    </row>
    <row r="1025" spans="1:8" x14ac:dyDescent="0.25">
      <c r="A1025" s="1">
        <v>45230.638888888891</v>
      </c>
      <c r="B1025" s="4">
        <f>Log_Reseau_Master[[#This Row],[Duree_Panne_Min]]/1440</f>
        <v>5.347222222222222E-2</v>
      </c>
      <c r="C1025" t="s">
        <v>297</v>
      </c>
      <c r="D1025">
        <v>77</v>
      </c>
      <c r="E1025" t="s">
        <v>1312</v>
      </c>
      <c r="F1025" t="str">
        <f>_xlfn.XLOOKUP(Log_Reseau_Master[[#This Row],[Cell_ID]],_29_03_2026_Registre_Maintenance_V2[ID_Antenne],_29_03_2026_Registre_Maintenance_V2[Province_RDC],"Pas de correspondance")</f>
        <v>Kinshasa</v>
      </c>
      <c r="G1025" t="str">
        <f>_xlfn.XLOOKUP(Log_Reseau_Master[[#This Row],[Cell_ID]],_29_03_2026_Registre_Maintenance_V2[ID_Antenne],_29_03_2026_Registre_Maintenance_V2[Technologie],"Pas de correspondance")</f>
        <v>5G</v>
      </c>
      <c r="H1025" t="str">
        <f>_xlfn.XLOOKUP(Log_Reseau_Master[[#This Row],[Cell_ID]],_29_03_2026_Registre_Maintenance_V2[ID_Antenne],_29_03_2026_Registre_Maintenance_V2[Equipementier],"Pas de correspondance")</f>
        <v>Nokia</v>
      </c>
    </row>
    <row r="1026" spans="1:8" x14ac:dyDescent="0.25">
      <c r="A1026" s="1">
        <v>45211.337500000001</v>
      </c>
      <c r="B1026" s="4">
        <f>Log_Reseau_Master[[#This Row],[Duree_Panne_Min]]/1440</f>
        <v>6.1111111111111109E-2</v>
      </c>
      <c r="C1026" t="s">
        <v>325</v>
      </c>
      <c r="D1026">
        <v>88</v>
      </c>
      <c r="E1026" t="s">
        <v>1312</v>
      </c>
      <c r="F1026" t="str">
        <f>_xlfn.XLOOKUP(Log_Reseau_Master[[#This Row],[Cell_ID]],_29_03_2026_Registre_Maintenance_V2[ID_Antenne],_29_03_2026_Registre_Maintenance_V2[Province_RDC],"Pas de correspondance")</f>
        <v>Ituri</v>
      </c>
      <c r="G1026" t="str">
        <f>_xlfn.XLOOKUP(Log_Reseau_Master[[#This Row],[Cell_ID]],_29_03_2026_Registre_Maintenance_V2[ID_Antenne],_29_03_2026_Registre_Maintenance_V2[Technologie],"Pas de correspondance")</f>
        <v>3G</v>
      </c>
      <c r="H1026" t="str">
        <f>_xlfn.XLOOKUP(Log_Reseau_Master[[#This Row],[Cell_ID]],_29_03_2026_Registre_Maintenance_V2[ID_Antenne],_29_03_2026_Registre_Maintenance_V2[Equipementier],"Pas de correspondance")</f>
        <v>Nokia</v>
      </c>
    </row>
    <row r="1027" spans="1:8" hidden="1" x14ac:dyDescent="0.25">
      <c r="A1027" s="1">
        <v>45205.102777777778</v>
      </c>
      <c r="B1027">
        <f>Log_Reseau_Master[[#This Row],[Duree_Panne_Min]]/1440</f>
        <v>5.8333333333333334E-2</v>
      </c>
      <c r="C1027" t="s">
        <v>1660</v>
      </c>
      <c r="D1027">
        <v>84</v>
      </c>
      <c r="E1027" t="s">
        <v>1321</v>
      </c>
      <c r="F1027" t="str">
        <f>_xlfn.XLOOKUP(Log_Reseau_Master[[#This Row],[Cell_ID]],_29_03_2026_Registre_Maintenance_V2[ID_Antenne],_29_03_2026_Registre_Maintenance_V2[Province_RDC],"Pas de correspondance")</f>
        <v>Pas de correspondance</v>
      </c>
      <c r="G1027" t="str">
        <f>_xlfn.XLOOKUP(Log_Reseau_Master[[#This Row],[Cell_ID]],_29_03_2026_Registre_Maintenance_V2[ID_Antenne],_29_03_2026_Registre_Maintenance_V2[Technologie],"Pas de correspondance")</f>
        <v>Pas de correspondance</v>
      </c>
      <c r="H1027" t="str">
        <f>_xlfn.XLOOKUP(Log_Reseau_Master[[#This Row],[Cell_ID]],_29_03_2026_Registre_Maintenance_V2[ID_Antenne],_29_03_2026_Registre_Maintenance_V2[Equipementier],"Pas de correspondance")</f>
        <v>Pas de correspondance</v>
      </c>
    </row>
    <row r="1028" spans="1:8" hidden="1" x14ac:dyDescent="0.25">
      <c r="A1028" s="1">
        <v>45201.670138888891</v>
      </c>
      <c r="B1028">
        <f>Log_Reseau_Master[[#This Row],[Duree_Panne_Min]]/1440</f>
        <v>1.5277777777777777E-2</v>
      </c>
      <c r="C1028" t="s">
        <v>1661</v>
      </c>
      <c r="D1028">
        <v>22</v>
      </c>
      <c r="E1028" t="s">
        <v>1321</v>
      </c>
      <c r="F1028" t="str">
        <f>_xlfn.XLOOKUP(Log_Reseau_Master[[#This Row],[Cell_ID]],_29_03_2026_Registre_Maintenance_V2[ID_Antenne],_29_03_2026_Registre_Maintenance_V2[Province_RDC],"Pas de correspondance")</f>
        <v>Pas de correspondance</v>
      </c>
      <c r="G1028" t="str">
        <f>_xlfn.XLOOKUP(Log_Reseau_Master[[#This Row],[Cell_ID]],_29_03_2026_Registre_Maintenance_V2[ID_Antenne],_29_03_2026_Registre_Maintenance_V2[Technologie],"Pas de correspondance")</f>
        <v>Pas de correspondance</v>
      </c>
      <c r="H1028" t="str">
        <f>_xlfn.XLOOKUP(Log_Reseau_Master[[#This Row],[Cell_ID]],_29_03_2026_Registre_Maintenance_V2[ID_Antenne],_29_03_2026_Registre_Maintenance_V2[Equipementier],"Pas de correspondance")</f>
        <v>Pas de correspondance</v>
      </c>
    </row>
    <row r="1029" spans="1:8" hidden="1" x14ac:dyDescent="0.25">
      <c r="A1029" s="1">
        <v>45219.997916666667</v>
      </c>
      <c r="B1029">
        <f>Log_Reseau_Master[[#This Row],[Duree_Panne_Min]]/1440</f>
        <v>7.0833333333333331E-2</v>
      </c>
      <c r="C1029" t="s">
        <v>1661</v>
      </c>
      <c r="D1029">
        <v>102</v>
      </c>
      <c r="E1029" t="s">
        <v>1312</v>
      </c>
      <c r="F1029" t="str">
        <f>_xlfn.XLOOKUP(Log_Reseau_Master[[#This Row],[Cell_ID]],_29_03_2026_Registre_Maintenance_V2[ID_Antenne],_29_03_2026_Registre_Maintenance_V2[Province_RDC],"Pas de correspondance")</f>
        <v>Pas de correspondance</v>
      </c>
      <c r="G1029" t="str">
        <f>_xlfn.XLOOKUP(Log_Reseau_Master[[#This Row],[Cell_ID]],_29_03_2026_Registre_Maintenance_V2[ID_Antenne],_29_03_2026_Registre_Maintenance_V2[Technologie],"Pas de correspondance")</f>
        <v>Pas de correspondance</v>
      </c>
      <c r="H1029" t="str">
        <f>_xlfn.XLOOKUP(Log_Reseau_Master[[#This Row],[Cell_ID]],_29_03_2026_Registre_Maintenance_V2[ID_Antenne],_29_03_2026_Registre_Maintenance_V2[Equipementier],"Pas de correspondance")</f>
        <v>Pas de correspondance</v>
      </c>
    </row>
    <row r="1030" spans="1:8" hidden="1" x14ac:dyDescent="0.25">
      <c r="A1030" s="1">
        <v>45225.177083333336</v>
      </c>
      <c r="B1030">
        <f>Log_Reseau_Master[[#This Row],[Duree_Panne_Min]]/1440</f>
        <v>2.5000000000000001E-2</v>
      </c>
      <c r="C1030" t="s">
        <v>1662</v>
      </c>
      <c r="D1030">
        <v>36</v>
      </c>
      <c r="E1030" t="s">
        <v>1321</v>
      </c>
      <c r="F1030" t="str">
        <f>_xlfn.XLOOKUP(Log_Reseau_Master[[#This Row],[Cell_ID]],_29_03_2026_Registre_Maintenance_V2[ID_Antenne],_29_03_2026_Registre_Maintenance_V2[Province_RDC],"Pas de correspondance")</f>
        <v>Pas de correspondance</v>
      </c>
      <c r="G1030" t="str">
        <f>_xlfn.XLOOKUP(Log_Reseau_Master[[#This Row],[Cell_ID]],_29_03_2026_Registre_Maintenance_V2[ID_Antenne],_29_03_2026_Registre_Maintenance_V2[Technologie],"Pas de correspondance")</f>
        <v>Pas de correspondance</v>
      </c>
      <c r="H1030" t="str">
        <f>_xlfn.XLOOKUP(Log_Reseau_Master[[#This Row],[Cell_ID]],_29_03_2026_Registre_Maintenance_V2[ID_Antenne],_29_03_2026_Registre_Maintenance_V2[Equipementier],"Pas de correspondance")</f>
        <v>Pas de correspondance</v>
      </c>
    </row>
    <row r="1031" spans="1:8" x14ac:dyDescent="0.25">
      <c r="A1031" s="1">
        <v>45215.67291666667</v>
      </c>
      <c r="B1031" s="4">
        <f>Log_Reseau_Master[[#This Row],[Duree_Panne_Min]]/1440</f>
        <v>8.1250000000000003E-2</v>
      </c>
      <c r="C1031" t="s">
        <v>363</v>
      </c>
      <c r="D1031">
        <v>117</v>
      </c>
      <c r="E1031" t="s">
        <v>1321</v>
      </c>
      <c r="F1031" t="str">
        <f>_xlfn.XLOOKUP(Log_Reseau_Master[[#This Row],[Cell_ID]],_29_03_2026_Registre_Maintenance_V2[ID_Antenne],_29_03_2026_Registre_Maintenance_V2[Province_RDC],"Pas de correspondance")</f>
        <v>Nord-Kivu</v>
      </c>
      <c r="G1031" t="str">
        <f>_xlfn.XLOOKUP(Log_Reseau_Master[[#This Row],[Cell_ID]],_29_03_2026_Registre_Maintenance_V2[ID_Antenne],_29_03_2026_Registre_Maintenance_V2[Technologie],"Pas de correspondance")</f>
        <v>3G</v>
      </c>
      <c r="H1031" t="str">
        <f>_xlfn.XLOOKUP(Log_Reseau_Master[[#This Row],[Cell_ID]],_29_03_2026_Registre_Maintenance_V2[ID_Antenne],_29_03_2026_Registre_Maintenance_V2[Equipementier],"Pas de correspondance")</f>
        <v>Huawei</v>
      </c>
    </row>
    <row r="1032" spans="1:8" x14ac:dyDescent="0.25">
      <c r="A1032" s="1">
        <v>45207.982638888891</v>
      </c>
      <c r="B1032" s="4">
        <f>Log_Reseau_Master[[#This Row],[Duree_Panne_Min]]/1440</f>
        <v>1.7361111111111112E-2</v>
      </c>
      <c r="C1032" t="s">
        <v>363</v>
      </c>
      <c r="D1032">
        <v>25</v>
      </c>
      <c r="E1032" t="s">
        <v>1321</v>
      </c>
      <c r="F1032" t="str">
        <f>_xlfn.XLOOKUP(Log_Reseau_Master[[#This Row],[Cell_ID]],_29_03_2026_Registre_Maintenance_V2[ID_Antenne],_29_03_2026_Registre_Maintenance_V2[Province_RDC],"Pas de correspondance")</f>
        <v>Nord-Kivu</v>
      </c>
      <c r="G1032" t="str">
        <f>_xlfn.XLOOKUP(Log_Reseau_Master[[#This Row],[Cell_ID]],_29_03_2026_Registre_Maintenance_V2[ID_Antenne],_29_03_2026_Registre_Maintenance_V2[Technologie],"Pas de correspondance")</f>
        <v>3G</v>
      </c>
      <c r="H1032" t="str">
        <f>_xlfn.XLOOKUP(Log_Reseau_Master[[#This Row],[Cell_ID]],_29_03_2026_Registre_Maintenance_V2[ID_Antenne],_29_03_2026_Registre_Maintenance_V2[Equipementier],"Pas de correspondance")</f>
        <v>Huawei</v>
      </c>
    </row>
    <row r="1033" spans="1:8" hidden="1" x14ac:dyDescent="0.25">
      <c r="A1033" s="1">
        <v>45201.35</v>
      </c>
      <c r="B1033">
        <f>Log_Reseau_Master[[#This Row],[Duree_Panne_Min]]/1440</f>
        <v>5.0694444444444445E-2</v>
      </c>
      <c r="C1033" t="s">
        <v>1663</v>
      </c>
      <c r="D1033">
        <v>73</v>
      </c>
      <c r="E1033" t="s">
        <v>1314</v>
      </c>
      <c r="F1033" t="str">
        <f>_xlfn.XLOOKUP(Log_Reseau_Master[[#This Row],[Cell_ID]],_29_03_2026_Registre_Maintenance_V2[ID_Antenne],_29_03_2026_Registre_Maintenance_V2[Province_RDC],"Pas de correspondance")</f>
        <v>Pas de correspondance</v>
      </c>
      <c r="G1033" t="str">
        <f>_xlfn.XLOOKUP(Log_Reseau_Master[[#This Row],[Cell_ID]],_29_03_2026_Registre_Maintenance_V2[ID_Antenne],_29_03_2026_Registre_Maintenance_V2[Technologie],"Pas de correspondance")</f>
        <v>Pas de correspondance</v>
      </c>
      <c r="H1033" t="str">
        <f>_xlfn.XLOOKUP(Log_Reseau_Master[[#This Row],[Cell_ID]],_29_03_2026_Registre_Maintenance_V2[ID_Antenne],_29_03_2026_Registre_Maintenance_V2[Equipementier],"Pas de correspondance")</f>
        <v>Pas de correspondance</v>
      </c>
    </row>
    <row r="1034" spans="1:8" hidden="1" x14ac:dyDescent="0.25">
      <c r="A1034" s="1">
        <v>45217.818749999999</v>
      </c>
      <c r="B1034">
        <f>Log_Reseau_Master[[#This Row],[Duree_Panne_Min]]/1440</f>
        <v>6.9444444444444448E-2</v>
      </c>
      <c r="C1034" t="s">
        <v>1663</v>
      </c>
      <c r="D1034">
        <v>100</v>
      </c>
      <c r="E1034" t="s">
        <v>1314</v>
      </c>
      <c r="F1034" t="str">
        <f>_xlfn.XLOOKUP(Log_Reseau_Master[[#This Row],[Cell_ID]],_29_03_2026_Registre_Maintenance_V2[ID_Antenne],_29_03_2026_Registre_Maintenance_V2[Province_RDC],"Pas de correspondance")</f>
        <v>Pas de correspondance</v>
      </c>
      <c r="G1034" t="str">
        <f>_xlfn.XLOOKUP(Log_Reseau_Master[[#This Row],[Cell_ID]],_29_03_2026_Registre_Maintenance_V2[ID_Antenne],_29_03_2026_Registre_Maintenance_V2[Technologie],"Pas de correspondance")</f>
        <v>Pas de correspondance</v>
      </c>
      <c r="H1034" t="str">
        <f>_xlfn.XLOOKUP(Log_Reseau_Master[[#This Row],[Cell_ID]],_29_03_2026_Registre_Maintenance_V2[ID_Antenne],_29_03_2026_Registre_Maintenance_V2[Equipementier],"Pas de correspondance")</f>
        <v>Pas de correspondance</v>
      </c>
    </row>
    <row r="1035" spans="1:8" hidden="1" x14ac:dyDescent="0.25">
      <c r="A1035" s="1">
        <v>45202.289583333331</v>
      </c>
      <c r="B1035">
        <f>Log_Reseau_Master[[#This Row],[Duree_Panne_Min]]/1440</f>
        <v>7.1527777777777773E-2</v>
      </c>
      <c r="C1035" t="s">
        <v>1663</v>
      </c>
      <c r="D1035">
        <v>103</v>
      </c>
      <c r="E1035" t="s">
        <v>1312</v>
      </c>
      <c r="F1035" t="str">
        <f>_xlfn.XLOOKUP(Log_Reseau_Master[[#This Row],[Cell_ID]],_29_03_2026_Registre_Maintenance_V2[ID_Antenne],_29_03_2026_Registre_Maintenance_V2[Province_RDC],"Pas de correspondance")</f>
        <v>Pas de correspondance</v>
      </c>
      <c r="G1035" t="str">
        <f>_xlfn.XLOOKUP(Log_Reseau_Master[[#This Row],[Cell_ID]],_29_03_2026_Registre_Maintenance_V2[ID_Antenne],_29_03_2026_Registre_Maintenance_V2[Technologie],"Pas de correspondance")</f>
        <v>Pas de correspondance</v>
      </c>
      <c r="H1035" t="str">
        <f>_xlfn.XLOOKUP(Log_Reseau_Master[[#This Row],[Cell_ID]],_29_03_2026_Registre_Maintenance_V2[ID_Antenne],_29_03_2026_Registre_Maintenance_V2[Equipementier],"Pas de correspondance")</f>
        <v>Pas de correspondance</v>
      </c>
    </row>
    <row r="1036" spans="1:8" hidden="1" x14ac:dyDescent="0.25">
      <c r="A1036" s="1">
        <v>45217.701388888891</v>
      </c>
      <c r="B1036">
        <f>Log_Reseau_Master[[#This Row],[Duree_Panne_Min]]/1440</f>
        <v>4.9305555555555554E-2</v>
      </c>
      <c r="C1036" t="s">
        <v>1663</v>
      </c>
      <c r="D1036">
        <v>71</v>
      </c>
      <c r="E1036" t="s">
        <v>1312</v>
      </c>
      <c r="F1036" t="str">
        <f>_xlfn.XLOOKUP(Log_Reseau_Master[[#This Row],[Cell_ID]],_29_03_2026_Registre_Maintenance_V2[ID_Antenne],_29_03_2026_Registre_Maintenance_V2[Province_RDC],"Pas de correspondance")</f>
        <v>Pas de correspondance</v>
      </c>
      <c r="G1036" t="str">
        <f>_xlfn.XLOOKUP(Log_Reseau_Master[[#This Row],[Cell_ID]],_29_03_2026_Registre_Maintenance_V2[ID_Antenne],_29_03_2026_Registre_Maintenance_V2[Technologie],"Pas de correspondance")</f>
        <v>Pas de correspondance</v>
      </c>
      <c r="H1036" t="str">
        <f>_xlfn.XLOOKUP(Log_Reseau_Master[[#This Row],[Cell_ID]],_29_03_2026_Registre_Maintenance_V2[ID_Antenne],_29_03_2026_Registre_Maintenance_V2[Equipementier],"Pas de correspondance")</f>
        <v>Pas de correspondance</v>
      </c>
    </row>
    <row r="1037" spans="1:8" x14ac:dyDescent="0.25">
      <c r="A1037" s="1">
        <v>45205.768750000003</v>
      </c>
      <c r="B1037" s="4">
        <f>Log_Reseau_Master[[#This Row],[Duree_Panne_Min]]/1440</f>
        <v>2.5000000000000001E-2</v>
      </c>
      <c r="C1037" t="s">
        <v>212</v>
      </c>
      <c r="D1037">
        <v>36</v>
      </c>
      <c r="E1037" t="s">
        <v>1314</v>
      </c>
      <c r="F1037" t="str">
        <f>_xlfn.XLOOKUP(Log_Reseau_Master[[#This Row],[Cell_ID]],_29_03_2026_Registre_Maintenance_V2[ID_Antenne],_29_03_2026_Registre_Maintenance_V2[Province_RDC],"Pas de correspondance")</f>
        <v>Kongo-Central</v>
      </c>
      <c r="G1037" t="str">
        <f>_xlfn.XLOOKUP(Log_Reseau_Master[[#This Row],[Cell_ID]],_29_03_2026_Registre_Maintenance_V2[ID_Antenne],_29_03_2026_Registre_Maintenance_V2[Technologie],"Pas de correspondance")</f>
        <v>3G</v>
      </c>
      <c r="H1037" t="str">
        <f>_xlfn.XLOOKUP(Log_Reseau_Master[[#This Row],[Cell_ID]],_29_03_2026_Registre_Maintenance_V2[ID_Antenne],_29_03_2026_Registre_Maintenance_V2[Equipementier],"Pas de correspondance")</f>
        <v>Ericsson</v>
      </c>
    </row>
    <row r="1038" spans="1:8" hidden="1" x14ac:dyDescent="0.25">
      <c r="A1038" s="1">
        <v>45203.810416666667</v>
      </c>
      <c r="B1038">
        <f>Log_Reseau_Master[[#This Row],[Duree_Panne_Min]]/1440</f>
        <v>5.4166666666666669E-2</v>
      </c>
      <c r="C1038" t="s">
        <v>1664</v>
      </c>
      <c r="D1038">
        <v>78</v>
      </c>
      <c r="E1038" t="s">
        <v>1321</v>
      </c>
      <c r="F1038" t="str">
        <f>_xlfn.XLOOKUP(Log_Reseau_Master[[#This Row],[Cell_ID]],_29_03_2026_Registre_Maintenance_V2[ID_Antenne],_29_03_2026_Registre_Maintenance_V2[Province_RDC],"Pas de correspondance")</f>
        <v>Pas de correspondance</v>
      </c>
      <c r="G1038" t="str">
        <f>_xlfn.XLOOKUP(Log_Reseau_Master[[#This Row],[Cell_ID]],_29_03_2026_Registre_Maintenance_V2[ID_Antenne],_29_03_2026_Registre_Maintenance_V2[Technologie],"Pas de correspondance")</f>
        <v>Pas de correspondance</v>
      </c>
      <c r="H1038" t="str">
        <f>_xlfn.XLOOKUP(Log_Reseau_Master[[#This Row],[Cell_ID]],_29_03_2026_Registre_Maintenance_V2[ID_Antenne],_29_03_2026_Registre_Maintenance_V2[Equipementier],"Pas de correspondance")</f>
        <v>Pas de correspondance</v>
      </c>
    </row>
    <row r="1039" spans="1:8" hidden="1" x14ac:dyDescent="0.25">
      <c r="A1039" s="1">
        <v>45213.584722222222</v>
      </c>
      <c r="B1039">
        <f>Log_Reseau_Master[[#This Row],[Duree_Panne_Min]]/1440</f>
        <v>2.4305555555555556E-2</v>
      </c>
      <c r="C1039" t="s">
        <v>1665</v>
      </c>
      <c r="D1039">
        <v>35</v>
      </c>
      <c r="E1039" t="s">
        <v>1312</v>
      </c>
      <c r="F1039" t="str">
        <f>_xlfn.XLOOKUP(Log_Reseau_Master[[#This Row],[Cell_ID]],_29_03_2026_Registre_Maintenance_V2[ID_Antenne],_29_03_2026_Registre_Maintenance_V2[Province_RDC],"Pas de correspondance")</f>
        <v>Pas de correspondance</v>
      </c>
      <c r="G1039" t="str">
        <f>_xlfn.XLOOKUP(Log_Reseau_Master[[#This Row],[Cell_ID]],_29_03_2026_Registre_Maintenance_V2[ID_Antenne],_29_03_2026_Registre_Maintenance_V2[Technologie],"Pas de correspondance")</f>
        <v>Pas de correspondance</v>
      </c>
      <c r="H1039" t="str">
        <f>_xlfn.XLOOKUP(Log_Reseau_Master[[#This Row],[Cell_ID]],_29_03_2026_Registre_Maintenance_V2[ID_Antenne],_29_03_2026_Registre_Maintenance_V2[Equipementier],"Pas de correspondance")</f>
        <v>Pas de correspondance</v>
      </c>
    </row>
    <row r="1040" spans="1:8" x14ac:dyDescent="0.25">
      <c r="A1040" s="1">
        <v>45225.888194444444</v>
      </c>
      <c r="B1040" s="4">
        <f>Log_Reseau_Master[[#This Row],[Duree_Panne_Min]]/1440</f>
        <v>6.0416666666666667E-2</v>
      </c>
      <c r="C1040" t="s">
        <v>155</v>
      </c>
      <c r="D1040">
        <v>87</v>
      </c>
      <c r="E1040" t="s">
        <v>1321</v>
      </c>
      <c r="F1040" t="str">
        <f>_xlfn.XLOOKUP(Log_Reseau_Master[[#This Row],[Cell_ID]],_29_03_2026_Registre_Maintenance_V2[ID_Antenne],_29_03_2026_Registre_Maintenance_V2[Province_RDC],"Pas de correspondance")</f>
        <v>Haut-Lomami</v>
      </c>
      <c r="G1040" t="str">
        <f>_xlfn.XLOOKUP(Log_Reseau_Master[[#This Row],[Cell_ID]],_29_03_2026_Registre_Maintenance_V2[ID_Antenne],_29_03_2026_Registre_Maintenance_V2[Technologie],"Pas de correspondance")</f>
        <v>5G</v>
      </c>
      <c r="H1040" t="str">
        <f>_xlfn.XLOOKUP(Log_Reseau_Master[[#This Row],[Cell_ID]],_29_03_2026_Registre_Maintenance_V2[ID_Antenne],_29_03_2026_Registre_Maintenance_V2[Equipementier],"Pas de correspondance")</f>
        <v>Huawei</v>
      </c>
    </row>
    <row r="1041" spans="1:8" hidden="1" x14ac:dyDescent="0.25">
      <c r="A1041" s="1">
        <v>45226.895138888889</v>
      </c>
      <c r="B1041">
        <f>Log_Reseau_Master[[#This Row],[Duree_Panne_Min]]/1440</f>
        <v>2.9166666666666667E-2</v>
      </c>
      <c r="C1041" t="s">
        <v>1666</v>
      </c>
      <c r="D1041">
        <v>42</v>
      </c>
      <c r="E1041" t="s">
        <v>1314</v>
      </c>
      <c r="F1041" t="str">
        <f>_xlfn.XLOOKUP(Log_Reseau_Master[[#This Row],[Cell_ID]],_29_03_2026_Registre_Maintenance_V2[ID_Antenne],_29_03_2026_Registre_Maintenance_V2[Province_RDC],"Pas de correspondance")</f>
        <v>Pas de correspondance</v>
      </c>
      <c r="G1041" t="str">
        <f>_xlfn.XLOOKUP(Log_Reseau_Master[[#This Row],[Cell_ID]],_29_03_2026_Registre_Maintenance_V2[ID_Antenne],_29_03_2026_Registre_Maintenance_V2[Technologie],"Pas de correspondance")</f>
        <v>Pas de correspondance</v>
      </c>
      <c r="H1041" t="str">
        <f>_xlfn.XLOOKUP(Log_Reseau_Master[[#This Row],[Cell_ID]],_29_03_2026_Registre_Maintenance_V2[ID_Antenne],_29_03_2026_Registre_Maintenance_V2[Equipementier],"Pas de correspondance")</f>
        <v>Pas de correspondance</v>
      </c>
    </row>
    <row r="1042" spans="1:8" hidden="1" x14ac:dyDescent="0.25">
      <c r="A1042" s="1">
        <v>45223.513888888891</v>
      </c>
      <c r="B1042">
        <f>Log_Reseau_Master[[#This Row],[Duree_Panne_Min]]/1440</f>
        <v>7.5694444444444439E-2</v>
      </c>
      <c r="C1042" t="s">
        <v>1666</v>
      </c>
      <c r="D1042">
        <v>109</v>
      </c>
      <c r="E1042" t="s">
        <v>1312</v>
      </c>
      <c r="F1042" t="str">
        <f>_xlfn.XLOOKUP(Log_Reseau_Master[[#This Row],[Cell_ID]],_29_03_2026_Registre_Maintenance_V2[ID_Antenne],_29_03_2026_Registre_Maintenance_V2[Province_RDC],"Pas de correspondance")</f>
        <v>Pas de correspondance</v>
      </c>
      <c r="G1042" t="str">
        <f>_xlfn.XLOOKUP(Log_Reseau_Master[[#This Row],[Cell_ID]],_29_03_2026_Registre_Maintenance_V2[ID_Antenne],_29_03_2026_Registre_Maintenance_V2[Technologie],"Pas de correspondance")</f>
        <v>Pas de correspondance</v>
      </c>
      <c r="H1042" t="str">
        <f>_xlfn.XLOOKUP(Log_Reseau_Master[[#This Row],[Cell_ID]],_29_03_2026_Registre_Maintenance_V2[ID_Antenne],_29_03_2026_Registre_Maintenance_V2[Equipementier],"Pas de correspondance")</f>
        <v>Pas de correspondance</v>
      </c>
    </row>
    <row r="1043" spans="1:8" hidden="1" x14ac:dyDescent="0.25">
      <c r="A1043" s="1">
        <v>45208.494444444441</v>
      </c>
      <c r="B1043">
        <f>Log_Reseau_Master[[#This Row],[Duree_Panne_Min]]/1440</f>
        <v>4.0972222222222222E-2</v>
      </c>
      <c r="C1043" t="s">
        <v>1666</v>
      </c>
      <c r="D1043">
        <v>59</v>
      </c>
      <c r="E1043" t="s">
        <v>1312</v>
      </c>
      <c r="F1043" t="str">
        <f>_xlfn.XLOOKUP(Log_Reseau_Master[[#This Row],[Cell_ID]],_29_03_2026_Registre_Maintenance_V2[ID_Antenne],_29_03_2026_Registre_Maintenance_V2[Province_RDC],"Pas de correspondance")</f>
        <v>Pas de correspondance</v>
      </c>
      <c r="G1043" t="str">
        <f>_xlfn.XLOOKUP(Log_Reseau_Master[[#This Row],[Cell_ID]],_29_03_2026_Registre_Maintenance_V2[ID_Antenne],_29_03_2026_Registre_Maintenance_V2[Technologie],"Pas de correspondance")</f>
        <v>Pas de correspondance</v>
      </c>
      <c r="H1043" t="str">
        <f>_xlfn.XLOOKUP(Log_Reseau_Master[[#This Row],[Cell_ID]],_29_03_2026_Registre_Maintenance_V2[ID_Antenne],_29_03_2026_Registre_Maintenance_V2[Equipementier],"Pas de correspondance")</f>
        <v>Pas de correspondance</v>
      </c>
    </row>
    <row r="1044" spans="1:8" hidden="1" x14ac:dyDescent="0.25">
      <c r="A1044" s="1">
        <v>45204.962500000001</v>
      </c>
      <c r="B1044">
        <f>Log_Reseau_Master[[#This Row],[Duree_Panne_Min]]/1440</f>
        <v>6.9444444444444448E-2</v>
      </c>
      <c r="C1044" t="s">
        <v>1667</v>
      </c>
      <c r="D1044">
        <v>100</v>
      </c>
      <c r="E1044" t="s">
        <v>1312</v>
      </c>
      <c r="F1044" t="str">
        <f>_xlfn.XLOOKUP(Log_Reseau_Master[[#This Row],[Cell_ID]],_29_03_2026_Registre_Maintenance_V2[ID_Antenne],_29_03_2026_Registre_Maintenance_V2[Province_RDC],"Pas de correspondance")</f>
        <v>Pas de correspondance</v>
      </c>
      <c r="G1044" t="str">
        <f>_xlfn.XLOOKUP(Log_Reseau_Master[[#This Row],[Cell_ID]],_29_03_2026_Registre_Maintenance_V2[ID_Antenne],_29_03_2026_Registre_Maintenance_V2[Technologie],"Pas de correspondance")</f>
        <v>Pas de correspondance</v>
      </c>
      <c r="H1044" t="str">
        <f>_xlfn.XLOOKUP(Log_Reseau_Master[[#This Row],[Cell_ID]],_29_03_2026_Registre_Maintenance_V2[ID_Antenne],_29_03_2026_Registre_Maintenance_V2[Equipementier],"Pas de correspondance")</f>
        <v>Pas de correspondance</v>
      </c>
    </row>
    <row r="1045" spans="1:8" hidden="1" x14ac:dyDescent="0.25">
      <c r="A1045" s="1">
        <v>45224.378472222219</v>
      </c>
      <c r="B1045">
        <f>Log_Reseau_Master[[#This Row],[Duree_Panne_Min]]/1440</f>
        <v>3.6805555555555557E-2</v>
      </c>
      <c r="C1045" t="s">
        <v>1667</v>
      </c>
      <c r="D1045">
        <v>53</v>
      </c>
      <c r="E1045" t="s">
        <v>1321</v>
      </c>
      <c r="F1045" t="str">
        <f>_xlfn.XLOOKUP(Log_Reseau_Master[[#This Row],[Cell_ID]],_29_03_2026_Registre_Maintenance_V2[ID_Antenne],_29_03_2026_Registre_Maintenance_V2[Province_RDC],"Pas de correspondance")</f>
        <v>Pas de correspondance</v>
      </c>
      <c r="G1045" t="str">
        <f>_xlfn.XLOOKUP(Log_Reseau_Master[[#This Row],[Cell_ID]],_29_03_2026_Registre_Maintenance_V2[ID_Antenne],_29_03_2026_Registre_Maintenance_V2[Technologie],"Pas de correspondance")</f>
        <v>Pas de correspondance</v>
      </c>
      <c r="H1045" t="str">
        <f>_xlfn.XLOOKUP(Log_Reseau_Master[[#This Row],[Cell_ID]],_29_03_2026_Registre_Maintenance_V2[ID_Antenne],_29_03_2026_Registre_Maintenance_V2[Equipementier],"Pas de correspondance")</f>
        <v>Pas de correspondance</v>
      </c>
    </row>
    <row r="1046" spans="1:8" hidden="1" x14ac:dyDescent="0.25">
      <c r="A1046" s="1">
        <v>45202.487500000003</v>
      </c>
      <c r="B1046">
        <f>Log_Reseau_Master[[#This Row],[Duree_Panne_Min]]/1440</f>
        <v>1.5277777777777777E-2</v>
      </c>
      <c r="C1046" t="s">
        <v>1668</v>
      </c>
      <c r="D1046">
        <v>22</v>
      </c>
      <c r="E1046" t="s">
        <v>1321</v>
      </c>
      <c r="F1046" t="str">
        <f>_xlfn.XLOOKUP(Log_Reseau_Master[[#This Row],[Cell_ID]],_29_03_2026_Registre_Maintenance_V2[ID_Antenne],_29_03_2026_Registre_Maintenance_V2[Province_RDC],"Pas de correspondance")</f>
        <v>Pas de correspondance</v>
      </c>
      <c r="G1046" t="str">
        <f>_xlfn.XLOOKUP(Log_Reseau_Master[[#This Row],[Cell_ID]],_29_03_2026_Registre_Maintenance_V2[ID_Antenne],_29_03_2026_Registre_Maintenance_V2[Technologie],"Pas de correspondance")</f>
        <v>Pas de correspondance</v>
      </c>
      <c r="H1046" t="str">
        <f>_xlfn.XLOOKUP(Log_Reseau_Master[[#This Row],[Cell_ID]],_29_03_2026_Registre_Maintenance_V2[ID_Antenne],_29_03_2026_Registre_Maintenance_V2[Equipementier],"Pas de correspondance")</f>
        <v>Pas de correspondance</v>
      </c>
    </row>
    <row r="1047" spans="1:8" hidden="1" x14ac:dyDescent="0.25">
      <c r="A1047" s="1">
        <v>45219.907638888886</v>
      </c>
      <c r="B1047">
        <f>Log_Reseau_Master[[#This Row],[Duree_Panne_Min]]/1440</f>
        <v>6.3888888888888884E-2</v>
      </c>
      <c r="C1047" t="s">
        <v>1669</v>
      </c>
      <c r="D1047">
        <v>92</v>
      </c>
      <c r="E1047" t="s">
        <v>1312</v>
      </c>
      <c r="F1047" t="str">
        <f>_xlfn.XLOOKUP(Log_Reseau_Master[[#This Row],[Cell_ID]],_29_03_2026_Registre_Maintenance_V2[ID_Antenne],_29_03_2026_Registre_Maintenance_V2[Province_RDC],"Pas de correspondance")</f>
        <v>Pas de correspondance</v>
      </c>
      <c r="G1047" t="str">
        <f>_xlfn.XLOOKUP(Log_Reseau_Master[[#This Row],[Cell_ID]],_29_03_2026_Registre_Maintenance_V2[ID_Antenne],_29_03_2026_Registre_Maintenance_V2[Technologie],"Pas de correspondance")</f>
        <v>Pas de correspondance</v>
      </c>
      <c r="H1047" t="str">
        <f>_xlfn.XLOOKUP(Log_Reseau_Master[[#This Row],[Cell_ID]],_29_03_2026_Registre_Maintenance_V2[ID_Antenne],_29_03_2026_Registre_Maintenance_V2[Equipementier],"Pas de correspondance")</f>
        <v>Pas de correspondance</v>
      </c>
    </row>
    <row r="1048" spans="1:8" hidden="1" x14ac:dyDescent="0.25">
      <c r="A1048" s="1">
        <v>45206.472222222219</v>
      </c>
      <c r="B1048">
        <f>Log_Reseau_Master[[#This Row],[Duree_Panne_Min]]/1440</f>
        <v>4.791666666666667E-2</v>
      </c>
      <c r="C1048" t="s">
        <v>1670</v>
      </c>
      <c r="D1048">
        <v>69</v>
      </c>
      <c r="E1048" t="s">
        <v>1321</v>
      </c>
      <c r="F1048" t="str">
        <f>_xlfn.XLOOKUP(Log_Reseau_Master[[#This Row],[Cell_ID]],_29_03_2026_Registre_Maintenance_V2[ID_Antenne],_29_03_2026_Registre_Maintenance_V2[Province_RDC],"Pas de correspondance")</f>
        <v>Pas de correspondance</v>
      </c>
      <c r="G1048" t="str">
        <f>_xlfn.XLOOKUP(Log_Reseau_Master[[#This Row],[Cell_ID]],_29_03_2026_Registre_Maintenance_V2[ID_Antenne],_29_03_2026_Registre_Maintenance_V2[Technologie],"Pas de correspondance")</f>
        <v>Pas de correspondance</v>
      </c>
      <c r="H1048" t="str">
        <f>_xlfn.XLOOKUP(Log_Reseau_Master[[#This Row],[Cell_ID]],_29_03_2026_Registre_Maintenance_V2[ID_Antenne],_29_03_2026_Registre_Maintenance_V2[Equipementier],"Pas de correspondance")</f>
        <v>Pas de correspondance</v>
      </c>
    </row>
    <row r="1049" spans="1:8" x14ac:dyDescent="0.25">
      <c r="A1049" s="1">
        <v>45209.907638888886</v>
      </c>
      <c r="B1049" s="4">
        <f>Log_Reseau_Master[[#This Row],[Duree_Panne_Min]]/1440</f>
        <v>6.8750000000000006E-2</v>
      </c>
      <c r="C1049" t="s">
        <v>405</v>
      </c>
      <c r="D1049">
        <v>99</v>
      </c>
      <c r="E1049" t="s">
        <v>1321</v>
      </c>
      <c r="F1049" t="str">
        <f>_xlfn.XLOOKUP(Log_Reseau_Master[[#This Row],[Cell_ID]],_29_03_2026_Registre_Maintenance_V2[ID_Antenne],_29_03_2026_Registre_Maintenance_V2[Province_RDC],"Pas de correspondance")</f>
        <v>Kasai</v>
      </c>
      <c r="G1049" t="str">
        <f>_xlfn.XLOOKUP(Log_Reseau_Master[[#This Row],[Cell_ID]],_29_03_2026_Registre_Maintenance_V2[ID_Antenne],_29_03_2026_Registre_Maintenance_V2[Technologie],"Pas de correspondance")</f>
        <v>5G</v>
      </c>
      <c r="H1049" t="str">
        <f>_xlfn.XLOOKUP(Log_Reseau_Master[[#This Row],[Cell_ID]],_29_03_2026_Registre_Maintenance_V2[ID_Antenne],_29_03_2026_Registre_Maintenance_V2[Equipementier],"Pas de correspondance")</f>
        <v>Ericsson</v>
      </c>
    </row>
    <row r="1050" spans="1:8" x14ac:dyDescent="0.25">
      <c r="A1050" s="1">
        <v>45209.53125</v>
      </c>
      <c r="B1050" s="4">
        <f>Log_Reseau_Master[[#This Row],[Duree_Panne_Min]]/1440</f>
        <v>4.3749999999999997E-2</v>
      </c>
      <c r="C1050" t="s">
        <v>186</v>
      </c>
      <c r="D1050">
        <v>63</v>
      </c>
      <c r="E1050" t="s">
        <v>1314</v>
      </c>
      <c r="F1050" t="str">
        <f>_xlfn.XLOOKUP(Log_Reseau_Master[[#This Row],[Cell_ID]],_29_03_2026_Registre_Maintenance_V2[ID_Antenne],_29_03_2026_Registre_Maintenance_V2[Province_RDC],"Pas de correspondance")</f>
        <v>Maniema</v>
      </c>
      <c r="G1050" t="str">
        <f>_xlfn.XLOOKUP(Log_Reseau_Master[[#This Row],[Cell_ID]],_29_03_2026_Registre_Maintenance_V2[ID_Antenne],_29_03_2026_Registre_Maintenance_V2[Technologie],"Pas de correspondance")</f>
        <v>4G</v>
      </c>
      <c r="H1050" t="str">
        <f>_xlfn.XLOOKUP(Log_Reseau_Master[[#This Row],[Cell_ID]],_29_03_2026_Registre_Maintenance_V2[ID_Antenne],_29_03_2026_Registre_Maintenance_V2[Equipementier],"Pas de correspondance")</f>
        <v>Huawei</v>
      </c>
    </row>
    <row r="1051" spans="1:8" hidden="1" x14ac:dyDescent="0.25">
      <c r="A1051" s="1">
        <v>45225.213194444441</v>
      </c>
      <c r="B1051">
        <f>Log_Reseau_Master[[#This Row],[Duree_Panne_Min]]/1440</f>
        <v>2.4305555555555556E-2</v>
      </c>
      <c r="C1051" t="s">
        <v>1671</v>
      </c>
      <c r="D1051">
        <v>35</v>
      </c>
      <c r="E1051" t="s">
        <v>1321</v>
      </c>
      <c r="F1051" t="str">
        <f>_xlfn.XLOOKUP(Log_Reseau_Master[[#This Row],[Cell_ID]],_29_03_2026_Registre_Maintenance_V2[ID_Antenne],_29_03_2026_Registre_Maintenance_V2[Province_RDC],"Pas de correspondance")</f>
        <v>Pas de correspondance</v>
      </c>
      <c r="G1051" t="str">
        <f>_xlfn.XLOOKUP(Log_Reseau_Master[[#This Row],[Cell_ID]],_29_03_2026_Registre_Maintenance_V2[ID_Antenne],_29_03_2026_Registre_Maintenance_V2[Technologie],"Pas de correspondance")</f>
        <v>Pas de correspondance</v>
      </c>
      <c r="H1051" t="str">
        <f>_xlfn.XLOOKUP(Log_Reseau_Master[[#This Row],[Cell_ID]],_29_03_2026_Registre_Maintenance_V2[ID_Antenne],_29_03_2026_Registre_Maintenance_V2[Equipementier],"Pas de correspondance")</f>
        <v>Pas de correspondance</v>
      </c>
    </row>
    <row r="1052" spans="1:8" x14ac:dyDescent="0.25">
      <c r="A1052" s="1">
        <v>45224.775000000001</v>
      </c>
      <c r="B1052" s="4">
        <f>Log_Reseau_Master[[#This Row],[Duree_Panne_Min]]/1440</f>
        <v>7.4305555555555555E-2</v>
      </c>
      <c r="C1052" t="s">
        <v>513</v>
      </c>
      <c r="D1052">
        <v>107</v>
      </c>
      <c r="E1052" t="s">
        <v>1321</v>
      </c>
      <c r="F1052" t="str">
        <f>_xlfn.XLOOKUP(Log_Reseau_Master[[#This Row],[Cell_ID]],_29_03_2026_Registre_Maintenance_V2[ID_Antenne],_29_03_2026_Registre_Maintenance_V2[Province_RDC],"Pas de correspondance")</f>
        <v>Equateur</v>
      </c>
      <c r="G1052" t="str">
        <f>_xlfn.XLOOKUP(Log_Reseau_Master[[#This Row],[Cell_ID]],_29_03_2026_Registre_Maintenance_V2[ID_Antenne],_29_03_2026_Registre_Maintenance_V2[Technologie],"Pas de correspondance")</f>
        <v>5G</v>
      </c>
      <c r="H1052" t="str">
        <f>_xlfn.XLOOKUP(Log_Reseau_Master[[#This Row],[Cell_ID]],_29_03_2026_Registre_Maintenance_V2[ID_Antenne],_29_03_2026_Registre_Maintenance_V2[Equipementier],"Pas de correspondance")</f>
        <v>ZTE</v>
      </c>
    </row>
    <row r="1053" spans="1:8" x14ac:dyDescent="0.25">
      <c r="A1053" s="1">
        <v>45216.274305555555</v>
      </c>
      <c r="B1053" s="4">
        <f>Log_Reseau_Master[[#This Row],[Duree_Panne_Min]]/1440</f>
        <v>2.0833333333333332E-2</v>
      </c>
      <c r="C1053" t="s">
        <v>513</v>
      </c>
      <c r="D1053">
        <v>30</v>
      </c>
      <c r="E1053" t="s">
        <v>1312</v>
      </c>
      <c r="F1053" t="str">
        <f>_xlfn.XLOOKUP(Log_Reseau_Master[[#This Row],[Cell_ID]],_29_03_2026_Registre_Maintenance_V2[ID_Antenne],_29_03_2026_Registre_Maintenance_V2[Province_RDC],"Pas de correspondance")</f>
        <v>Equateur</v>
      </c>
      <c r="G1053" t="str">
        <f>_xlfn.XLOOKUP(Log_Reseau_Master[[#This Row],[Cell_ID]],_29_03_2026_Registre_Maintenance_V2[ID_Antenne],_29_03_2026_Registre_Maintenance_V2[Technologie],"Pas de correspondance")</f>
        <v>5G</v>
      </c>
      <c r="H1053" t="str">
        <f>_xlfn.XLOOKUP(Log_Reseau_Master[[#This Row],[Cell_ID]],_29_03_2026_Registre_Maintenance_V2[ID_Antenne],_29_03_2026_Registre_Maintenance_V2[Equipementier],"Pas de correspondance")</f>
        <v>ZTE</v>
      </c>
    </row>
    <row r="1054" spans="1:8" x14ac:dyDescent="0.25">
      <c r="A1054" s="1">
        <v>45230.50277777778</v>
      </c>
      <c r="B1054" s="4">
        <f>Log_Reseau_Master[[#This Row],[Duree_Panne_Min]]/1440</f>
        <v>6.8750000000000006E-2</v>
      </c>
      <c r="C1054" t="s">
        <v>513</v>
      </c>
      <c r="D1054">
        <v>99</v>
      </c>
      <c r="E1054" t="s">
        <v>1314</v>
      </c>
      <c r="F1054" t="str">
        <f>_xlfn.XLOOKUP(Log_Reseau_Master[[#This Row],[Cell_ID]],_29_03_2026_Registre_Maintenance_V2[ID_Antenne],_29_03_2026_Registre_Maintenance_V2[Province_RDC],"Pas de correspondance")</f>
        <v>Equateur</v>
      </c>
      <c r="G1054" t="str">
        <f>_xlfn.XLOOKUP(Log_Reseau_Master[[#This Row],[Cell_ID]],_29_03_2026_Registre_Maintenance_V2[ID_Antenne],_29_03_2026_Registre_Maintenance_V2[Technologie],"Pas de correspondance")</f>
        <v>5G</v>
      </c>
      <c r="H1054" t="str">
        <f>_xlfn.XLOOKUP(Log_Reseau_Master[[#This Row],[Cell_ID]],_29_03_2026_Registre_Maintenance_V2[ID_Antenne],_29_03_2026_Registre_Maintenance_V2[Equipementier],"Pas de correspondance")</f>
        <v>ZTE</v>
      </c>
    </row>
    <row r="1055" spans="1:8" x14ac:dyDescent="0.25">
      <c r="A1055" s="1">
        <v>45226.659722222219</v>
      </c>
      <c r="B1055" s="4">
        <f>Log_Reseau_Master[[#This Row],[Duree_Panne_Min]]/1440</f>
        <v>4.5138888888888888E-2</v>
      </c>
      <c r="C1055" t="s">
        <v>310</v>
      </c>
      <c r="D1055">
        <v>65</v>
      </c>
      <c r="E1055" t="s">
        <v>1312</v>
      </c>
      <c r="F1055" t="str">
        <f>_xlfn.XLOOKUP(Log_Reseau_Master[[#This Row],[Cell_ID]],_29_03_2026_Registre_Maintenance_V2[ID_Antenne],_29_03_2026_Registre_Maintenance_V2[Province_RDC],"Pas de correspondance")</f>
        <v>Haut-Katanga</v>
      </c>
      <c r="G1055" t="str">
        <f>_xlfn.XLOOKUP(Log_Reseau_Master[[#This Row],[Cell_ID]],_29_03_2026_Registre_Maintenance_V2[ID_Antenne],_29_03_2026_Registre_Maintenance_V2[Technologie],"Pas de correspondance")</f>
        <v>3G</v>
      </c>
      <c r="H1055" t="str">
        <f>_xlfn.XLOOKUP(Log_Reseau_Master[[#This Row],[Cell_ID]],_29_03_2026_Registre_Maintenance_V2[ID_Antenne],_29_03_2026_Registre_Maintenance_V2[Equipementier],"Pas de correspondance")</f>
        <v>ZTE</v>
      </c>
    </row>
    <row r="1056" spans="1:8" x14ac:dyDescent="0.25">
      <c r="A1056" s="1">
        <v>45201.057638888888</v>
      </c>
      <c r="B1056" s="4">
        <f>Log_Reseau_Master[[#This Row],[Duree_Panne_Min]]/1440</f>
        <v>7.1527777777777773E-2</v>
      </c>
      <c r="C1056" t="s">
        <v>310</v>
      </c>
      <c r="D1056">
        <v>103</v>
      </c>
      <c r="E1056" t="s">
        <v>1314</v>
      </c>
      <c r="F1056" t="str">
        <f>_xlfn.XLOOKUP(Log_Reseau_Master[[#This Row],[Cell_ID]],_29_03_2026_Registre_Maintenance_V2[ID_Antenne],_29_03_2026_Registre_Maintenance_V2[Province_RDC],"Pas de correspondance")</f>
        <v>Haut-Katanga</v>
      </c>
      <c r="G1056" t="str">
        <f>_xlfn.XLOOKUP(Log_Reseau_Master[[#This Row],[Cell_ID]],_29_03_2026_Registre_Maintenance_V2[ID_Antenne],_29_03_2026_Registre_Maintenance_V2[Technologie],"Pas de correspondance")</f>
        <v>3G</v>
      </c>
      <c r="H1056" t="str">
        <f>_xlfn.XLOOKUP(Log_Reseau_Master[[#This Row],[Cell_ID]],_29_03_2026_Registre_Maintenance_V2[ID_Antenne],_29_03_2026_Registre_Maintenance_V2[Equipementier],"Pas de correspondance")</f>
        <v>ZTE</v>
      </c>
    </row>
    <row r="1057" spans="1:8" x14ac:dyDescent="0.25">
      <c r="A1057" s="1">
        <v>45207.140277777777</v>
      </c>
      <c r="B1057" s="4">
        <f>Log_Reseau_Master[[#This Row],[Duree_Panne_Min]]/1440</f>
        <v>3.1944444444444442E-2</v>
      </c>
      <c r="C1057" t="s">
        <v>154</v>
      </c>
      <c r="D1057">
        <v>46</v>
      </c>
      <c r="E1057" t="s">
        <v>1312</v>
      </c>
      <c r="F1057" t="str">
        <f>_xlfn.XLOOKUP(Log_Reseau_Master[[#This Row],[Cell_ID]],_29_03_2026_Registre_Maintenance_V2[ID_Antenne],_29_03_2026_Registre_Maintenance_V2[Province_RDC],"Pas de correspondance")</f>
        <v>Kongo-Central</v>
      </c>
      <c r="G1057" t="str">
        <f>_xlfn.XLOOKUP(Log_Reseau_Master[[#This Row],[Cell_ID]],_29_03_2026_Registre_Maintenance_V2[ID_Antenne],_29_03_2026_Registre_Maintenance_V2[Technologie],"Pas de correspondance")</f>
        <v>4G</v>
      </c>
      <c r="H1057" t="str">
        <f>_xlfn.XLOOKUP(Log_Reseau_Master[[#This Row],[Cell_ID]],_29_03_2026_Registre_Maintenance_V2[ID_Antenne],_29_03_2026_Registre_Maintenance_V2[Equipementier],"Pas de correspondance")</f>
        <v>Nokia</v>
      </c>
    </row>
    <row r="1058" spans="1:8" x14ac:dyDescent="0.25">
      <c r="A1058" s="1">
        <v>45201.867361111108</v>
      </c>
      <c r="B1058" s="4">
        <f>Log_Reseau_Master[[#This Row],[Duree_Panne_Min]]/1440</f>
        <v>1.2500000000000001E-2</v>
      </c>
      <c r="C1058" t="s">
        <v>154</v>
      </c>
      <c r="D1058">
        <v>18</v>
      </c>
      <c r="E1058" t="s">
        <v>1314</v>
      </c>
      <c r="F1058" t="str">
        <f>_xlfn.XLOOKUP(Log_Reseau_Master[[#This Row],[Cell_ID]],_29_03_2026_Registre_Maintenance_V2[ID_Antenne],_29_03_2026_Registre_Maintenance_V2[Province_RDC],"Pas de correspondance")</f>
        <v>Kongo-Central</v>
      </c>
      <c r="G1058" t="str">
        <f>_xlfn.XLOOKUP(Log_Reseau_Master[[#This Row],[Cell_ID]],_29_03_2026_Registre_Maintenance_V2[ID_Antenne],_29_03_2026_Registre_Maintenance_V2[Technologie],"Pas de correspondance")</f>
        <v>4G</v>
      </c>
      <c r="H1058" t="str">
        <f>_xlfn.XLOOKUP(Log_Reseau_Master[[#This Row],[Cell_ID]],_29_03_2026_Registre_Maintenance_V2[ID_Antenne],_29_03_2026_Registre_Maintenance_V2[Equipementier],"Pas de correspondance")</f>
        <v>Nokia</v>
      </c>
    </row>
    <row r="1059" spans="1:8" x14ac:dyDescent="0.25">
      <c r="A1059" s="1">
        <v>45220.847916666666</v>
      </c>
      <c r="B1059" s="4">
        <f>Log_Reseau_Master[[#This Row],[Duree_Panne_Min]]/1440</f>
        <v>7.1527777777777773E-2</v>
      </c>
      <c r="C1059" t="s">
        <v>154</v>
      </c>
      <c r="D1059">
        <v>103</v>
      </c>
      <c r="E1059" t="s">
        <v>1314</v>
      </c>
      <c r="F1059" t="str">
        <f>_xlfn.XLOOKUP(Log_Reseau_Master[[#This Row],[Cell_ID]],_29_03_2026_Registre_Maintenance_V2[ID_Antenne],_29_03_2026_Registre_Maintenance_V2[Province_RDC],"Pas de correspondance")</f>
        <v>Kongo-Central</v>
      </c>
      <c r="G1059" t="str">
        <f>_xlfn.XLOOKUP(Log_Reseau_Master[[#This Row],[Cell_ID]],_29_03_2026_Registre_Maintenance_V2[ID_Antenne],_29_03_2026_Registre_Maintenance_V2[Technologie],"Pas de correspondance")</f>
        <v>4G</v>
      </c>
      <c r="H1059" t="str">
        <f>_xlfn.XLOOKUP(Log_Reseau_Master[[#This Row],[Cell_ID]],_29_03_2026_Registre_Maintenance_V2[ID_Antenne],_29_03_2026_Registre_Maintenance_V2[Equipementier],"Pas de correspondance")</f>
        <v>Nokia</v>
      </c>
    </row>
    <row r="1060" spans="1:8" x14ac:dyDescent="0.25">
      <c r="A1060" s="1">
        <v>45215.372916666667</v>
      </c>
      <c r="B1060" s="4">
        <f>Log_Reseau_Master[[#This Row],[Duree_Panne_Min]]/1440</f>
        <v>4.8611111111111112E-2</v>
      </c>
      <c r="C1060" t="s">
        <v>154</v>
      </c>
      <c r="D1060">
        <v>70</v>
      </c>
      <c r="E1060" t="s">
        <v>1312</v>
      </c>
      <c r="F1060" t="str">
        <f>_xlfn.XLOOKUP(Log_Reseau_Master[[#This Row],[Cell_ID]],_29_03_2026_Registre_Maintenance_V2[ID_Antenne],_29_03_2026_Registre_Maintenance_V2[Province_RDC],"Pas de correspondance")</f>
        <v>Kongo-Central</v>
      </c>
      <c r="G1060" t="str">
        <f>_xlfn.XLOOKUP(Log_Reseau_Master[[#This Row],[Cell_ID]],_29_03_2026_Registre_Maintenance_V2[ID_Antenne],_29_03_2026_Registre_Maintenance_V2[Technologie],"Pas de correspondance")</f>
        <v>4G</v>
      </c>
      <c r="H1060" t="str">
        <f>_xlfn.XLOOKUP(Log_Reseau_Master[[#This Row],[Cell_ID]],_29_03_2026_Registre_Maintenance_V2[ID_Antenne],_29_03_2026_Registre_Maintenance_V2[Equipementier],"Pas de correspondance")</f>
        <v>Nokia</v>
      </c>
    </row>
    <row r="1061" spans="1:8" x14ac:dyDescent="0.25">
      <c r="A1061" s="1">
        <v>45209.852083333331</v>
      </c>
      <c r="B1061" s="4">
        <f>Log_Reseau_Master[[#This Row],[Duree_Panne_Min]]/1440</f>
        <v>6.3194444444444442E-2</v>
      </c>
      <c r="C1061" t="s">
        <v>543</v>
      </c>
      <c r="D1061">
        <v>91</v>
      </c>
      <c r="E1061" t="s">
        <v>1321</v>
      </c>
      <c r="F1061" t="str">
        <f>_xlfn.XLOOKUP(Log_Reseau_Master[[#This Row],[Cell_ID]],_29_03_2026_Registre_Maintenance_V2[ID_Antenne],_29_03_2026_Registre_Maintenance_V2[Province_RDC],"Pas de correspondance")</f>
        <v>Kwango</v>
      </c>
      <c r="G1061" t="str">
        <f>_xlfn.XLOOKUP(Log_Reseau_Master[[#This Row],[Cell_ID]],_29_03_2026_Registre_Maintenance_V2[ID_Antenne],_29_03_2026_Registre_Maintenance_V2[Technologie],"Pas de correspondance")</f>
        <v>5G</v>
      </c>
      <c r="H1061" t="str">
        <f>_xlfn.XLOOKUP(Log_Reseau_Master[[#This Row],[Cell_ID]],_29_03_2026_Registre_Maintenance_V2[ID_Antenne],_29_03_2026_Registre_Maintenance_V2[Equipementier],"Pas de correspondance")</f>
        <v>Huawei</v>
      </c>
    </row>
    <row r="1062" spans="1:8" x14ac:dyDescent="0.25">
      <c r="A1062" s="1">
        <v>45205.345138888886</v>
      </c>
      <c r="B1062" s="4">
        <f>Log_Reseau_Master[[#This Row],[Duree_Panne_Min]]/1440</f>
        <v>7.5694444444444439E-2</v>
      </c>
      <c r="C1062" t="s">
        <v>108</v>
      </c>
      <c r="D1062">
        <v>109</v>
      </c>
      <c r="E1062" t="s">
        <v>1312</v>
      </c>
      <c r="F1062" t="str">
        <f>_xlfn.XLOOKUP(Log_Reseau_Master[[#This Row],[Cell_ID]],_29_03_2026_Registre_Maintenance_V2[ID_Antenne],_29_03_2026_Registre_Maintenance_V2[Province_RDC],"Pas de correspondance")</f>
        <v>Lomami</v>
      </c>
      <c r="G1062" t="str">
        <f>_xlfn.XLOOKUP(Log_Reseau_Master[[#This Row],[Cell_ID]],_29_03_2026_Registre_Maintenance_V2[ID_Antenne],_29_03_2026_Registre_Maintenance_V2[Technologie],"Pas de correspondance")</f>
        <v>3G</v>
      </c>
      <c r="H1062" t="str">
        <f>_xlfn.XLOOKUP(Log_Reseau_Master[[#This Row],[Cell_ID]],_29_03_2026_Registre_Maintenance_V2[ID_Antenne],_29_03_2026_Registre_Maintenance_V2[Equipementier],"Pas de correspondance")</f>
        <v>ZTE</v>
      </c>
    </row>
    <row r="1063" spans="1:8" x14ac:dyDescent="0.25">
      <c r="A1063" s="1">
        <v>45226.100694444445</v>
      </c>
      <c r="B1063" s="4">
        <f>Log_Reseau_Master[[#This Row],[Duree_Panne_Min]]/1440</f>
        <v>7.6388888888888895E-2</v>
      </c>
      <c r="C1063" t="s">
        <v>108</v>
      </c>
      <c r="D1063">
        <v>110</v>
      </c>
      <c r="E1063" t="s">
        <v>1312</v>
      </c>
      <c r="F1063" t="str">
        <f>_xlfn.XLOOKUP(Log_Reseau_Master[[#This Row],[Cell_ID]],_29_03_2026_Registre_Maintenance_V2[ID_Antenne],_29_03_2026_Registre_Maintenance_V2[Province_RDC],"Pas de correspondance")</f>
        <v>Lomami</v>
      </c>
      <c r="G1063" t="str">
        <f>_xlfn.XLOOKUP(Log_Reseau_Master[[#This Row],[Cell_ID]],_29_03_2026_Registre_Maintenance_V2[ID_Antenne],_29_03_2026_Registre_Maintenance_V2[Technologie],"Pas de correspondance")</f>
        <v>3G</v>
      </c>
      <c r="H1063" t="str">
        <f>_xlfn.XLOOKUP(Log_Reseau_Master[[#This Row],[Cell_ID]],_29_03_2026_Registre_Maintenance_V2[ID_Antenne],_29_03_2026_Registre_Maintenance_V2[Equipementier],"Pas de correspondance")</f>
        <v>ZTE</v>
      </c>
    </row>
    <row r="1064" spans="1:8" x14ac:dyDescent="0.25">
      <c r="A1064" s="1">
        <v>45213.779861111114</v>
      </c>
      <c r="B1064" s="4">
        <f>Log_Reseau_Master[[#This Row],[Duree_Panne_Min]]/1440</f>
        <v>8.3333333333333329E-2</v>
      </c>
      <c r="C1064" t="s">
        <v>479</v>
      </c>
      <c r="D1064">
        <v>120</v>
      </c>
      <c r="E1064" t="s">
        <v>1314</v>
      </c>
      <c r="F1064" t="str">
        <f>_xlfn.XLOOKUP(Log_Reseau_Master[[#This Row],[Cell_ID]],_29_03_2026_Registre_Maintenance_V2[ID_Antenne],_29_03_2026_Registre_Maintenance_V2[Province_RDC],"Pas de correspondance")</f>
        <v>Sankuru</v>
      </c>
      <c r="G1064" t="str">
        <f>_xlfn.XLOOKUP(Log_Reseau_Master[[#This Row],[Cell_ID]],_29_03_2026_Registre_Maintenance_V2[ID_Antenne],_29_03_2026_Registre_Maintenance_V2[Technologie],"Pas de correspondance")</f>
        <v>3G</v>
      </c>
      <c r="H1064" t="str">
        <f>_xlfn.XLOOKUP(Log_Reseau_Master[[#This Row],[Cell_ID]],_29_03_2026_Registre_Maintenance_V2[ID_Antenne],_29_03_2026_Registre_Maintenance_V2[Equipementier],"Pas de correspondance")</f>
        <v>Ericsson</v>
      </c>
    </row>
    <row r="1065" spans="1:8" x14ac:dyDescent="0.25">
      <c r="A1065" s="1">
        <v>45222.902777777781</v>
      </c>
      <c r="B1065" s="4">
        <f>Log_Reseau_Master[[#This Row],[Duree_Panne_Min]]/1440</f>
        <v>2.1527777777777778E-2</v>
      </c>
      <c r="C1065" t="s">
        <v>479</v>
      </c>
      <c r="D1065">
        <v>31</v>
      </c>
      <c r="E1065" t="s">
        <v>1321</v>
      </c>
      <c r="F1065" t="str">
        <f>_xlfn.XLOOKUP(Log_Reseau_Master[[#This Row],[Cell_ID]],_29_03_2026_Registre_Maintenance_V2[ID_Antenne],_29_03_2026_Registre_Maintenance_V2[Province_RDC],"Pas de correspondance")</f>
        <v>Sankuru</v>
      </c>
      <c r="G1065" t="str">
        <f>_xlfn.XLOOKUP(Log_Reseau_Master[[#This Row],[Cell_ID]],_29_03_2026_Registre_Maintenance_V2[ID_Antenne],_29_03_2026_Registre_Maintenance_V2[Technologie],"Pas de correspondance")</f>
        <v>3G</v>
      </c>
      <c r="H1065" t="str">
        <f>_xlfn.XLOOKUP(Log_Reseau_Master[[#This Row],[Cell_ID]],_29_03_2026_Registre_Maintenance_V2[ID_Antenne],_29_03_2026_Registre_Maintenance_V2[Equipementier],"Pas de correspondance")</f>
        <v>Ericsson</v>
      </c>
    </row>
    <row r="1066" spans="1:8" hidden="1" x14ac:dyDescent="0.25">
      <c r="A1066" s="1">
        <v>45216.792361111111</v>
      </c>
      <c r="B1066">
        <f>Log_Reseau_Master[[#This Row],[Duree_Panne_Min]]/1440</f>
        <v>3.888888888888889E-2</v>
      </c>
      <c r="C1066" t="s">
        <v>1672</v>
      </c>
      <c r="D1066">
        <v>56</v>
      </c>
      <c r="E1066" t="s">
        <v>1314</v>
      </c>
      <c r="F1066" t="str">
        <f>_xlfn.XLOOKUP(Log_Reseau_Master[[#This Row],[Cell_ID]],_29_03_2026_Registre_Maintenance_V2[ID_Antenne],_29_03_2026_Registre_Maintenance_V2[Province_RDC],"Pas de correspondance")</f>
        <v>Pas de correspondance</v>
      </c>
      <c r="G1066" t="str">
        <f>_xlfn.XLOOKUP(Log_Reseau_Master[[#This Row],[Cell_ID]],_29_03_2026_Registre_Maintenance_V2[ID_Antenne],_29_03_2026_Registre_Maintenance_V2[Technologie],"Pas de correspondance")</f>
        <v>Pas de correspondance</v>
      </c>
      <c r="H1066" t="str">
        <f>_xlfn.XLOOKUP(Log_Reseau_Master[[#This Row],[Cell_ID]],_29_03_2026_Registre_Maintenance_V2[ID_Antenne],_29_03_2026_Registre_Maintenance_V2[Equipementier],"Pas de correspondance")</f>
        <v>Pas de correspondance</v>
      </c>
    </row>
    <row r="1067" spans="1:8" hidden="1" x14ac:dyDescent="0.25">
      <c r="A1067" s="1">
        <v>45203.03125</v>
      </c>
      <c r="B1067">
        <f>Log_Reseau_Master[[#This Row],[Duree_Panne_Min]]/1440</f>
        <v>2.5000000000000001E-2</v>
      </c>
      <c r="C1067" t="s">
        <v>1672</v>
      </c>
      <c r="D1067">
        <v>36</v>
      </c>
      <c r="E1067" t="s">
        <v>1321</v>
      </c>
      <c r="F1067" t="str">
        <f>_xlfn.XLOOKUP(Log_Reseau_Master[[#This Row],[Cell_ID]],_29_03_2026_Registre_Maintenance_V2[ID_Antenne],_29_03_2026_Registre_Maintenance_V2[Province_RDC],"Pas de correspondance")</f>
        <v>Pas de correspondance</v>
      </c>
      <c r="G1067" t="str">
        <f>_xlfn.XLOOKUP(Log_Reseau_Master[[#This Row],[Cell_ID]],_29_03_2026_Registre_Maintenance_V2[ID_Antenne],_29_03_2026_Registre_Maintenance_V2[Technologie],"Pas de correspondance")</f>
        <v>Pas de correspondance</v>
      </c>
      <c r="H1067" t="str">
        <f>_xlfn.XLOOKUP(Log_Reseau_Master[[#This Row],[Cell_ID]],_29_03_2026_Registre_Maintenance_V2[ID_Antenne],_29_03_2026_Registre_Maintenance_V2[Equipementier],"Pas de correspondance")</f>
        <v>Pas de correspondance</v>
      </c>
    </row>
    <row r="1068" spans="1:8" x14ac:dyDescent="0.25">
      <c r="A1068" s="1">
        <v>45216.729861111111</v>
      </c>
      <c r="B1068" s="4">
        <f>Log_Reseau_Master[[#This Row],[Duree_Panne_Min]]/1440</f>
        <v>7.5694444444444439E-2</v>
      </c>
      <c r="C1068" t="s">
        <v>189</v>
      </c>
      <c r="D1068">
        <v>109</v>
      </c>
      <c r="E1068" t="s">
        <v>1321</v>
      </c>
      <c r="F1068" t="str">
        <f>_xlfn.XLOOKUP(Log_Reseau_Master[[#This Row],[Cell_ID]],_29_03_2026_Registre_Maintenance_V2[ID_Antenne],_29_03_2026_Registre_Maintenance_V2[Province_RDC],"Pas de correspondance")</f>
        <v>Kasai-Oriental</v>
      </c>
      <c r="G1068" t="str">
        <f>_xlfn.XLOOKUP(Log_Reseau_Master[[#This Row],[Cell_ID]],_29_03_2026_Registre_Maintenance_V2[ID_Antenne],_29_03_2026_Registre_Maintenance_V2[Technologie],"Pas de correspondance")</f>
        <v>4G</v>
      </c>
      <c r="H1068" t="str">
        <f>_xlfn.XLOOKUP(Log_Reseau_Master[[#This Row],[Cell_ID]],_29_03_2026_Registre_Maintenance_V2[ID_Antenne],_29_03_2026_Registre_Maintenance_V2[Equipementier],"Pas de correspondance")</f>
        <v>Huawei</v>
      </c>
    </row>
    <row r="1069" spans="1:8" hidden="1" x14ac:dyDescent="0.25">
      <c r="A1069" s="1">
        <v>45224.164583333331</v>
      </c>
      <c r="B1069">
        <f>Log_Reseau_Master[[#This Row],[Duree_Panne_Min]]/1440</f>
        <v>3.9583333333333331E-2</v>
      </c>
      <c r="C1069" t="s">
        <v>1673</v>
      </c>
      <c r="D1069">
        <v>57</v>
      </c>
      <c r="E1069" t="s">
        <v>1312</v>
      </c>
      <c r="F1069" t="str">
        <f>_xlfn.XLOOKUP(Log_Reseau_Master[[#This Row],[Cell_ID]],_29_03_2026_Registre_Maintenance_V2[ID_Antenne],_29_03_2026_Registre_Maintenance_V2[Province_RDC],"Pas de correspondance")</f>
        <v>Pas de correspondance</v>
      </c>
      <c r="G1069" t="str">
        <f>_xlfn.XLOOKUP(Log_Reseau_Master[[#This Row],[Cell_ID]],_29_03_2026_Registre_Maintenance_V2[ID_Antenne],_29_03_2026_Registre_Maintenance_V2[Technologie],"Pas de correspondance")</f>
        <v>Pas de correspondance</v>
      </c>
      <c r="H1069" t="str">
        <f>_xlfn.XLOOKUP(Log_Reseau_Master[[#This Row],[Cell_ID]],_29_03_2026_Registre_Maintenance_V2[ID_Antenne],_29_03_2026_Registre_Maintenance_V2[Equipementier],"Pas de correspondance")</f>
        <v>Pas de correspondance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FA1342-C814-40E5-AE9B-59F20D18AC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Clients_Churn_Master</vt:lpstr>
      <vt:lpstr>Logs_Reseau_Master</vt:lpstr>
      <vt:lpstr>Somme_Total_heure_Indispo</vt:lpstr>
      <vt:lpstr>Sous_Categorisation_Region</vt:lpstr>
      <vt:lpstr>Moyenne des clients impactés</vt:lpstr>
      <vt:lpstr>Client_Retenu_Province</vt:lpstr>
      <vt:lpstr>Client_Non_Retenu</vt:lpstr>
      <vt:lpstr>Montant_Dépense</vt:lpstr>
      <vt:lpstr>Registre_Maintenance_Master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yakolo</dc:creator>
  <cp:lastModifiedBy>RACHEL yakolo</cp:lastModifiedBy>
  <dcterms:created xsi:type="dcterms:W3CDTF">2026-03-29T17:08:18Z</dcterms:created>
  <dcterms:modified xsi:type="dcterms:W3CDTF">2026-03-31T09:25:21Z</dcterms:modified>
</cp:coreProperties>
</file>